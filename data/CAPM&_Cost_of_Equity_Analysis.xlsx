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c6f7dc9829368e/Desktop/Finance Project/"/>
    </mc:Choice>
  </mc:AlternateContent>
  <xr:revisionPtr revIDLastSave="7141" documentId="8_{F9C76BBB-BA35-4274-A554-2007CF84A24F}" xr6:coauthVersionLast="47" xr6:coauthVersionMax="47" xr10:uidLastSave="{D28519D7-E1A6-4970-97F9-C2DD5BE2A11E}"/>
  <bookViews>
    <workbookView xWindow="-108" yWindow="-108" windowWidth="23256" windowHeight="13896" firstSheet="2" activeTab="2" xr2:uid="{8A19A1AA-8CC1-45C2-A09F-7CED565A9440}"/>
  </bookViews>
  <sheets>
    <sheet name="stock_Hist_data (KO)" sheetId="1" r:id="rId1"/>
    <sheet name="S&amp;P^500" sheetId="2" r:id="rId2"/>
    <sheet name="CAPM (Definition)" sheetId="12" r:id="rId3"/>
    <sheet name="CAPM (Regression Output)" sheetId="6" r:id="rId4"/>
    <sheet name="CAPM (Expected Return)" sheetId="3" r:id="rId5"/>
    <sheet name="WACC (Valuation)" sheetId="4" r:id="rId6"/>
    <sheet name="Investment Recommendation" sheetId="1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4" l="1"/>
  <c r="D16" i="3" l="1"/>
  <c r="D13" i="3"/>
  <c r="D4" i="3"/>
  <c r="D10" i="3" s="1"/>
  <c r="I5" i="4"/>
  <c r="I4" i="4"/>
  <c r="D7" i="3" l="1"/>
  <c r="E19" i="4"/>
  <c r="E17" i="4"/>
  <c r="E15" i="4"/>
  <c r="J4" i="4"/>
  <c r="I6" i="4"/>
  <c r="E21" i="4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3" i="2"/>
  <c r="H3" i="1"/>
  <c r="E23" i="4" l="1"/>
  <c r="I7" i="4"/>
  <c r="J6" i="4" l="1"/>
  <c r="J5" i="4"/>
  <c r="J7" i="4"/>
  <c r="I8" i="4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I9" i="4" l="1"/>
  <c r="N9" i="4" s="1"/>
  <c r="J8" i="4"/>
  <c r="J9" i="4" l="1"/>
  <c r="N13" i="4" s="1"/>
  <c r="N15" i="4" s="1"/>
  <c r="N19" i="4" s="1"/>
  <c r="N25" i="4" s="1"/>
</calcChain>
</file>

<file path=xl/sharedStrings.xml><?xml version="1.0" encoding="utf-8"?>
<sst xmlns="http://schemas.openxmlformats.org/spreadsheetml/2006/main" count="1337" uniqueCount="1328">
  <si>
    <t>Date</t>
  </si>
  <si>
    <t>Open</t>
  </si>
  <si>
    <t>High</t>
  </si>
  <si>
    <t>Low</t>
  </si>
  <si>
    <t>Close</t>
  </si>
  <si>
    <t>Adj Close</t>
  </si>
  <si>
    <t>Volume</t>
  </si>
  <si>
    <t>Daily Return</t>
  </si>
  <si>
    <t>Price</t>
  </si>
  <si>
    <t>1/4/2021</t>
  </si>
  <si>
    <t>1/5/2021</t>
  </si>
  <si>
    <t>1/6/2021</t>
  </si>
  <si>
    <t>1/7/2021</t>
  </si>
  <si>
    <t>1/8/2021</t>
  </si>
  <si>
    <t>1/11/2021</t>
  </si>
  <si>
    <t>1/12/2021</t>
  </si>
  <si>
    <t>1/13/2021</t>
  </si>
  <si>
    <t>1/14/2021</t>
  </si>
  <si>
    <t>1/15/2021</t>
  </si>
  <si>
    <t>1/19/2021</t>
  </si>
  <si>
    <t>1/20/2021</t>
  </si>
  <si>
    <t>1/21/2021</t>
  </si>
  <si>
    <t>1/22/2021</t>
  </si>
  <si>
    <t>1/25/2021</t>
  </si>
  <si>
    <t>1/26/2021</t>
  </si>
  <si>
    <t>1/27/2021</t>
  </si>
  <si>
    <t>1/28/2021</t>
  </si>
  <si>
    <t>1/29/2021</t>
  </si>
  <si>
    <t>2/1/2021</t>
  </si>
  <si>
    <t>2/2/2021</t>
  </si>
  <si>
    <t>2/3/2021</t>
  </si>
  <si>
    <t>2/4/2021</t>
  </si>
  <si>
    <t>2/5/2021</t>
  </si>
  <si>
    <t>2/8/2021</t>
  </si>
  <si>
    <t>2/9/2021</t>
  </si>
  <si>
    <t>2/10/2021</t>
  </si>
  <si>
    <t>2/11/2021</t>
  </si>
  <si>
    <t>2/12/2021</t>
  </si>
  <si>
    <t>2/16/2021</t>
  </si>
  <si>
    <t>2/17/2021</t>
  </si>
  <si>
    <t>2/18/2021</t>
  </si>
  <si>
    <t>2/19/2021</t>
  </si>
  <si>
    <t>2/22/2021</t>
  </si>
  <si>
    <t>2/23/2021</t>
  </si>
  <si>
    <t>2/24/2021</t>
  </si>
  <si>
    <t>2/25/2021</t>
  </si>
  <si>
    <t>2/26/2021</t>
  </si>
  <si>
    <t>3/1/2021</t>
  </si>
  <si>
    <t>3/2/2021</t>
  </si>
  <si>
    <t>3/3/2021</t>
  </si>
  <si>
    <t>3/4/2021</t>
  </si>
  <si>
    <t>3/5/2021</t>
  </si>
  <si>
    <t>3/8/2021</t>
  </si>
  <si>
    <t>3/9/2021</t>
  </si>
  <si>
    <t>3/10/2021</t>
  </si>
  <si>
    <t>3/11/2021</t>
  </si>
  <si>
    <t>3/12/2021</t>
  </si>
  <si>
    <t>3/15/2021</t>
  </si>
  <si>
    <t>3/16/2021</t>
  </si>
  <si>
    <t>3/17/2021</t>
  </si>
  <si>
    <t>3/18/2021</t>
  </si>
  <si>
    <t>3/19/2021</t>
  </si>
  <si>
    <t>3/22/2021</t>
  </si>
  <si>
    <t>3/23/2021</t>
  </si>
  <si>
    <t>3/24/2021</t>
  </si>
  <si>
    <t>3/25/2021</t>
  </si>
  <si>
    <t>3/26/2021</t>
  </si>
  <si>
    <t>3/29/2021</t>
  </si>
  <si>
    <t>3/30/2021</t>
  </si>
  <si>
    <t>3/31/2021</t>
  </si>
  <si>
    <t>4/1/2021</t>
  </si>
  <si>
    <t>4/5/2021</t>
  </si>
  <si>
    <t>4/6/2021</t>
  </si>
  <si>
    <t>4/7/2021</t>
  </si>
  <si>
    <t>4/8/2021</t>
  </si>
  <si>
    <t>4/9/2021</t>
  </si>
  <si>
    <t>4/12/2021</t>
  </si>
  <si>
    <t>4/13/2021</t>
  </si>
  <si>
    <t>4/14/2021</t>
  </si>
  <si>
    <t>4/15/2021</t>
  </si>
  <si>
    <t>4/16/2021</t>
  </si>
  <si>
    <t>4/19/2021</t>
  </si>
  <si>
    <t>4/20/2021</t>
  </si>
  <si>
    <t>4/21/2021</t>
  </si>
  <si>
    <t>4/22/2021</t>
  </si>
  <si>
    <t>4/23/2021</t>
  </si>
  <si>
    <t>4/26/2021</t>
  </si>
  <si>
    <t>4/27/2021</t>
  </si>
  <si>
    <t>4/28/2021</t>
  </si>
  <si>
    <t>4/29/2021</t>
  </si>
  <si>
    <t>4/30/2021</t>
  </si>
  <si>
    <t>5/3/2021</t>
  </si>
  <si>
    <t>5/4/2021</t>
  </si>
  <si>
    <t>5/5/2021</t>
  </si>
  <si>
    <t>5/6/2021</t>
  </si>
  <si>
    <t>5/7/2021</t>
  </si>
  <si>
    <t>5/10/2021</t>
  </si>
  <si>
    <t>5/11/2021</t>
  </si>
  <si>
    <t>5/12/2021</t>
  </si>
  <si>
    <t>5/13/2021</t>
  </si>
  <si>
    <t>5/14/2021</t>
  </si>
  <si>
    <t>5/17/2021</t>
  </si>
  <si>
    <t>5/18/2021</t>
  </si>
  <si>
    <t>5/19/2021</t>
  </si>
  <si>
    <t>5/20/2021</t>
  </si>
  <si>
    <t>5/21/2021</t>
  </si>
  <si>
    <t>5/24/2021</t>
  </si>
  <si>
    <t>5/25/2021</t>
  </si>
  <si>
    <t>5/26/2021</t>
  </si>
  <si>
    <t>5/27/2021</t>
  </si>
  <si>
    <t>5/28/2021</t>
  </si>
  <si>
    <t>6/1/2021</t>
  </si>
  <si>
    <t>6/2/2021</t>
  </si>
  <si>
    <t>6/3/2021</t>
  </si>
  <si>
    <t>6/4/2021</t>
  </si>
  <si>
    <t>6/7/2021</t>
  </si>
  <si>
    <t>6/8/2021</t>
  </si>
  <si>
    <t>6/9/2021</t>
  </si>
  <si>
    <t>6/10/2021</t>
  </si>
  <si>
    <t>6/11/2021</t>
  </si>
  <si>
    <t>6/14/2021</t>
  </si>
  <si>
    <t>6/15/2021</t>
  </si>
  <si>
    <t>6/16/2021</t>
  </si>
  <si>
    <t>6/17/2021</t>
  </si>
  <si>
    <t>6/18/2021</t>
  </si>
  <si>
    <t>6/21/2021</t>
  </si>
  <si>
    <t>6/22/2021</t>
  </si>
  <si>
    <t>6/23/2021</t>
  </si>
  <si>
    <t>6/24/2021</t>
  </si>
  <si>
    <t>6/25/2021</t>
  </si>
  <si>
    <t>6/28/2021</t>
  </si>
  <si>
    <t>6/29/2021</t>
  </si>
  <si>
    <t>6/30/2021</t>
  </si>
  <si>
    <t>7/1/2021</t>
  </si>
  <si>
    <t>7/2/2021</t>
  </si>
  <si>
    <t>7/6/2021</t>
  </si>
  <si>
    <t>7/7/2021</t>
  </si>
  <si>
    <t>7/8/2021</t>
  </si>
  <si>
    <t>7/9/2021</t>
  </si>
  <si>
    <t>7/12/2021</t>
  </si>
  <si>
    <t>7/13/2021</t>
  </si>
  <si>
    <t>7/14/2021</t>
  </si>
  <si>
    <t>7/15/2021</t>
  </si>
  <si>
    <t>7/16/2021</t>
  </si>
  <si>
    <t>7/19/2021</t>
  </si>
  <si>
    <t>7/20/2021</t>
  </si>
  <si>
    <t>7/21/2021</t>
  </si>
  <si>
    <t>7/22/2021</t>
  </si>
  <si>
    <t>7/23/2021</t>
  </si>
  <si>
    <t>7/26/2021</t>
  </si>
  <si>
    <t>7/27/2021</t>
  </si>
  <si>
    <t>7/28/2021</t>
  </si>
  <si>
    <t>7/29/2021</t>
  </si>
  <si>
    <t>7/30/2021</t>
  </si>
  <si>
    <t>8/2/2021</t>
  </si>
  <si>
    <t>8/3/2021</t>
  </si>
  <si>
    <t>8/4/2021</t>
  </si>
  <si>
    <t>8/5/2021</t>
  </si>
  <si>
    <t>8/6/2021</t>
  </si>
  <si>
    <t>8/9/2021</t>
  </si>
  <si>
    <t>8/10/2021</t>
  </si>
  <si>
    <t>8/11/2021</t>
  </si>
  <si>
    <t>8/12/2021</t>
  </si>
  <si>
    <t>8/13/2021</t>
  </si>
  <si>
    <t>8/16/2021</t>
  </si>
  <si>
    <t>8/17/2021</t>
  </si>
  <si>
    <t>8/18/2021</t>
  </si>
  <si>
    <t>8/19/2021</t>
  </si>
  <si>
    <t>8/20/2021</t>
  </si>
  <si>
    <t>8/23/2021</t>
  </si>
  <si>
    <t>8/24/2021</t>
  </si>
  <si>
    <t>8/25/2021</t>
  </si>
  <si>
    <t>8/26/2021</t>
  </si>
  <si>
    <t>8/27/2021</t>
  </si>
  <si>
    <t>8/30/2021</t>
  </si>
  <si>
    <t>8/31/2021</t>
  </si>
  <si>
    <t>9/1/2021</t>
  </si>
  <si>
    <t>9/2/2021</t>
  </si>
  <si>
    <t>9/3/2021</t>
  </si>
  <si>
    <t>9/7/2021</t>
  </si>
  <si>
    <t>9/8/2021</t>
  </si>
  <si>
    <t>9/9/2021</t>
  </si>
  <si>
    <t>9/10/2021</t>
  </si>
  <si>
    <t>9/13/2021</t>
  </si>
  <si>
    <t>9/14/2021</t>
  </si>
  <si>
    <t>9/15/2021</t>
  </si>
  <si>
    <t>9/16/2021</t>
  </si>
  <si>
    <t>9/17/2021</t>
  </si>
  <si>
    <t>9/20/2021</t>
  </si>
  <si>
    <t>9/21/2021</t>
  </si>
  <si>
    <t>9/22/2021</t>
  </si>
  <si>
    <t>9/23/2021</t>
  </si>
  <si>
    <t>9/24/2021</t>
  </si>
  <si>
    <t>9/27/2021</t>
  </si>
  <si>
    <t>9/28/2021</t>
  </si>
  <si>
    <t>9/29/2021</t>
  </si>
  <si>
    <t>9/30/2021</t>
  </si>
  <si>
    <t>10/1/2021</t>
  </si>
  <si>
    <t>10/4/2021</t>
  </si>
  <si>
    <t>10/5/2021</t>
  </si>
  <si>
    <t>10/6/2021</t>
  </si>
  <si>
    <t>10/7/2021</t>
  </si>
  <si>
    <t>10/8/2021</t>
  </si>
  <si>
    <t>10/11/2021</t>
  </si>
  <si>
    <t>10/12/2021</t>
  </si>
  <si>
    <t>10/13/2021</t>
  </si>
  <si>
    <t>10/14/2021</t>
  </si>
  <si>
    <t>10/15/2021</t>
  </si>
  <si>
    <t>10/18/2021</t>
  </si>
  <si>
    <t>10/19/2021</t>
  </si>
  <si>
    <t>10/20/2021</t>
  </si>
  <si>
    <t>10/21/2021</t>
  </si>
  <si>
    <t>10/22/2021</t>
  </si>
  <si>
    <t>10/25/2021</t>
  </si>
  <si>
    <t>10/26/2021</t>
  </si>
  <si>
    <t>10/27/2021</t>
  </si>
  <si>
    <t>10/28/2021</t>
  </si>
  <si>
    <t>10/29/2021</t>
  </si>
  <si>
    <t>11/1/2021</t>
  </si>
  <si>
    <t>11/2/2021</t>
  </si>
  <si>
    <t>11/3/2021</t>
  </si>
  <si>
    <t>11/4/2021</t>
  </si>
  <si>
    <t>11/5/2021</t>
  </si>
  <si>
    <t>11/8/2021</t>
  </si>
  <si>
    <t>11/9/2021</t>
  </si>
  <si>
    <t>11/10/2021</t>
  </si>
  <si>
    <t>11/11/2021</t>
  </si>
  <si>
    <t>11/12/2021</t>
  </si>
  <si>
    <t>11/15/2021</t>
  </si>
  <si>
    <t>11/16/2021</t>
  </si>
  <si>
    <t>11/17/2021</t>
  </si>
  <si>
    <t>11/18/2021</t>
  </si>
  <si>
    <t>11/19/2021</t>
  </si>
  <si>
    <t>11/22/2021</t>
  </si>
  <si>
    <t>11/23/2021</t>
  </si>
  <si>
    <t>11/24/2021</t>
  </si>
  <si>
    <t>11/26/2021</t>
  </si>
  <si>
    <t>11/29/2021</t>
  </si>
  <si>
    <t>11/30/2021</t>
  </si>
  <si>
    <t>12/1/2021</t>
  </si>
  <si>
    <t>12/2/2021</t>
  </si>
  <si>
    <t>12/3/2021</t>
  </si>
  <si>
    <t>12/6/2021</t>
  </si>
  <si>
    <t>12/7/2021</t>
  </si>
  <si>
    <t>12/8/2021</t>
  </si>
  <si>
    <t>12/9/2021</t>
  </si>
  <si>
    <t>12/10/2021</t>
  </si>
  <si>
    <t>12/13/2021</t>
  </si>
  <si>
    <t>12/14/2021</t>
  </si>
  <si>
    <t>12/15/2021</t>
  </si>
  <si>
    <t>12/16/2021</t>
  </si>
  <si>
    <t>12/17/2021</t>
  </si>
  <si>
    <t>12/20/2021</t>
  </si>
  <si>
    <t>12/21/2021</t>
  </si>
  <si>
    <t>12/22/2021</t>
  </si>
  <si>
    <t>12/23/2021</t>
  </si>
  <si>
    <t>12/27/2021</t>
  </si>
  <si>
    <t>12/28/2021</t>
  </si>
  <si>
    <t>12/29/2021</t>
  </si>
  <si>
    <t>12/30/2021</t>
  </si>
  <si>
    <t>12/31/2021</t>
  </si>
  <si>
    <t>1/3/2022</t>
  </si>
  <si>
    <t>1/4/2022</t>
  </si>
  <si>
    <t>1/5/2022</t>
  </si>
  <si>
    <t>1/6/2022</t>
  </si>
  <si>
    <t>1/7/2022</t>
  </si>
  <si>
    <t>1/10/2022</t>
  </si>
  <si>
    <t>1/11/2022</t>
  </si>
  <si>
    <t>1/12/2022</t>
  </si>
  <si>
    <t>1/13/2022</t>
  </si>
  <si>
    <t>1/14/2022</t>
  </si>
  <si>
    <t>1/18/2022</t>
  </si>
  <si>
    <t>1/19/2022</t>
  </si>
  <si>
    <t>1/20/2022</t>
  </si>
  <si>
    <t>1/21/2022</t>
  </si>
  <si>
    <t>1/24/2022</t>
  </si>
  <si>
    <t>1/25/2022</t>
  </si>
  <si>
    <t>1/26/2022</t>
  </si>
  <si>
    <t>1/27/2022</t>
  </si>
  <si>
    <t>1/28/2022</t>
  </si>
  <si>
    <t>1/31/2022</t>
  </si>
  <si>
    <t>2/1/2022</t>
  </si>
  <si>
    <t>2/2/2022</t>
  </si>
  <si>
    <t>2/3/2022</t>
  </si>
  <si>
    <t>2/4/2022</t>
  </si>
  <si>
    <t>2/7/2022</t>
  </si>
  <si>
    <t>2/8/2022</t>
  </si>
  <si>
    <t>2/9/2022</t>
  </si>
  <si>
    <t>2/10/2022</t>
  </si>
  <si>
    <t>2/11/2022</t>
  </si>
  <si>
    <t>2/14/2022</t>
  </si>
  <si>
    <t>2/15/2022</t>
  </si>
  <si>
    <t>2/16/2022</t>
  </si>
  <si>
    <t>2/17/2022</t>
  </si>
  <si>
    <t>2/18/2022</t>
  </si>
  <si>
    <t>2/22/2022</t>
  </si>
  <si>
    <t>2/23/2022</t>
  </si>
  <si>
    <t>2/24/2022</t>
  </si>
  <si>
    <t>2/25/2022</t>
  </si>
  <si>
    <t>2/28/2022</t>
  </si>
  <si>
    <t>3/1/2022</t>
  </si>
  <si>
    <t>3/2/2022</t>
  </si>
  <si>
    <t>3/3/2022</t>
  </si>
  <si>
    <t>3/4/2022</t>
  </si>
  <si>
    <t>3/7/2022</t>
  </si>
  <si>
    <t>3/8/2022</t>
  </si>
  <si>
    <t>3/9/2022</t>
  </si>
  <si>
    <t>3/10/2022</t>
  </si>
  <si>
    <t>3/11/2022</t>
  </si>
  <si>
    <t>3/14/2022</t>
  </si>
  <si>
    <t>3/15/2022</t>
  </si>
  <si>
    <t>3/16/2022</t>
  </si>
  <si>
    <t>3/17/2022</t>
  </si>
  <si>
    <t>3/18/2022</t>
  </si>
  <si>
    <t>3/21/2022</t>
  </si>
  <si>
    <t>3/22/2022</t>
  </si>
  <si>
    <t>3/23/2022</t>
  </si>
  <si>
    <t>3/24/2022</t>
  </si>
  <si>
    <t>3/25/2022</t>
  </si>
  <si>
    <t>3/28/2022</t>
  </si>
  <si>
    <t>3/29/2022</t>
  </si>
  <si>
    <t>3/30/2022</t>
  </si>
  <si>
    <t>3/31/2022</t>
  </si>
  <si>
    <t>4/1/2022</t>
  </si>
  <si>
    <t>4/4/2022</t>
  </si>
  <si>
    <t>4/5/2022</t>
  </si>
  <si>
    <t>4/6/2022</t>
  </si>
  <si>
    <t>4/7/2022</t>
  </si>
  <si>
    <t>4/8/2022</t>
  </si>
  <si>
    <t>4/11/2022</t>
  </si>
  <si>
    <t>4/12/2022</t>
  </si>
  <si>
    <t>4/13/2022</t>
  </si>
  <si>
    <t>4/14/2022</t>
  </si>
  <si>
    <t>4/18/2022</t>
  </si>
  <si>
    <t>4/19/2022</t>
  </si>
  <si>
    <t>4/20/2022</t>
  </si>
  <si>
    <t>4/21/2022</t>
  </si>
  <si>
    <t>4/22/2022</t>
  </si>
  <si>
    <t>4/25/2022</t>
  </si>
  <si>
    <t>4/26/2022</t>
  </si>
  <si>
    <t>4/27/2022</t>
  </si>
  <si>
    <t>4/28/2022</t>
  </si>
  <si>
    <t>4/29/2022</t>
  </si>
  <si>
    <t>5/2/2022</t>
  </si>
  <si>
    <t>5/3/2022</t>
  </si>
  <si>
    <t>5/4/2022</t>
  </si>
  <si>
    <t>5/5/2022</t>
  </si>
  <si>
    <t>5/6/2022</t>
  </si>
  <si>
    <t>5/9/2022</t>
  </si>
  <si>
    <t>5/10/2022</t>
  </si>
  <si>
    <t>5/11/2022</t>
  </si>
  <si>
    <t>5/12/2022</t>
  </si>
  <si>
    <t>5/13/2022</t>
  </si>
  <si>
    <t>5/16/2022</t>
  </si>
  <si>
    <t>5/17/2022</t>
  </si>
  <si>
    <t>5/18/2022</t>
  </si>
  <si>
    <t>5/19/2022</t>
  </si>
  <si>
    <t>5/20/2022</t>
  </si>
  <si>
    <t>5/23/2022</t>
  </si>
  <si>
    <t>5/24/2022</t>
  </si>
  <si>
    <t>5/25/2022</t>
  </si>
  <si>
    <t>5/26/2022</t>
  </si>
  <si>
    <t>5/27/2022</t>
  </si>
  <si>
    <t>5/31/2022</t>
  </si>
  <si>
    <t>6/1/2022</t>
  </si>
  <si>
    <t>6/2/2022</t>
  </si>
  <si>
    <t>6/3/2022</t>
  </si>
  <si>
    <t>6/6/2022</t>
  </si>
  <si>
    <t>6/7/2022</t>
  </si>
  <si>
    <t>6/8/2022</t>
  </si>
  <si>
    <t>6/9/2022</t>
  </si>
  <si>
    <t>6/10/2022</t>
  </si>
  <si>
    <t>6/13/2022</t>
  </si>
  <si>
    <t>6/14/2022</t>
  </si>
  <si>
    <t>6/15/2022</t>
  </si>
  <si>
    <t>6/16/2022</t>
  </si>
  <si>
    <t>6/17/2022</t>
  </si>
  <si>
    <t>6/21/2022</t>
  </si>
  <si>
    <t>6/22/2022</t>
  </si>
  <si>
    <t>6/23/2022</t>
  </si>
  <si>
    <t>6/24/2022</t>
  </si>
  <si>
    <t>6/27/2022</t>
  </si>
  <si>
    <t>6/28/2022</t>
  </si>
  <si>
    <t>6/29/2022</t>
  </si>
  <si>
    <t>6/30/2022</t>
  </si>
  <si>
    <t>7/1/2022</t>
  </si>
  <si>
    <t>7/5/2022</t>
  </si>
  <si>
    <t>7/6/2022</t>
  </si>
  <si>
    <t>7/7/2022</t>
  </si>
  <si>
    <t>7/8/2022</t>
  </si>
  <si>
    <t>7/11/2022</t>
  </si>
  <si>
    <t>7/12/2022</t>
  </si>
  <si>
    <t>7/13/2022</t>
  </si>
  <si>
    <t>7/14/2022</t>
  </si>
  <si>
    <t>7/15/2022</t>
  </si>
  <si>
    <t>7/18/2022</t>
  </si>
  <si>
    <t>7/19/2022</t>
  </si>
  <si>
    <t>7/20/2022</t>
  </si>
  <si>
    <t>7/21/2022</t>
  </si>
  <si>
    <t>7/22/2022</t>
  </si>
  <si>
    <t>7/25/2022</t>
  </si>
  <si>
    <t>7/26/2022</t>
  </si>
  <si>
    <t>7/27/2022</t>
  </si>
  <si>
    <t>7/28/2022</t>
  </si>
  <si>
    <t>7/29/2022</t>
  </si>
  <si>
    <t>8/1/2022</t>
  </si>
  <si>
    <t>8/2/2022</t>
  </si>
  <si>
    <t>8/3/2022</t>
  </si>
  <si>
    <t>8/4/2022</t>
  </si>
  <si>
    <t>8/5/2022</t>
  </si>
  <si>
    <t>8/8/2022</t>
  </si>
  <si>
    <t>8/9/2022</t>
  </si>
  <si>
    <t>8/10/2022</t>
  </si>
  <si>
    <t>8/11/2022</t>
  </si>
  <si>
    <t>8/12/2022</t>
  </si>
  <si>
    <t>8/15/2022</t>
  </si>
  <si>
    <t>8/16/2022</t>
  </si>
  <si>
    <t>8/17/2022</t>
  </si>
  <si>
    <t>8/18/2022</t>
  </si>
  <si>
    <t>8/19/2022</t>
  </si>
  <si>
    <t>8/22/2022</t>
  </si>
  <si>
    <t>8/23/2022</t>
  </si>
  <si>
    <t>8/24/2022</t>
  </si>
  <si>
    <t>8/25/2022</t>
  </si>
  <si>
    <t>8/26/2022</t>
  </si>
  <si>
    <t>8/29/2022</t>
  </si>
  <si>
    <t>8/30/2022</t>
  </si>
  <si>
    <t>8/31/2022</t>
  </si>
  <si>
    <t>9/1/2022</t>
  </si>
  <si>
    <t>9/2/2022</t>
  </si>
  <si>
    <t>9/6/2022</t>
  </si>
  <si>
    <t>9/7/2022</t>
  </si>
  <si>
    <t>9/8/2022</t>
  </si>
  <si>
    <t>9/9/2022</t>
  </si>
  <si>
    <t>9/12/2022</t>
  </si>
  <si>
    <t>9/13/2022</t>
  </si>
  <si>
    <t>9/14/2022</t>
  </si>
  <si>
    <t>9/15/2022</t>
  </si>
  <si>
    <t>9/16/2022</t>
  </si>
  <si>
    <t>9/19/2022</t>
  </si>
  <si>
    <t>9/20/2022</t>
  </si>
  <si>
    <t>9/21/2022</t>
  </si>
  <si>
    <t>9/22/2022</t>
  </si>
  <si>
    <t>9/23/2022</t>
  </si>
  <si>
    <t>9/26/2022</t>
  </si>
  <si>
    <t>9/27/2022</t>
  </si>
  <si>
    <t>9/28/2022</t>
  </si>
  <si>
    <t>9/29/2022</t>
  </si>
  <si>
    <t>9/30/2022</t>
  </si>
  <si>
    <t>10/3/2022</t>
  </si>
  <si>
    <t>10/4/2022</t>
  </si>
  <si>
    <t>10/5/2022</t>
  </si>
  <si>
    <t>10/6/2022</t>
  </si>
  <si>
    <t>10/7/2022</t>
  </si>
  <si>
    <t>10/10/2022</t>
  </si>
  <si>
    <t>10/11/2022</t>
  </si>
  <si>
    <t>10/12/2022</t>
  </si>
  <si>
    <t>10/13/2022</t>
  </si>
  <si>
    <t>10/14/2022</t>
  </si>
  <si>
    <t>10/17/2022</t>
  </si>
  <si>
    <t>10/18/2022</t>
  </si>
  <si>
    <t>10/19/2022</t>
  </si>
  <si>
    <t>10/20/2022</t>
  </si>
  <si>
    <t>10/21/2022</t>
  </si>
  <si>
    <t>10/24/2022</t>
  </si>
  <si>
    <t>10/25/2022</t>
  </si>
  <si>
    <t>10/26/2022</t>
  </si>
  <si>
    <t>10/27/2022</t>
  </si>
  <si>
    <t>10/28/2022</t>
  </si>
  <si>
    <t>10/31/2022</t>
  </si>
  <si>
    <t>11/1/2022</t>
  </si>
  <si>
    <t>11/2/2022</t>
  </si>
  <si>
    <t>11/3/2022</t>
  </si>
  <si>
    <t>11/4/2022</t>
  </si>
  <si>
    <t>11/7/2022</t>
  </si>
  <si>
    <t>11/8/2022</t>
  </si>
  <si>
    <t>11/9/2022</t>
  </si>
  <si>
    <t>11/10/2022</t>
  </si>
  <si>
    <t>11/11/2022</t>
  </si>
  <si>
    <t>11/14/2022</t>
  </si>
  <si>
    <t>11/15/2022</t>
  </si>
  <si>
    <t>11/16/2022</t>
  </si>
  <si>
    <t>11/17/2022</t>
  </si>
  <si>
    <t>11/18/2022</t>
  </si>
  <si>
    <t>11/21/2022</t>
  </si>
  <si>
    <t>11/22/2022</t>
  </si>
  <si>
    <t>11/23/2022</t>
  </si>
  <si>
    <t>11/25/2022</t>
  </si>
  <si>
    <t>11/28/2022</t>
  </si>
  <si>
    <t>11/29/2022</t>
  </si>
  <si>
    <t>11/30/2022</t>
  </si>
  <si>
    <t>12/1/2022</t>
  </si>
  <si>
    <t>12/2/2022</t>
  </si>
  <si>
    <t>12/5/2022</t>
  </si>
  <si>
    <t>12/6/2022</t>
  </si>
  <si>
    <t>12/7/2022</t>
  </si>
  <si>
    <t>12/8/2022</t>
  </si>
  <si>
    <t>12/9/2022</t>
  </si>
  <si>
    <t>12/12/2022</t>
  </si>
  <si>
    <t>12/13/2022</t>
  </si>
  <si>
    <t>12/14/2022</t>
  </si>
  <si>
    <t>12/15/2022</t>
  </si>
  <si>
    <t>12/16/2022</t>
  </si>
  <si>
    <t>12/19/2022</t>
  </si>
  <si>
    <t>12/20/2022</t>
  </si>
  <si>
    <t>12/21/2022</t>
  </si>
  <si>
    <t>12/22/2022</t>
  </si>
  <si>
    <t>12/23/2022</t>
  </si>
  <si>
    <t>12/27/2022</t>
  </si>
  <si>
    <t>12/28/2022</t>
  </si>
  <si>
    <t>12/29/2022</t>
  </si>
  <si>
    <t>12/30/2022</t>
  </si>
  <si>
    <t>1/3/2023</t>
  </si>
  <si>
    <t>1/4/2023</t>
  </si>
  <si>
    <t>1/5/2023</t>
  </si>
  <si>
    <t>1/6/2023</t>
  </si>
  <si>
    <t>1/9/2023</t>
  </si>
  <si>
    <t>1/10/2023</t>
  </si>
  <si>
    <t>1/11/2023</t>
  </si>
  <si>
    <t>1/12/2023</t>
  </si>
  <si>
    <t>1/13/2023</t>
  </si>
  <si>
    <t>1/17/2023</t>
  </si>
  <si>
    <t>1/18/2023</t>
  </si>
  <si>
    <t>1/19/2023</t>
  </si>
  <si>
    <t>1/20/2023</t>
  </si>
  <si>
    <t>1/23/2023</t>
  </si>
  <si>
    <t>1/24/2023</t>
  </si>
  <si>
    <t>1/25/2023</t>
  </si>
  <si>
    <t>1/26/2023</t>
  </si>
  <si>
    <t>1/27/2023</t>
  </si>
  <si>
    <t>1/30/2023</t>
  </si>
  <si>
    <t>1/31/2023</t>
  </si>
  <si>
    <t>2/1/2023</t>
  </si>
  <si>
    <t>2/2/2023</t>
  </si>
  <si>
    <t>2/3/2023</t>
  </si>
  <si>
    <t>2/6/2023</t>
  </si>
  <si>
    <t>2/7/2023</t>
  </si>
  <si>
    <t>2/8/2023</t>
  </si>
  <si>
    <t>2/9/2023</t>
  </si>
  <si>
    <t>2/10/2023</t>
  </si>
  <si>
    <t>2/13/2023</t>
  </si>
  <si>
    <t>2/14/2023</t>
  </si>
  <si>
    <t>2/15/2023</t>
  </si>
  <si>
    <t>2/16/2023</t>
  </si>
  <si>
    <t>2/17/2023</t>
  </si>
  <si>
    <t>2/21/2023</t>
  </si>
  <si>
    <t>2/22/2023</t>
  </si>
  <si>
    <t>2/23/2023</t>
  </si>
  <si>
    <t>2/24/2023</t>
  </si>
  <si>
    <t>2/27/2023</t>
  </si>
  <si>
    <t>2/28/2023</t>
  </si>
  <si>
    <t>3/1/2023</t>
  </si>
  <si>
    <t>3/2/2023</t>
  </si>
  <si>
    <t>3/3/2023</t>
  </si>
  <si>
    <t>3/6/2023</t>
  </si>
  <si>
    <t>3/7/2023</t>
  </si>
  <si>
    <t>3/8/2023</t>
  </si>
  <si>
    <t>3/9/2023</t>
  </si>
  <si>
    <t>3/10/2023</t>
  </si>
  <si>
    <t>3/13/2023</t>
  </si>
  <si>
    <t>3/14/2023</t>
  </si>
  <si>
    <t>3/15/2023</t>
  </si>
  <si>
    <t>3/16/2023</t>
  </si>
  <si>
    <t>3/17/2023</t>
  </si>
  <si>
    <t>3/20/2023</t>
  </si>
  <si>
    <t>3/21/2023</t>
  </si>
  <si>
    <t>3/22/2023</t>
  </si>
  <si>
    <t>3/23/2023</t>
  </si>
  <si>
    <t>3/24/2023</t>
  </si>
  <si>
    <t>3/27/2023</t>
  </si>
  <si>
    <t>3/28/2023</t>
  </si>
  <si>
    <t>3/29/2023</t>
  </si>
  <si>
    <t>3/30/2023</t>
  </si>
  <si>
    <t>3/31/2023</t>
  </si>
  <si>
    <t>4/3/2023</t>
  </si>
  <si>
    <t>4/4/2023</t>
  </si>
  <si>
    <t>4/5/2023</t>
  </si>
  <si>
    <t>4/6/2023</t>
  </si>
  <si>
    <t>4/10/2023</t>
  </si>
  <si>
    <t>4/11/2023</t>
  </si>
  <si>
    <t>4/12/2023</t>
  </si>
  <si>
    <t>4/13/2023</t>
  </si>
  <si>
    <t>4/14/2023</t>
  </si>
  <si>
    <t>4/17/2023</t>
  </si>
  <si>
    <t>4/18/2023</t>
  </si>
  <si>
    <t>4/19/2023</t>
  </si>
  <si>
    <t>4/20/2023</t>
  </si>
  <si>
    <t>4/21/2023</t>
  </si>
  <si>
    <t>4/24/2023</t>
  </si>
  <si>
    <t>4/25/2023</t>
  </si>
  <si>
    <t>4/26/2023</t>
  </si>
  <si>
    <t>4/27/2023</t>
  </si>
  <si>
    <t>4/28/2023</t>
  </si>
  <si>
    <t>5/1/2023</t>
  </si>
  <si>
    <t>5/2/2023</t>
  </si>
  <si>
    <t>5/3/2023</t>
  </si>
  <si>
    <t>5/4/2023</t>
  </si>
  <si>
    <t>5/5/2023</t>
  </si>
  <si>
    <t>5/8/2023</t>
  </si>
  <si>
    <t>5/9/2023</t>
  </si>
  <si>
    <t>5/10/2023</t>
  </si>
  <si>
    <t>5/11/2023</t>
  </si>
  <si>
    <t>5/12/2023</t>
  </si>
  <si>
    <t>5/15/2023</t>
  </si>
  <si>
    <t>5/16/2023</t>
  </si>
  <si>
    <t>5/17/2023</t>
  </si>
  <si>
    <t>5/18/2023</t>
  </si>
  <si>
    <t>5/19/2023</t>
  </si>
  <si>
    <t>5/22/2023</t>
  </si>
  <si>
    <t>5/23/2023</t>
  </si>
  <si>
    <t>5/24/2023</t>
  </si>
  <si>
    <t>5/25/2023</t>
  </si>
  <si>
    <t>5/26/2023</t>
  </si>
  <si>
    <t>5/30/2023</t>
  </si>
  <si>
    <t>5/31/2023</t>
  </si>
  <si>
    <t>6/1/2023</t>
  </si>
  <si>
    <t>6/2/2023</t>
  </si>
  <si>
    <t>6/5/2023</t>
  </si>
  <si>
    <t>6/6/2023</t>
  </si>
  <si>
    <t>6/7/2023</t>
  </si>
  <si>
    <t>6/8/2023</t>
  </si>
  <si>
    <t>6/9/2023</t>
  </si>
  <si>
    <t>6/12/2023</t>
  </si>
  <si>
    <t>6/13/2023</t>
  </si>
  <si>
    <t>6/14/2023</t>
  </si>
  <si>
    <t>6/15/2023</t>
  </si>
  <si>
    <t>6/16/2023</t>
  </si>
  <si>
    <t>6/20/2023</t>
  </si>
  <si>
    <t>6/21/2023</t>
  </si>
  <si>
    <t>6/22/2023</t>
  </si>
  <si>
    <t>6/23/2023</t>
  </si>
  <si>
    <t>6/26/2023</t>
  </si>
  <si>
    <t>6/27/2023</t>
  </si>
  <si>
    <t>6/28/2023</t>
  </si>
  <si>
    <t>6/29/2023</t>
  </si>
  <si>
    <t>6/30/2023</t>
  </si>
  <si>
    <t>7/3/2023</t>
  </si>
  <si>
    <t>7/5/2023</t>
  </si>
  <si>
    <t>7/6/2023</t>
  </si>
  <si>
    <t>7/7/2023</t>
  </si>
  <si>
    <t>7/10/2023</t>
  </si>
  <si>
    <t>7/11/2023</t>
  </si>
  <si>
    <t>7/12/2023</t>
  </si>
  <si>
    <t>7/13/2023</t>
  </si>
  <si>
    <t>7/14/2023</t>
  </si>
  <si>
    <t>7/17/2023</t>
  </si>
  <si>
    <t>7/18/2023</t>
  </si>
  <si>
    <t>7/19/2023</t>
  </si>
  <si>
    <t>7/20/2023</t>
  </si>
  <si>
    <t>7/21/2023</t>
  </si>
  <si>
    <t>7/24/2023</t>
  </si>
  <si>
    <t>7/25/2023</t>
  </si>
  <si>
    <t>7/26/2023</t>
  </si>
  <si>
    <t>7/27/2023</t>
  </si>
  <si>
    <t>7/28/2023</t>
  </si>
  <si>
    <t>7/31/2023</t>
  </si>
  <si>
    <t>8/1/2023</t>
  </si>
  <si>
    <t>8/2/2023</t>
  </si>
  <si>
    <t>8/3/2023</t>
  </si>
  <si>
    <t>8/4/2023</t>
  </si>
  <si>
    <t>8/7/2023</t>
  </si>
  <si>
    <t>8/8/2023</t>
  </si>
  <si>
    <t>8/9/2023</t>
  </si>
  <si>
    <t>8/10/2023</t>
  </si>
  <si>
    <t>8/11/2023</t>
  </si>
  <si>
    <t>8/14/2023</t>
  </si>
  <si>
    <t>8/15/2023</t>
  </si>
  <si>
    <t>8/16/2023</t>
  </si>
  <si>
    <t>8/17/2023</t>
  </si>
  <si>
    <t>8/18/2023</t>
  </si>
  <si>
    <t>8/21/2023</t>
  </si>
  <si>
    <t>8/22/2023</t>
  </si>
  <si>
    <t>8/23/2023</t>
  </si>
  <si>
    <t>8/24/2023</t>
  </si>
  <si>
    <t>8/25/2023</t>
  </si>
  <si>
    <t>8/28/2023</t>
  </si>
  <si>
    <t>8/29/2023</t>
  </si>
  <si>
    <t>8/30/2023</t>
  </si>
  <si>
    <t>8/31/2023</t>
  </si>
  <si>
    <t>9/1/2023</t>
  </si>
  <si>
    <t>9/5/2023</t>
  </si>
  <si>
    <t>9/6/2023</t>
  </si>
  <si>
    <t>9/7/2023</t>
  </si>
  <si>
    <t>9/8/2023</t>
  </si>
  <si>
    <t>9/11/2023</t>
  </si>
  <si>
    <t>9/12/2023</t>
  </si>
  <si>
    <t>9/13/2023</t>
  </si>
  <si>
    <t>9/14/2023</t>
  </si>
  <si>
    <t>9/15/2023</t>
  </si>
  <si>
    <t>9/18/2023</t>
  </si>
  <si>
    <t>9/19/2023</t>
  </si>
  <si>
    <t>9/20/2023</t>
  </si>
  <si>
    <t>9/21/2023</t>
  </si>
  <si>
    <t>9/22/2023</t>
  </si>
  <si>
    <t>9/25/2023</t>
  </si>
  <si>
    <t>9/26/2023</t>
  </si>
  <si>
    <t>9/27/2023</t>
  </si>
  <si>
    <t>9/28/2023</t>
  </si>
  <si>
    <t>9/29/2023</t>
  </si>
  <si>
    <t>10/2/2023</t>
  </si>
  <si>
    <t>10/3/2023</t>
  </si>
  <si>
    <t>10/4/2023</t>
  </si>
  <si>
    <t>10/5/2023</t>
  </si>
  <si>
    <t>10/6/2023</t>
  </si>
  <si>
    <t>10/9/2023</t>
  </si>
  <si>
    <t>10/10/2023</t>
  </si>
  <si>
    <t>10/11/2023</t>
  </si>
  <si>
    <t>10/12/2023</t>
  </si>
  <si>
    <t>10/13/2023</t>
  </si>
  <si>
    <t>10/16/2023</t>
  </si>
  <si>
    <t>10/17/2023</t>
  </si>
  <si>
    <t>10/18/2023</t>
  </si>
  <si>
    <t>10/19/2023</t>
  </si>
  <si>
    <t>10/20/2023</t>
  </si>
  <si>
    <t>10/23/2023</t>
  </si>
  <si>
    <t>10/24/2023</t>
  </si>
  <si>
    <t>10/25/2023</t>
  </si>
  <si>
    <t>10/26/2023</t>
  </si>
  <si>
    <t>10/27/2023</t>
  </si>
  <si>
    <t>10/30/2023</t>
  </si>
  <si>
    <t>10/31/2023</t>
  </si>
  <si>
    <t>11/1/2023</t>
  </si>
  <si>
    <t>11/2/2023</t>
  </si>
  <si>
    <t>11/3/2023</t>
  </si>
  <si>
    <t>11/6/2023</t>
  </si>
  <si>
    <t>11/7/2023</t>
  </si>
  <si>
    <t>11/8/2023</t>
  </si>
  <si>
    <t>11/9/2023</t>
  </si>
  <si>
    <t>11/10/2023</t>
  </si>
  <si>
    <t>11/13/2023</t>
  </si>
  <si>
    <t>11/14/2023</t>
  </si>
  <si>
    <t>11/15/2023</t>
  </si>
  <si>
    <t>11/16/2023</t>
  </si>
  <si>
    <t>11/17/2023</t>
  </si>
  <si>
    <t>11/20/2023</t>
  </si>
  <si>
    <t>11/21/2023</t>
  </si>
  <si>
    <t>11/22/2023</t>
  </si>
  <si>
    <t>11/24/2023</t>
  </si>
  <si>
    <t>11/27/2023</t>
  </si>
  <si>
    <t>11/28/2023</t>
  </si>
  <si>
    <t>11/29/2023</t>
  </si>
  <si>
    <t>11/30/2023</t>
  </si>
  <si>
    <t>12/1/2023</t>
  </si>
  <si>
    <t>12/4/2023</t>
  </si>
  <si>
    <t>12/5/2023</t>
  </si>
  <si>
    <t>12/6/2023</t>
  </si>
  <si>
    <t>12/7/2023</t>
  </si>
  <si>
    <t>12/8/2023</t>
  </si>
  <si>
    <t>12/11/2023</t>
  </si>
  <si>
    <t>12/12/2023</t>
  </si>
  <si>
    <t>12/13/2023</t>
  </si>
  <si>
    <t>12/14/2023</t>
  </si>
  <si>
    <t>12/15/2023</t>
  </si>
  <si>
    <t>12/18/2023</t>
  </si>
  <si>
    <t>12/19/2023</t>
  </si>
  <si>
    <t>12/20/2023</t>
  </si>
  <si>
    <t>12/21/2023</t>
  </si>
  <si>
    <t>12/22/2023</t>
  </si>
  <si>
    <t>12/26/2023</t>
  </si>
  <si>
    <t>12/27/2023</t>
  </si>
  <si>
    <t>12/28/2023</t>
  </si>
  <si>
    <t>12/29/2023</t>
  </si>
  <si>
    <t>1/2/2024</t>
  </si>
  <si>
    <t>1/3/2024</t>
  </si>
  <si>
    <t>1/4/2024</t>
  </si>
  <si>
    <t>1/5/2024</t>
  </si>
  <si>
    <t>1/8/2024</t>
  </si>
  <si>
    <t>1/9/2024</t>
  </si>
  <si>
    <t>1/10/2024</t>
  </si>
  <si>
    <t>1/11/2024</t>
  </si>
  <si>
    <t>1/12/2024</t>
  </si>
  <si>
    <t>1/16/2024</t>
  </si>
  <si>
    <t>1/17/2024</t>
  </si>
  <si>
    <t>1/18/2024</t>
  </si>
  <si>
    <t>1/19/2024</t>
  </si>
  <si>
    <t>1/22/2024</t>
  </si>
  <si>
    <t>1/23/2024</t>
  </si>
  <si>
    <t>1/24/2024</t>
  </si>
  <si>
    <t>1/25/2024</t>
  </si>
  <si>
    <t>1/26/2024</t>
  </si>
  <si>
    <t>1/29/2024</t>
  </si>
  <si>
    <t>1/30/2024</t>
  </si>
  <si>
    <t>1/31/2024</t>
  </si>
  <si>
    <t>2/1/2024</t>
  </si>
  <si>
    <t>2/2/2024</t>
  </si>
  <si>
    <t>2/5/2024</t>
  </si>
  <si>
    <t>2/6/2024</t>
  </si>
  <si>
    <t>2/7/2024</t>
  </si>
  <si>
    <t>2/8/2024</t>
  </si>
  <si>
    <t>2/9/2024</t>
  </si>
  <si>
    <t>2/12/2024</t>
  </si>
  <si>
    <t>2/13/2024</t>
  </si>
  <si>
    <t>2/14/2024</t>
  </si>
  <si>
    <t>2/15/2024</t>
  </si>
  <si>
    <t>2/16/2024</t>
  </si>
  <si>
    <t>2/20/2024</t>
  </si>
  <si>
    <t>2/21/2024</t>
  </si>
  <si>
    <t>2/22/2024</t>
  </si>
  <si>
    <t>2/23/2024</t>
  </si>
  <si>
    <t>2/26/2024</t>
  </si>
  <si>
    <t>2/27/2024</t>
  </si>
  <si>
    <t>2/28/2024</t>
  </si>
  <si>
    <t>2/29/2024</t>
  </si>
  <si>
    <t>3/1/2024</t>
  </si>
  <si>
    <t>3/4/2024</t>
  </si>
  <si>
    <t>3/5/2024</t>
  </si>
  <si>
    <t>3/6/2024</t>
  </si>
  <si>
    <t>3/7/2024</t>
  </si>
  <si>
    <t>3/8/2024</t>
  </si>
  <si>
    <t>3/11/2024</t>
  </si>
  <si>
    <t>3/12/2024</t>
  </si>
  <si>
    <t>3/13/2024</t>
  </si>
  <si>
    <t>3/14/2024</t>
  </si>
  <si>
    <t>3/15/2024</t>
  </si>
  <si>
    <t>3/18/2024</t>
  </si>
  <si>
    <t>3/19/2024</t>
  </si>
  <si>
    <t>3/20/2024</t>
  </si>
  <si>
    <t>3/21/2024</t>
  </si>
  <si>
    <t>3/22/2024</t>
  </si>
  <si>
    <t>3/25/2024</t>
  </si>
  <si>
    <t>3/26/2024</t>
  </si>
  <si>
    <t>3/27/2024</t>
  </si>
  <si>
    <t>3/28/2024</t>
  </si>
  <si>
    <t>4/1/2024</t>
  </si>
  <si>
    <t>4/2/2024</t>
  </si>
  <si>
    <t>4/3/2024</t>
  </si>
  <si>
    <t>4/4/2024</t>
  </si>
  <si>
    <t>4/5/2024</t>
  </si>
  <si>
    <t>4/8/2024</t>
  </si>
  <si>
    <t>4/9/2024</t>
  </si>
  <si>
    <t>4/10/2024</t>
  </si>
  <si>
    <t>4/11/2024</t>
  </si>
  <si>
    <t>4/12/2024</t>
  </si>
  <si>
    <t>4/15/2024</t>
  </si>
  <si>
    <t>4/16/2024</t>
  </si>
  <si>
    <t>4/17/2024</t>
  </si>
  <si>
    <t>4/18/2024</t>
  </si>
  <si>
    <t>4/19/2024</t>
  </si>
  <si>
    <t>4/22/2024</t>
  </si>
  <si>
    <t>4/23/2024</t>
  </si>
  <si>
    <t>4/24/2024</t>
  </si>
  <si>
    <t>4/25/2024</t>
  </si>
  <si>
    <t>4/26/2024</t>
  </si>
  <si>
    <t>4/29/2024</t>
  </si>
  <si>
    <t>4/30/2024</t>
  </si>
  <si>
    <t>5/1/2024</t>
  </si>
  <si>
    <t>5/2/2024</t>
  </si>
  <si>
    <t>5/3/2024</t>
  </si>
  <si>
    <t>5/6/2024</t>
  </si>
  <si>
    <t>5/7/2024</t>
  </si>
  <si>
    <t>5/8/2024</t>
  </si>
  <si>
    <t>5/9/2024</t>
  </si>
  <si>
    <t>5/10/2024</t>
  </si>
  <si>
    <t>5/13/2024</t>
  </si>
  <si>
    <t>5/14/2024</t>
  </si>
  <si>
    <t>5/15/2024</t>
  </si>
  <si>
    <t>5/16/2024</t>
  </si>
  <si>
    <t>5/17/2024</t>
  </si>
  <si>
    <t>5/20/2024</t>
  </si>
  <si>
    <t>5/21/2024</t>
  </si>
  <si>
    <t>5/22/2024</t>
  </si>
  <si>
    <t>5/23/2024</t>
  </si>
  <si>
    <t>5/24/2024</t>
  </si>
  <si>
    <t>5/28/2024</t>
  </si>
  <si>
    <t>5/29/2024</t>
  </si>
  <si>
    <t>5/30/2024</t>
  </si>
  <si>
    <t>5/31/2024</t>
  </si>
  <si>
    <t>6/3/2024</t>
  </si>
  <si>
    <t>6/4/2024</t>
  </si>
  <si>
    <t>6/5/2024</t>
  </si>
  <si>
    <t>6/6/2024</t>
  </si>
  <si>
    <t>6/7/2024</t>
  </si>
  <si>
    <t>6/10/2024</t>
  </si>
  <si>
    <t>6/11/2024</t>
  </si>
  <si>
    <t>6/12/2024</t>
  </si>
  <si>
    <t>6/13/2024</t>
  </si>
  <si>
    <t>6/14/2024</t>
  </si>
  <si>
    <t>6/17/2024</t>
  </si>
  <si>
    <t>6/18/2024</t>
  </si>
  <si>
    <t>6/20/2024</t>
  </si>
  <si>
    <t>6/21/2024</t>
  </si>
  <si>
    <t>6/24/2024</t>
  </si>
  <si>
    <t>6/25/2024</t>
  </si>
  <si>
    <t>6/26/2024</t>
  </si>
  <si>
    <t>6/27/2024</t>
  </si>
  <si>
    <t>6/28/2024</t>
  </si>
  <si>
    <t>7/1/2024</t>
  </si>
  <si>
    <t>7/2/2024</t>
  </si>
  <si>
    <t>7/3/2024</t>
  </si>
  <si>
    <t>7/5/2024</t>
  </si>
  <si>
    <t>7/8/2024</t>
  </si>
  <si>
    <t>7/9/2024</t>
  </si>
  <si>
    <t>7/10/2024</t>
  </si>
  <si>
    <t>7/11/2024</t>
  </si>
  <si>
    <t>7/12/2024</t>
  </si>
  <si>
    <t>7/15/2024</t>
  </si>
  <si>
    <t>7/16/2024</t>
  </si>
  <si>
    <t>7/17/2024</t>
  </si>
  <si>
    <t>7/18/2024</t>
  </si>
  <si>
    <t>7/19/2024</t>
  </si>
  <si>
    <t>7/22/2024</t>
  </si>
  <si>
    <t>7/23/2024</t>
  </si>
  <si>
    <t>7/24/2024</t>
  </si>
  <si>
    <t>7/25/2024</t>
  </si>
  <si>
    <t>7/26/2024</t>
  </si>
  <si>
    <t>7/29/2024</t>
  </si>
  <si>
    <t>7/30/2024</t>
  </si>
  <si>
    <t>7/31/2024</t>
  </si>
  <si>
    <t>8/1/2024</t>
  </si>
  <si>
    <t>8/2/2024</t>
  </si>
  <si>
    <t>8/5/2024</t>
  </si>
  <si>
    <t>8/6/2024</t>
  </si>
  <si>
    <t>8/7/2024</t>
  </si>
  <si>
    <t>8/8/2024</t>
  </si>
  <si>
    <t>8/9/2024</t>
  </si>
  <si>
    <t>8/12/2024</t>
  </si>
  <si>
    <t>8/13/2024</t>
  </si>
  <si>
    <t>8/14/2024</t>
  </si>
  <si>
    <t>8/15/2024</t>
  </si>
  <si>
    <t>8/16/2024</t>
  </si>
  <si>
    <t>8/19/2024</t>
  </si>
  <si>
    <t>8/20/2024</t>
  </si>
  <si>
    <t>8/21/2024</t>
  </si>
  <si>
    <t>8/22/2024</t>
  </si>
  <si>
    <t>8/23/2024</t>
  </si>
  <si>
    <t>8/26/2024</t>
  </si>
  <si>
    <t>8/27/2024</t>
  </si>
  <si>
    <t>8/28/2024</t>
  </si>
  <si>
    <t>8/29/2024</t>
  </si>
  <si>
    <t>8/30/2024</t>
  </si>
  <si>
    <t>9/3/2024</t>
  </si>
  <si>
    <t>9/4/2024</t>
  </si>
  <si>
    <t>9/5/2024</t>
  </si>
  <si>
    <t>9/6/2024</t>
  </si>
  <si>
    <t>9/9/2024</t>
  </si>
  <si>
    <t>9/10/2024</t>
  </si>
  <si>
    <t>9/11/2024</t>
  </si>
  <si>
    <t>9/12/2024</t>
  </si>
  <si>
    <t>9/13/2024</t>
  </si>
  <si>
    <t>9/16/2024</t>
  </si>
  <si>
    <t>9/17/2024</t>
  </si>
  <si>
    <t>9/18/2024</t>
  </si>
  <si>
    <t>9/19/2024</t>
  </si>
  <si>
    <t>9/20/2024</t>
  </si>
  <si>
    <t>9/23/2024</t>
  </si>
  <si>
    <t>9/24/2024</t>
  </si>
  <si>
    <t>9/25/2024</t>
  </si>
  <si>
    <t>9/26/2024</t>
  </si>
  <si>
    <t>9/27/2024</t>
  </si>
  <si>
    <t>9/30/2024</t>
  </si>
  <si>
    <t>10/1/2024</t>
  </si>
  <si>
    <t>10/2/2024</t>
  </si>
  <si>
    <t>10/3/2024</t>
  </si>
  <si>
    <t>10/4/2024</t>
  </si>
  <si>
    <t>10/7/2024</t>
  </si>
  <si>
    <t>10/8/2024</t>
  </si>
  <si>
    <t>10/9/2024</t>
  </si>
  <si>
    <t>10/10/2024</t>
  </si>
  <si>
    <t>10/11/2024</t>
  </si>
  <si>
    <t>10/14/2024</t>
  </si>
  <si>
    <t>10/15/2024</t>
  </si>
  <si>
    <t>10/16/2024</t>
  </si>
  <si>
    <t>10/17/2024</t>
  </si>
  <si>
    <t>10/18/2024</t>
  </si>
  <si>
    <t>10/21/2024</t>
  </si>
  <si>
    <t>10/22/2024</t>
  </si>
  <si>
    <t>10/23/2024</t>
  </si>
  <si>
    <t>10/24/2024</t>
  </si>
  <si>
    <t>10/25/2024</t>
  </si>
  <si>
    <t>10/28/2024</t>
  </si>
  <si>
    <t>10/29/2024</t>
  </si>
  <si>
    <t>10/30/2024</t>
  </si>
  <si>
    <t>10/31/2024</t>
  </si>
  <si>
    <t>11/1/2024</t>
  </si>
  <si>
    <t>11/4/2024</t>
  </si>
  <si>
    <t>11/5/2024</t>
  </si>
  <si>
    <t>11/6/2024</t>
  </si>
  <si>
    <t>11/7/2024</t>
  </si>
  <si>
    <t>11/8/2024</t>
  </si>
  <si>
    <t>11/11/2024</t>
  </si>
  <si>
    <t>11/12/2024</t>
  </si>
  <si>
    <t>11/13/2024</t>
  </si>
  <si>
    <t>11/14/2024</t>
  </si>
  <si>
    <t>11/15/2024</t>
  </si>
  <si>
    <t>11/18/2024</t>
  </si>
  <si>
    <t>11/19/2024</t>
  </si>
  <si>
    <t>11/20/2024</t>
  </si>
  <si>
    <t>11/21/2024</t>
  </si>
  <si>
    <t>11/22/2024</t>
  </si>
  <si>
    <t>11/25/2024</t>
  </si>
  <si>
    <t>11/26/2024</t>
  </si>
  <si>
    <t>11/27/2024</t>
  </si>
  <si>
    <t>11/29/2024</t>
  </si>
  <si>
    <t>12/2/2024</t>
  </si>
  <si>
    <t>12/3/2024</t>
  </si>
  <si>
    <t>12/4/2024</t>
  </si>
  <si>
    <t>12/5/2024</t>
  </si>
  <si>
    <t>12/6/2024</t>
  </si>
  <si>
    <t>12/9/2024</t>
  </si>
  <si>
    <t>12/10/2024</t>
  </si>
  <si>
    <t>12/11/2024</t>
  </si>
  <si>
    <t>12/12/2024</t>
  </si>
  <si>
    <t>12/13/2024</t>
  </si>
  <si>
    <t>12/16/2024</t>
  </si>
  <si>
    <t>12/17/2024</t>
  </si>
  <si>
    <t>12/18/2024</t>
  </si>
  <si>
    <t>12/19/2024</t>
  </si>
  <si>
    <t>12/20/2024</t>
  </si>
  <si>
    <t>12/23/2024</t>
  </si>
  <si>
    <t>12/24/2024</t>
  </si>
  <si>
    <t>12/26/2024</t>
  </si>
  <si>
    <t>12/27/2024</t>
  </si>
  <si>
    <t>12/30/2024</t>
  </si>
  <si>
    <t>12/31/2024</t>
  </si>
  <si>
    <t>1/2/2025</t>
  </si>
  <si>
    <t>1/3/2025</t>
  </si>
  <si>
    <t>1/6/2025</t>
  </si>
  <si>
    <t>1/7/2025</t>
  </si>
  <si>
    <t>1/8/2025</t>
  </si>
  <si>
    <t>1/10/2025</t>
  </si>
  <si>
    <t>1/13/2025</t>
  </si>
  <si>
    <t>1/14/2025</t>
  </si>
  <si>
    <t>1/15/2025</t>
  </si>
  <si>
    <t>1/16/2025</t>
  </si>
  <si>
    <t>1/17/2025</t>
  </si>
  <si>
    <t>1/21/2025</t>
  </si>
  <si>
    <t>1/22/2025</t>
  </si>
  <si>
    <t>1/23/2025</t>
  </si>
  <si>
    <t>1/24/2025</t>
  </si>
  <si>
    <t>1/27/2025</t>
  </si>
  <si>
    <t>1/28/2025</t>
  </si>
  <si>
    <t>1/29/2025</t>
  </si>
  <si>
    <t>1/30/2025</t>
  </si>
  <si>
    <t>1/31/2025</t>
  </si>
  <si>
    <t>2/3/2025</t>
  </si>
  <si>
    <t>2/4/2025</t>
  </si>
  <si>
    <t>2/5/2025</t>
  </si>
  <si>
    <t>2/6/2025</t>
  </si>
  <si>
    <t>2/7/2025</t>
  </si>
  <si>
    <t>2/10/2025</t>
  </si>
  <si>
    <t>2/11/2025</t>
  </si>
  <si>
    <t>2/12/2025</t>
  </si>
  <si>
    <t>2/13/2025</t>
  </si>
  <si>
    <t>2/14/2025</t>
  </si>
  <si>
    <t>2/18/2025</t>
  </si>
  <si>
    <t>2/19/2025</t>
  </si>
  <si>
    <t>2/20/2025</t>
  </si>
  <si>
    <t>2/21/2025</t>
  </si>
  <si>
    <t>2/24/2025</t>
  </si>
  <si>
    <t>2/25/2025</t>
  </si>
  <si>
    <t>2/26/2025</t>
  </si>
  <si>
    <t>2/27/2025</t>
  </si>
  <si>
    <t>2/28/2025</t>
  </si>
  <si>
    <t>3/3/2025</t>
  </si>
  <si>
    <t>3/4/2025</t>
  </si>
  <si>
    <t>3/5/2025</t>
  </si>
  <si>
    <t>3/6/2025</t>
  </si>
  <si>
    <t>3/7/2025</t>
  </si>
  <si>
    <t>3/10/2025</t>
  </si>
  <si>
    <t>3/11/2025</t>
  </si>
  <si>
    <t>3/12/2025</t>
  </si>
  <si>
    <t>3/13/2025</t>
  </si>
  <si>
    <t>3/14/2025</t>
  </si>
  <si>
    <t>3/17/2025</t>
  </si>
  <si>
    <t>3/18/2025</t>
  </si>
  <si>
    <t>3/19/2025</t>
  </si>
  <si>
    <t>3/20/2025</t>
  </si>
  <si>
    <t>3/21/2025</t>
  </si>
  <si>
    <t>3/24/2025</t>
  </si>
  <si>
    <t>3/25/2025</t>
  </si>
  <si>
    <t>3/26/2025</t>
  </si>
  <si>
    <t>3/27/2025</t>
  </si>
  <si>
    <t>3/28/2025</t>
  </si>
  <si>
    <t>3/31/2025</t>
  </si>
  <si>
    <t>4/1/2025</t>
  </si>
  <si>
    <t>4/2/2025</t>
  </si>
  <si>
    <t>4/3/2025</t>
  </si>
  <si>
    <t>4/4/2025</t>
  </si>
  <si>
    <t>4/7/2025</t>
  </si>
  <si>
    <t>4/8/2025</t>
  </si>
  <si>
    <t>4/9/2025</t>
  </si>
  <si>
    <t>4/10/2025</t>
  </si>
  <si>
    <t>4/11/2025</t>
  </si>
  <si>
    <t>4/14/2025</t>
  </si>
  <si>
    <t>4/15/2025</t>
  </si>
  <si>
    <t>4/16/2025</t>
  </si>
  <si>
    <t>4/17/2025</t>
  </si>
  <si>
    <t>4/21/2025</t>
  </si>
  <si>
    <t>4/22/2025</t>
  </si>
  <si>
    <t>4/23/2025</t>
  </si>
  <si>
    <t>4/24/2025</t>
  </si>
  <si>
    <t>4/25/2025</t>
  </si>
  <si>
    <t>4/28/2025</t>
  </si>
  <si>
    <t>4/29/2025</t>
  </si>
  <si>
    <t>4/30/2025</t>
  </si>
  <si>
    <t>5/1/2025</t>
  </si>
  <si>
    <t>5/2/2025</t>
  </si>
  <si>
    <t>5/5/2025</t>
  </si>
  <si>
    <t>5/6/2025</t>
  </si>
  <si>
    <t>5/7/2025</t>
  </si>
  <si>
    <t>5/8/2025</t>
  </si>
  <si>
    <t>5/9/2025</t>
  </si>
  <si>
    <t>5/12/2025</t>
  </si>
  <si>
    <t>5/13/2025</t>
  </si>
  <si>
    <t>5/14/2025</t>
  </si>
  <si>
    <t>5/15/2025</t>
  </si>
  <si>
    <t>5/16/2025</t>
  </si>
  <si>
    <t>5/19/2025</t>
  </si>
  <si>
    <t>5/20/2025</t>
  </si>
  <si>
    <t>5/21/2025</t>
  </si>
  <si>
    <t>5/22/2025</t>
  </si>
  <si>
    <t>5/23/2025</t>
  </si>
  <si>
    <t>5/27/2025</t>
  </si>
  <si>
    <t>5/28/2025</t>
  </si>
  <si>
    <t>5/29/2025</t>
  </si>
  <si>
    <t>5/30/2025</t>
  </si>
  <si>
    <t>6/2/2025</t>
  </si>
  <si>
    <t>6/3/2025</t>
  </si>
  <si>
    <t>6/4/2025</t>
  </si>
  <si>
    <t>6/5/2025</t>
  </si>
  <si>
    <t>6/6/2025</t>
  </si>
  <si>
    <t>6/9/2025</t>
  </si>
  <si>
    <t>6/10/2025</t>
  </si>
  <si>
    <t>6/11/2025</t>
  </si>
  <si>
    <t>6/12/2025</t>
  </si>
  <si>
    <t>6/13/2025</t>
  </si>
  <si>
    <t>6/16/2025</t>
  </si>
  <si>
    <t>6/17/2025</t>
  </si>
  <si>
    <t>6/18/2025</t>
  </si>
  <si>
    <t>6/20/2025</t>
  </si>
  <si>
    <t>6/23/2025</t>
  </si>
  <si>
    <t>6/24/2025</t>
  </si>
  <si>
    <t>6/25/2025</t>
  </si>
  <si>
    <t>6/26/2025</t>
  </si>
  <si>
    <t>6/27/2025</t>
  </si>
  <si>
    <t>6/30/2025</t>
  </si>
  <si>
    <t>7/1/2025</t>
  </si>
  <si>
    <t>7/2/2025</t>
  </si>
  <si>
    <t>7/3/2025</t>
  </si>
  <si>
    <t>7/7/2025</t>
  </si>
  <si>
    <t>7/8/2025</t>
  </si>
  <si>
    <t>7/9/2025</t>
  </si>
  <si>
    <t>7/10/2025</t>
  </si>
  <si>
    <t>7/11/2025</t>
  </si>
  <si>
    <t>7/14/2025</t>
  </si>
  <si>
    <t>7/15/2025</t>
  </si>
  <si>
    <t>7/16/2025</t>
  </si>
  <si>
    <t>7/17/2025</t>
  </si>
  <si>
    <t>7/18/2025</t>
  </si>
  <si>
    <t>7/21/2025</t>
  </si>
  <si>
    <t>7/22/2025</t>
  </si>
  <si>
    <t>7/23/2025</t>
  </si>
  <si>
    <t>7/24/2025</t>
  </si>
  <si>
    <t>7/25/2025</t>
  </si>
  <si>
    <t>7/28/2025</t>
  </si>
  <si>
    <t>7/29/2025</t>
  </si>
  <si>
    <t>7/30/2025</t>
  </si>
  <si>
    <t>7/31/2025</t>
  </si>
  <si>
    <t>8/1/2025</t>
  </si>
  <si>
    <t>8/4/2025</t>
  </si>
  <si>
    <t>8/5/2025</t>
  </si>
  <si>
    <t>8/6/2025</t>
  </si>
  <si>
    <t>8/7/2025</t>
  </si>
  <si>
    <t>8/8/2025</t>
  </si>
  <si>
    <t>8/11/2025</t>
  </si>
  <si>
    <t>8/12/2025</t>
  </si>
  <si>
    <t>8/13/2025</t>
  </si>
  <si>
    <t>8/14/2025</t>
  </si>
  <si>
    <t>8/15/2025</t>
  </si>
  <si>
    <t>8/18/2025</t>
  </si>
  <si>
    <t>8/19/2025</t>
  </si>
  <si>
    <t>8/20/2025</t>
  </si>
  <si>
    <t>8/21/2025</t>
  </si>
  <si>
    <t>8/22/2025</t>
  </si>
  <si>
    <t>8/25/2025</t>
  </si>
  <si>
    <t>8/26/2025</t>
  </si>
  <si>
    <t>8/27/2025</t>
  </si>
  <si>
    <t>8/28/2025</t>
  </si>
  <si>
    <t>8/29/2025</t>
  </si>
  <si>
    <t>9/2/2025</t>
  </si>
  <si>
    <t>9/3/2025</t>
  </si>
  <si>
    <t>9/4/2025</t>
  </si>
  <si>
    <t>9/5/2025</t>
  </si>
  <si>
    <t>9/8/2025</t>
  </si>
  <si>
    <t>9/9/2025</t>
  </si>
  <si>
    <t>9/10/2025</t>
  </si>
  <si>
    <t>9/11/2025</t>
  </si>
  <si>
    <t>9/12/2025</t>
  </si>
  <si>
    <t>9/15/2025</t>
  </si>
  <si>
    <t>9/16/2025</t>
  </si>
  <si>
    <t>9/17/2025</t>
  </si>
  <si>
    <t>9/18/2025</t>
  </si>
  <si>
    <t>9/19/2025</t>
  </si>
  <si>
    <t>9/22/2025</t>
  </si>
  <si>
    <t>9/23/2025</t>
  </si>
  <si>
    <t>9/24/2025</t>
  </si>
  <si>
    <t>9/25/2025</t>
  </si>
  <si>
    <t>9/26/2025</t>
  </si>
  <si>
    <t>9/29/2025</t>
  </si>
  <si>
    <t>9/30/2025</t>
  </si>
  <si>
    <t>10/1/2025</t>
  </si>
  <si>
    <t>10/2/2025</t>
  </si>
  <si>
    <t>10/3/2025</t>
  </si>
  <si>
    <t>10/6/2025</t>
  </si>
  <si>
    <t>10/7/2025</t>
  </si>
  <si>
    <t>10/8/2025</t>
  </si>
  <si>
    <t>10/9/2025</t>
  </si>
  <si>
    <t>10/10/2025</t>
  </si>
  <si>
    <t>10/13/2025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</si>
  <si>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</si>
  <si>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</si>
  <si>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</si>
  <si>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</si>
  <si>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</si>
  <si>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</si>
  <si>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</si>
  <si>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</si>
  <si>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</si>
  <si>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</si>
  <si>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</si>
  <si>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</si>
  <si>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</si>
  <si>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</si>
  <si>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11/3/2025</t>
  </si>
  <si>
    <t>11/4/2025</t>
  </si>
  <si>
    <t>11/5/2025</t>
  </si>
  <si>
    <t>11/6/2025</t>
  </si>
  <si>
    <t>11/7/2025</t>
  </si>
  <si>
    <t>11/10/2025</t>
  </si>
  <si>
    <t>11/11/2025</t>
  </si>
  <si>
    <t>11/12/2025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</si>
  <si>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</si>
  <si>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</si>
  <si>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</si>
  <si>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</si>
  <si>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</si>
  <si>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</si>
  <si>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</si>
  <si>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</si>
  <si>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</si>
  <si>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</si>
  <si>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11/28/2025</t>
  </si>
  <si>
    <t>12/1/2025</t>
  </si>
  <si>
    <t>12/2/2025</t>
  </si>
  <si>
    <t>12/3/2025</t>
  </si>
  <si>
    <t>12/4/2025</t>
  </si>
  <si>
    <t>12/5/2025</t>
  </si>
  <si>
    <t>12/8/2025</t>
  </si>
  <si>
    <t>12/9/2025</t>
  </si>
  <si>
    <t>12/10/2025</t>
  </si>
  <si>
    <t>12/11/2025</t>
  </si>
  <si>
    <t>12/12/2025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</si>
  <si>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</si>
  <si>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</si>
  <si>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</si>
  <si>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</si>
  <si>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</si>
  <si>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</si>
  <si>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</si>
  <si>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12/24/2025</t>
  </si>
  <si>
    <t>12/26/2025</t>
  </si>
  <si>
    <t>12/29/2025</t>
  </si>
  <si>
    <t>12/30/2025</t>
  </si>
  <si>
    <t>12/31/2025</t>
  </si>
  <si>
    <t>Market Return</t>
  </si>
  <si>
    <t>Risk Free Rate</t>
  </si>
  <si>
    <t>Beta (KO)</t>
  </si>
  <si>
    <t>Average KO Return</t>
  </si>
  <si>
    <t>KO Volatility</t>
  </si>
  <si>
    <t>WACC</t>
  </si>
  <si>
    <t>Beta</t>
  </si>
  <si>
    <t>Tax Rate</t>
  </si>
  <si>
    <t>Cost of Debt</t>
  </si>
  <si>
    <t>Equity Weight</t>
  </si>
  <si>
    <t>Debt Weight</t>
  </si>
  <si>
    <t>Total Debt (Billion)</t>
  </si>
  <si>
    <t>Interest Expense (Billion)</t>
  </si>
  <si>
    <t>Market Cap (Equity (Billion))</t>
  </si>
  <si>
    <t>Free Cash Flow (Billion)</t>
  </si>
  <si>
    <t>Free Cash Flow Table</t>
  </si>
  <si>
    <t>Year</t>
  </si>
  <si>
    <t>Free Cash Flow</t>
  </si>
  <si>
    <t>Present Value</t>
  </si>
  <si>
    <t>Growth Rate (g)</t>
  </si>
  <si>
    <t>Terminal Value (Billion)</t>
  </si>
  <si>
    <t>PV of Terminal Value (Billion)</t>
  </si>
  <si>
    <t>Total PV of Cash Flow (Billion)</t>
  </si>
  <si>
    <t>Intrinsic Stock Price</t>
  </si>
  <si>
    <t>Shares Outstanding (from Yahoo Finance (Billion))</t>
  </si>
  <si>
    <t>Final Comparison Table</t>
  </si>
  <si>
    <t>Intrinsic Value (Stock Price)</t>
  </si>
  <si>
    <t>Market Price (from dataset)</t>
  </si>
  <si>
    <t>Item</t>
  </si>
  <si>
    <t>Value ($)</t>
  </si>
  <si>
    <t>Firm Value/Enterprice Value (Billion)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</si>
  <si>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</si>
  <si>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</si>
  <si>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</si>
  <si>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</si>
  <si>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</si>
  <si>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</si>
  <si>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</si>
  <si>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</si>
  <si>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</si>
  <si>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</si>
  <si>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</si>
  <si>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</si>
  <si>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</si>
  <si>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</si>
  <si>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</si>
  <si>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</si>
  <si>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</si>
  <si>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</si>
  <si>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</si>
  <si>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</si>
  <si>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</si>
  <si>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</si>
  <si>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</si>
  <si>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</si>
  <si>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</si>
  <si>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</si>
  <si>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</si>
  <si>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</si>
  <si>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</si>
  <si>
    <t>Expected Return (Re)</t>
  </si>
  <si>
    <t>Market Return (Rm)</t>
  </si>
  <si>
    <t>Risk Free Rate (Rf)</t>
  </si>
  <si>
    <t>Cost of Equity (Re)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</si>
</sst>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i/>
      <sz val="14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0" borderId="0" xfId="0" applyFont="1"/>
    <xf numFmtId="0" fontId="19" fillId="0" borderId="0" xfId="0" applyFont="1"/>
    <xf numFmtId="14" fontId="18" fillId="0" borderId="0" xfId="0" applyNumberFormat="1" applyFont="1"/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9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1" xfId="0" applyFont="1" applyBorder="1" applyAlignment="1">
      <alignment horizontal="centerContinuous"/>
    </xf>
    <xf numFmtId="0" fontId="18" fillId="0" borderId="10" xfId="0" applyFont="1" applyBorder="1"/>
    <xf numFmtId="0" fontId="20" fillId="0" borderId="11" xfId="0" applyFont="1" applyBorder="1" applyAlignment="1">
      <alignment horizontal="center"/>
    </xf>
    <xf numFmtId="10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10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kumimoji="0" lang="en-CA" sz="14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anose="02020603050405020304" pitchFamily="18" charset="0"/>
                <a:cs typeface="Times New Roman" panose="02020603050405020304" pitchFamily="18" charset="0"/>
              </a:rPr>
              <a:t>Regression of Coca-Cola Returns on Market Returns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2523262178434592E-2"/>
          <c:y val="0.29853036349908318"/>
          <c:w val="0.68922505376483112"/>
          <c:h val="0.55592169129543734"/>
        </c:manualLayout>
      </c:layout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'S&amp;P^500'!$I$3:$I$1256</c:f>
              <c:numCache>
                <c:formatCode>General</c:formatCode>
                <c:ptCount val="1254"/>
                <c:pt idx="0">
                  <c:v>7.0825951370959645E-3</c:v>
                </c:pt>
                <c:pt idx="1">
                  <c:v>5.7098429747956345E-3</c:v>
                </c:pt>
                <c:pt idx="2">
                  <c:v>1.484740366919916E-2</c:v>
                </c:pt>
                <c:pt idx="3">
                  <c:v>5.4918627962682954E-3</c:v>
                </c:pt>
                <c:pt idx="4">
                  <c:v>-6.5547511022420466E-3</c:v>
                </c:pt>
                <c:pt idx="5">
                  <c:v>4.1578845079120086E-4</c:v>
                </c:pt>
                <c:pt idx="6">
                  <c:v>2.2756418737981273E-3</c:v>
                </c:pt>
                <c:pt idx="7">
                  <c:v>-3.7534512393423963E-3</c:v>
                </c:pt>
                <c:pt idx="8">
                  <c:v>-7.1900279590226658E-3</c:v>
                </c:pt>
                <c:pt idx="9">
                  <c:v>8.1363794864990589E-3</c:v>
                </c:pt>
                <c:pt idx="10">
                  <c:v>1.3935625541625061E-2</c:v>
                </c:pt>
                <c:pt idx="11">
                  <c:v>3.1672312498182348E-4</c:v>
                </c:pt>
                <c:pt idx="12">
                  <c:v>-3.010611485199704E-3</c:v>
                </c:pt>
                <c:pt idx="13">
                  <c:v>3.6158387557001116E-3</c:v>
                </c:pt>
                <c:pt idx="14">
                  <c:v>-1.4888336862692018E-3</c:v>
                </c:pt>
                <c:pt idx="15">
                  <c:v>-2.5677883530241332E-2</c:v>
                </c:pt>
                <c:pt idx="16">
                  <c:v>9.7606258994253486E-3</c:v>
                </c:pt>
                <c:pt idx="17">
                  <c:v>-1.9311475283558196E-2</c:v>
                </c:pt>
                <c:pt idx="18">
                  <c:v>1.6051767564970926E-2</c:v>
                </c:pt>
                <c:pt idx="19">
                  <c:v>1.3898223705407727E-2</c:v>
                </c:pt>
                <c:pt idx="20">
                  <c:v>1.0087690073419982E-3</c:v>
                </c:pt>
                <c:pt idx="21">
                  <c:v>1.0853322136239154E-2</c:v>
                </c:pt>
                <c:pt idx="22">
                  <c:v>3.8974951931108172E-3</c:v>
                </c:pt>
                <c:pt idx="23">
                  <c:v>7.399348420911331E-3</c:v>
                </c:pt>
                <c:pt idx="24">
                  <c:v>-1.1135251397642865E-3</c:v>
                </c:pt>
                <c:pt idx="25">
                  <c:v>-3.4518476461463539E-4</c:v>
                </c:pt>
                <c:pt idx="26">
                  <c:v>1.6624551634595573E-3</c:v>
                </c:pt>
                <c:pt idx="27">
                  <c:v>4.7110330333600819E-3</c:v>
                </c:pt>
                <c:pt idx="28">
                  <c:v>-5.6927235880502856E-4</c:v>
                </c:pt>
                <c:pt idx="29">
                  <c:v>-3.2040206881586529E-4</c:v>
                </c:pt>
                <c:pt idx="30">
                  <c:v>-4.4158355201839583E-3</c:v>
                </c:pt>
                <c:pt idx="31">
                  <c:v>-1.8548967043160705E-3</c:v>
                </c:pt>
                <c:pt idx="32">
                  <c:v>-7.7328394740282134E-3</c:v>
                </c:pt>
                <c:pt idx="33">
                  <c:v>1.2563180704243354E-3</c:v>
                </c:pt>
                <c:pt idx="34">
                  <c:v>1.135161390742476E-2</c:v>
                </c:pt>
                <c:pt idx="35">
                  <c:v>-2.4478807586572428E-2</c:v>
                </c:pt>
                <c:pt idx="36">
                  <c:v>-4.7502142880968927E-3</c:v>
                </c:pt>
                <c:pt idx="37">
                  <c:v>2.3790763504846227E-2</c:v>
                </c:pt>
                <c:pt idx="38">
                  <c:v>-8.0808516155286766E-3</c:v>
                </c:pt>
                <c:pt idx="39">
                  <c:v>-1.306622177935435E-2</c:v>
                </c:pt>
                <c:pt idx="40">
                  <c:v>-1.3417213929057419E-2</c:v>
                </c:pt>
                <c:pt idx="41">
                  <c:v>1.9495968009665243E-2</c:v>
                </c:pt>
                <c:pt idx="42">
                  <c:v>-5.3592308355140421E-3</c:v>
                </c:pt>
                <c:pt idx="43">
                  <c:v>1.4154642106283193E-2</c:v>
                </c:pt>
                <c:pt idx="44">
                  <c:v>6.0303135529870978E-3</c:v>
                </c:pt>
                <c:pt idx="45">
                  <c:v>1.0395486927207606E-2</c:v>
                </c:pt>
                <c:pt idx="46">
                  <c:v>1.0153984958508108E-3</c:v>
                </c:pt>
                <c:pt idx="47">
                  <c:v>6.4919211705587402E-3</c:v>
                </c:pt>
                <c:pt idx="48">
                  <c:v>-1.5696836164344641E-3</c:v>
                </c:pt>
                <c:pt idx="49">
                  <c:v>2.8793820673972651E-3</c:v>
                </c:pt>
                <c:pt idx="50">
                  <c:v>-1.4760539257248604E-2</c:v>
                </c:pt>
                <c:pt idx="51">
                  <c:v>-6.0270390286341435E-4</c:v>
                </c:pt>
                <c:pt idx="52">
                  <c:v>7.0251180167995881E-3</c:v>
                </c:pt>
                <c:pt idx="53">
                  <c:v>-7.6308540925305174E-3</c:v>
                </c:pt>
                <c:pt idx="54">
                  <c:v>-5.4673360296464872E-3</c:v>
                </c:pt>
                <c:pt idx="55">
                  <c:v>5.2402658584438586E-3</c:v>
                </c:pt>
                <c:pt idx="56">
                  <c:v>1.6631202466639381E-2</c:v>
                </c:pt>
                <c:pt idx="57">
                  <c:v>-8.680126420032413E-4</c:v>
                </c:pt>
                <c:pt idx="58">
                  <c:v>-3.1578329179420971E-3</c:v>
                </c:pt>
                <c:pt idx="59">
                  <c:v>3.6224991025748388E-3</c:v>
                </c:pt>
                <c:pt idx="60">
                  <c:v>1.1825201620305743E-2</c:v>
                </c:pt>
                <c:pt idx="61">
                  <c:v>1.4438226437851883E-2</c:v>
                </c:pt>
                <c:pt idx="62">
                  <c:v>-9.7353082477806021E-4</c:v>
                </c:pt>
                <c:pt idx="63">
                  <c:v>1.4752328426630493E-3</c:v>
                </c:pt>
                <c:pt idx="64">
                  <c:v>4.2206329015823723E-3</c:v>
                </c:pt>
                <c:pt idx="65">
                  <c:v>7.719934394265918E-3</c:v>
                </c:pt>
                <c:pt idx="66">
                  <c:v>-1.9607901526719291E-4</c:v>
                </c:pt>
                <c:pt idx="67">
                  <c:v>3.2944869607460926E-3</c:v>
                </c:pt>
                <c:pt idx="68">
                  <c:v>-4.087726848308393E-3</c:v>
                </c:pt>
                <c:pt idx="69">
                  <c:v>1.1094190616755416E-2</c:v>
                </c:pt>
                <c:pt idx="70">
                  <c:v>3.6088195628949035E-3</c:v>
                </c:pt>
                <c:pt idx="71">
                  <c:v>-5.3065600420238931E-3</c:v>
                </c:pt>
                <c:pt idx="72">
                  <c:v>-6.8023199588167355E-3</c:v>
                </c:pt>
                <c:pt idx="73">
                  <c:v>9.3060556015462596E-3</c:v>
                </c:pt>
                <c:pt idx="74">
                  <c:v>-9.2106576185553499E-3</c:v>
                </c:pt>
                <c:pt idx="75">
                  <c:v>1.0928696685007885E-2</c:v>
                </c:pt>
                <c:pt idx="76">
                  <c:v>1.7822708499935351E-3</c:v>
                </c:pt>
                <c:pt idx="77">
                  <c:v>-2.1489580593685712E-4</c:v>
                </c:pt>
                <c:pt idx="78">
                  <c:v>-8.4553990193023522E-4</c:v>
                </c:pt>
                <c:pt idx="79">
                  <c:v>6.7628067187513932E-3</c:v>
                </c:pt>
                <c:pt idx="80">
                  <c:v>-7.1947067064797553E-3</c:v>
                </c:pt>
                <c:pt idx="81">
                  <c:v>2.7480906574836577E-3</c:v>
                </c:pt>
                <c:pt idx="82">
                  <c:v>-6.6783376086253917E-3</c:v>
                </c:pt>
                <c:pt idx="83">
                  <c:v>7.0346388186786051E-4</c:v>
                </c:pt>
                <c:pt idx="84">
                  <c:v>8.1654563605852541E-3</c:v>
                </c:pt>
                <c:pt idx="85">
                  <c:v>7.3733417437365847E-3</c:v>
                </c:pt>
                <c:pt idx="86">
                  <c:v>-1.0435647350873364E-2</c:v>
                </c:pt>
                <c:pt idx="87">
                  <c:v>-8.6739127724210045E-3</c:v>
                </c:pt>
                <c:pt idx="88">
                  <c:v>-2.1449400760569021E-2</c:v>
                </c:pt>
                <c:pt idx="89">
                  <c:v>1.2173141422493381E-2</c:v>
                </c:pt>
                <c:pt idx="90">
                  <c:v>1.4917956960486296E-2</c:v>
                </c:pt>
                <c:pt idx="91">
                  <c:v>-2.5300522903444855E-3</c:v>
                </c:pt>
                <c:pt idx="92">
                  <c:v>-8.5172929745047903E-3</c:v>
                </c:pt>
                <c:pt idx="93">
                  <c:v>-2.9434113736307027E-3</c:v>
                </c:pt>
                <c:pt idx="94">
                  <c:v>1.0554741656874688E-2</c:v>
                </c:pt>
                <c:pt idx="95">
                  <c:v>-7.8388070271756321E-4</c:v>
                </c:pt>
                <c:pt idx="96">
                  <c:v>9.9112923336799191E-3</c:v>
                </c:pt>
                <c:pt idx="97">
                  <c:v>-2.1252838099213461E-3</c:v>
                </c:pt>
                <c:pt idx="98">
                  <c:v>1.8768164358765817E-3</c:v>
                </c:pt>
                <c:pt idx="99">
                  <c:v>1.1653146759921023E-3</c:v>
                </c:pt>
                <c:pt idx="100">
                  <c:v>7.6888177952220418E-4</c:v>
                </c:pt>
                <c:pt idx="101">
                  <c:v>-4.9233347068676351E-4</c:v>
                </c:pt>
                <c:pt idx="102">
                  <c:v>1.4469348087047004E-3</c:v>
                </c:pt>
                <c:pt idx="103">
                  <c:v>-3.6287032155552183E-3</c:v>
                </c:pt>
                <c:pt idx="104">
                  <c:v>8.8340956948755756E-3</c:v>
                </c:pt>
                <c:pt idx="105">
                  <c:v>-7.9673866007087531E-4</c:v>
                </c:pt>
                <c:pt idx="106">
                  <c:v>1.7502484230518222E-4</c:v>
                </c:pt>
                <c:pt idx="107">
                  <c:v>-1.8238673341089576E-3</c:v>
                </c:pt>
                <c:pt idx="108">
                  <c:v>4.6522429896997501E-3</c:v>
                </c:pt>
                <c:pt idx="109">
                  <c:v>1.9484345220243803E-3</c:v>
                </c:pt>
                <c:pt idx="110">
                  <c:v>1.8152018879836768E-3</c:v>
                </c:pt>
                <c:pt idx="111">
                  <c:v>-2.0116936411515465E-3</c:v>
                </c:pt>
                <c:pt idx="112">
                  <c:v>-5.3901247449975615E-3</c:v>
                </c:pt>
                <c:pt idx="113">
                  <c:v>-4.3571558468549667E-4</c:v>
                </c:pt>
                <c:pt idx="114">
                  <c:v>-1.312446878817667E-2</c:v>
                </c:pt>
                <c:pt idx="115">
                  <c:v>1.4002290023774082E-2</c:v>
                </c:pt>
                <c:pt idx="116">
                  <c:v>5.124491820929329E-3</c:v>
                </c:pt>
                <c:pt idx="117">
                  <c:v>-1.0832831887212014E-3</c:v>
                </c:pt>
                <c:pt idx="118">
                  <c:v>5.8112495772011021E-3</c:v>
                </c:pt>
                <c:pt idx="119">
                  <c:v>3.3305973342585356E-3</c:v>
                </c:pt>
                <c:pt idx="120">
                  <c:v>2.3149642695309866E-3</c:v>
                </c:pt>
                <c:pt idx="121">
                  <c:v>2.7733633166264265E-4</c:v>
                </c:pt>
                <c:pt idx="122">
                  <c:v>1.3281595738364944E-3</c:v>
                </c:pt>
                <c:pt idx="123">
                  <c:v>5.2216267597439527E-3</c:v>
                </c:pt>
                <c:pt idx="124">
                  <c:v>7.5000818165310811E-3</c:v>
                </c:pt>
                <c:pt idx="125">
                  <c:v>-2.0218561315083856E-3</c:v>
                </c:pt>
                <c:pt idx="126">
                  <c:v>3.3589753677873658E-3</c:v>
                </c:pt>
                <c:pt idx="127">
                  <c:v>-8.5610250271651797E-3</c:v>
                </c:pt>
                <c:pt idx="128">
                  <c:v>1.1277947932318016E-2</c:v>
                </c:pt>
                <c:pt idx="129">
                  <c:v>3.4511743023832998E-3</c:v>
                </c:pt>
                <c:pt idx="130">
                  <c:v>-3.5168126869238973E-3</c:v>
                </c:pt>
                <c:pt idx="131">
                  <c:v>1.1649346324467205E-3</c:v>
                </c:pt>
                <c:pt idx="132">
                  <c:v>-3.2622409610993577E-3</c:v>
                </c:pt>
                <c:pt idx="133">
                  <c:v>-7.5388542328501101E-3</c:v>
                </c:pt>
                <c:pt idx="134">
                  <c:v>-1.586951245721353E-2</c:v>
                </c:pt>
                <c:pt idx="135">
                  <c:v>1.5162609622647897E-2</c:v>
                </c:pt>
                <c:pt idx="136">
                  <c:v>8.2418198021151443E-3</c:v>
                </c:pt>
                <c:pt idx="137">
                  <c:v>2.0166699441767967E-3</c:v>
                </c:pt>
                <c:pt idx="138">
                  <c:v>1.014545211492884E-2</c:v>
                </c:pt>
                <c:pt idx="139">
                  <c:v>2.3821999476614751E-3</c:v>
                </c:pt>
                <c:pt idx="140">
                  <c:v>-4.7124448632898793E-3</c:v>
                </c:pt>
                <c:pt idx="141">
                  <c:v>-1.8626183295166954E-4</c:v>
                </c:pt>
                <c:pt idx="142">
                  <c:v>4.206152837713798E-3</c:v>
                </c:pt>
                <c:pt idx="143">
                  <c:v>-5.4060478892530633E-3</c:v>
                </c:pt>
                <c:pt idx="144">
                  <c:v>-1.8428057569328683E-3</c:v>
                </c:pt>
                <c:pt idx="145">
                  <c:v>8.2034265265606126E-3</c:v>
                </c:pt>
                <c:pt idx="146">
                  <c:v>-4.6323878805770114E-3</c:v>
                </c:pt>
                <c:pt idx="147">
                  <c:v>6.0054469486969806E-3</c:v>
                </c:pt>
                <c:pt idx="148">
                  <c:v>1.6752662698570698E-3</c:v>
                </c:pt>
                <c:pt idx="149">
                  <c:v>-9.3990830227337564E-4</c:v>
                </c:pt>
                <c:pt idx="150">
                  <c:v>9.9267925653830232E-4</c:v>
                </c:pt>
                <c:pt idx="151">
                  <c:v>1.2757437313348544E-3</c:v>
                </c:pt>
                <c:pt idx="152">
                  <c:v>4.1463803100489855E-3</c:v>
                </c:pt>
                <c:pt idx="153">
                  <c:v>1.6073066838750011E-3</c:v>
                </c:pt>
                <c:pt idx="154">
                  <c:v>2.6208507162040211E-3</c:v>
                </c:pt>
                <c:pt idx="155">
                  <c:v>-7.0606988567043106E-3</c:v>
                </c:pt>
                <c:pt idx="156">
                  <c:v>-1.07484706124034E-2</c:v>
                </c:pt>
                <c:pt idx="157">
                  <c:v>1.2566921972665031E-3</c:v>
                </c:pt>
                <c:pt idx="158">
                  <c:v>8.1415676126029499E-3</c:v>
                </c:pt>
                <c:pt idx="159">
                  <c:v>8.5237903006876517E-3</c:v>
                </c:pt>
                <c:pt idx="160">
                  <c:v>1.4957362316099321E-3</c:v>
                </c:pt>
                <c:pt idx="161">
                  <c:v>2.2201182383430923E-3</c:v>
                </c:pt>
                <c:pt idx="162">
                  <c:v>-5.8249187297845159E-3</c:v>
                </c:pt>
                <c:pt idx="163">
                  <c:v>8.8076324384788341E-3</c:v>
                </c:pt>
                <c:pt idx="164">
                  <c:v>4.3065708726787218E-3</c:v>
                </c:pt>
                <c:pt idx="165">
                  <c:v>-1.3491159774211353E-3</c:v>
                </c:pt>
                <c:pt idx="166">
                  <c:v>3.116886326565308E-4</c:v>
                </c:pt>
                <c:pt idx="167">
                  <c:v>2.8426382860314088E-3</c:v>
                </c:pt>
                <c:pt idx="168">
                  <c:v>-3.3503100864445398E-4</c:v>
                </c:pt>
                <c:pt idx="169">
                  <c:v>-3.3955744885003224E-3</c:v>
                </c:pt>
                <c:pt idx="170">
                  <c:v>-1.3185667536479667E-3</c:v>
                </c:pt>
                <c:pt idx="171">
                  <c:v>-4.6056086437710432E-3</c:v>
                </c:pt>
                <c:pt idx="172">
                  <c:v>-7.7225787532391029E-3</c:v>
                </c:pt>
                <c:pt idx="173">
                  <c:v>2.2764875414221755E-3</c:v>
                </c:pt>
                <c:pt idx="174">
                  <c:v>-5.7466383323524096E-3</c:v>
                </c:pt>
                <c:pt idx="175">
                  <c:v>8.4739968383047877E-3</c:v>
                </c:pt>
                <c:pt idx="176">
                  <c:v>-1.5511403792996573E-3</c:v>
                </c:pt>
                <c:pt idx="177">
                  <c:v>-9.1108725342274668E-3</c:v>
                </c:pt>
                <c:pt idx="178">
                  <c:v>-1.6977311030999174E-2</c:v>
                </c:pt>
                <c:pt idx="179">
                  <c:v>-8.123585023045493E-4</c:v>
                </c:pt>
                <c:pt idx="180">
                  <c:v>9.5196113540423725E-3</c:v>
                </c:pt>
                <c:pt idx="181">
                  <c:v>1.2134715613094727E-2</c:v>
                </c:pt>
                <c:pt idx="182">
                  <c:v>1.4610090468422381E-3</c:v>
                </c:pt>
                <c:pt idx="183">
                  <c:v>-2.77638257954879E-3</c:v>
                </c:pt>
                <c:pt idx="184">
                  <c:v>-2.0364110451886901E-2</c:v>
                </c:pt>
                <c:pt idx="185">
                  <c:v>1.5691841906145269E-3</c:v>
                </c:pt>
                <c:pt idx="186">
                  <c:v>-1.1909714153697473E-2</c:v>
                </c:pt>
                <c:pt idx="187">
                  <c:v>1.149147763034873E-2</c:v>
                </c:pt>
                <c:pt idx="188">
                  <c:v>-1.2985898108245698E-2</c:v>
                </c:pt>
                <c:pt idx="189">
                  <c:v>1.05245146822565E-2</c:v>
                </c:pt>
                <c:pt idx="190">
                  <c:v>4.1027928899926586E-3</c:v>
                </c:pt>
                <c:pt idx="191">
                  <c:v>8.2982806701344565E-3</c:v>
                </c:pt>
                <c:pt idx="192">
                  <c:v>-1.9137231230365412E-3</c:v>
                </c:pt>
                <c:pt idx="193">
                  <c:v>-6.8657639971078602E-3</c:v>
                </c:pt>
                <c:pt idx="194">
                  <c:v>-2.4167805444361692E-3</c:v>
                </c:pt>
                <c:pt idx="195">
                  <c:v>3.0225146348720248E-3</c:v>
                </c:pt>
                <c:pt idx="196">
                  <c:v>1.7063101958684029E-2</c:v>
                </c:pt>
                <c:pt idx="197">
                  <c:v>7.4602102503434822E-3</c:v>
                </c:pt>
                <c:pt idx="198">
                  <c:v>3.3747696131501371E-3</c:v>
                </c:pt>
                <c:pt idx="199">
                  <c:v>7.3933395791649292E-3</c:v>
                </c:pt>
                <c:pt idx="200">
                  <c:v>3.6640296724934343E-3</c:v>
                </c:pt>
                <c:pt idx="201">
                  <c:v>2.9958719050032136E-3</c:v>
                </c:pt>
                <c:pt idx="202">
                  <c:v>-1.0725536686606051E-3</c:v>
                </c:pt>
                <c:pt idx="203">
                  <c:v>4.7481965423492745E-3</c:v>
                </c:pt>
                <c:pt idx="204">
                  <c:v>1.8197953426701248E-3</c:v>
                </c:pt>
                <c:pt idx="205">
                  <c:v>-5.0515680070537519E-3</c:v>
                </c:pt>
                <c:pt idx="206">
                  <c:v>9.8292815553919968E-3</c:v>
                </c:pt>
                <c:pt idx="207">
                  <c:v>1.9493347326936345E-3</c:v>
                </c:pt>
                <c:pt idx="208">
                  <c:v>1.8000771294897399E-3</c:v>
                </c:pt>
                <c:pt idx="209">
                  <c:v>3.6803629837132653E-3</c:v>
                </c:pt>
                <c:pt idx="210">
                  <c:v>6.4612792228316554E-3</c:v>
                </c:pt>
                <c:pt idx="211">
                  <c:v>4.1819424954505757E-3</c:v>
                </c:pt>
                <c:pt idx="212">
                  <c:v>3.7327995324342384E-3</c:v>
                </c:pt>
                <c:pt idx="213">
                  <c:v>8.8778787807103376E-4</c:v>
                </c:pt>
                <c:pt idx="214">
                  <c:v>-3.4987758295380524E-3</c:v>
                </c:pt>
                <c:pt idx="215">
                  <c:v>-8.2258233818900666E-3</c:v>
                </c:pt>
                <c:pt idx="216">
                  <c:v>5.5094013215523032E-4</c:v>
                </c:pt>
                <c:pt idx="217">
                  <c:v>7.2226559988012827E-3</c:v>
                </c:pt>
                <c:pt idx="218">
                  <c:v>-1.0739827017251226E-5</c:v>
                </c:pt>
                <c:pt idx="219">
                  <c:v>3.8652297244640508E-3</c:v>
                </c:pt>
                <c:pt idx="220">
                  <c:v>-2.6016252749387022E-3</c:v>
                </c:pt>
                <c:pt idx="221">
                  <c:v>3.3847801751910977E-3</c:v>
                </c:pt>
                <c:pt idx="222">
                  <c:v>-1.3986655327519611E-3</c:v>
                </c:pt>
                <c:pt idx="223">
                  <c:v>-3.1971366560567273E-3</c:v>
                </c:pt>
                <c:pt idx="224">
                  <c:v>1.6571329331085936E-3</c:v>
                </c:pt>
                <c:pt idx="225">
                  <c:v>2.2938507158203098E-3</c:v>
                </c:pt>
                <c:pt idx="226">
                  <c:v>-2.272482269045515E-2</c:v>
                </c:pt>
                <c:pt idx="227">
                  <c:v>1.3200199680403641E-2</c:v>
                </c:pt>
                <c:pt idx="228">
                  <c:v>-1.8961310433288237E-2</c:v>
                </c:pt>
                <c:pt idx="229">
                  <c:v>-1.1815187431574243E-2</c:v>
                </c:pt>
                <c:pt idx="230">
                  <c:v>1.419443622179649E-2</c:v>
                </c:pt>
                <c:pt idx="231">
                  <c:v>-8.4485637569729297E-3</c:v>
                </c:pt>
                <c:pt idx="232">
                  <c:v>1.1730872556229054E-2</c:v>
                </c:pt>
                <c:pt idx="233">
                  <c:v>2.0707080346617293E-2</c:v>
                </c:pt>
                <c:pt idx="234">
                  <c:v>3.085285325652012E-3</c:v>
                </c:pt>
                <c:pt idx="235">
                  <c:v>-7.1810802495658249E-3</c:v>
                </c:pt>
                <c:pt idx="236">
                  <c:v>9.5490735065036029E-3</c:v>
                </c:pt>
                <c:pt idx="237">
                  <c:v>-9.1361676769785138E-3</c:v>
                </c:pt>
                <c:pt idx="238">
                  <c:v>-7.4706775571067108E-3</c:v>
                </c:pt>
                <c:pt idx="239">
                  <c:v>1.6348464650095335E-2</c:v>
                </c:pt>
                <c:pt idx="240">
                  <c:v>-8.7434154257874739E-3</c:v>
                </c:pt>
                <c:pt idx="241">
                  <c:v>-1.0287680603349307E-2</c:v>
                </c:pt>
                <c:pt idx="242">
                  <c:v>-1.138805781013809E-2</c:v>
                </c:pt>
                <c:pt idx="243">
                  <c:v>1.7777934344517198E-2</c:v>
                </c:pt>
                <c:pt idx="244">
                  <c:v>1.0180197409808559E-2</c:v>
                </c:pt>
                <c:pt idx="245">
                  <c:v>6.2236998213164056E-3</c:v>
                </c:pt>
                <c:pt idx="246">
                  <c:v>1.3838935174919055E-2</c:v>
                </c:pt>
                <c:pt idx="247">
                  <c:v>-1.0101546921743602E-3</c:v>
                </c:pt>
                <c:pt idx="248">
                  <c:v>1.4018951523843328E-3</c:v>
                </c:pt>
                <c:pt idx="249">
                  <c:v>-2.98975577681162E-3</c:v>
                </c:pt>
                <c:pt idx="250">
                  <c:v>-2.6261797700484891E-3</c:v>
                </c:pt>
                <c:pt idx="251">
                  <c:v>6.3740525700177637E-3</c:v>
                </c:pt>
                <c:pt idx="252">
                  <c:v>-6.2962205473344015E-4</c:v>
                </c:pt>
                <c:pt idx="253">
                  <c:v>-1.939275780397846E-2</c:v>
                </c:pt>
                <c:pt idx="254">
                  <c:v>-9.6376892315976558E-4</c:v>
                </c:pt>
                <c:pt idx="255">
                  <c:v>-4.0502168396401696E-3</c:v>
                </c:pt>
                <c:pt idx="256">
                  <c:v>-1.4410312334581993E-3</c:v>
                </c:pt>
                <c:pt idx="257">
                  <c:v>9.1599846353781697E-3</c:v>
                </c:pt>
                <c:pt idx="258">
                  <c:v>2.8177545625090519E-3</c:v>
                </c:pt>
                <c:pt idx="259">
                  <c:v>-1.4243615391184712E-2</c:v>
                </c:pt>
                <c:pt idx="260">
                  <c:v>8.1998037709479234E-4</c:v>
                </c:pt>
                <c:pt idx="261">
                  <c:v>-1.8387945826690011E-2</c:v>
                </c:pt>
                <c:pt idx="262">
                  <c:v>-9.6895417255575614E-3</c:v>
                </c:pt>
                <c:pt idx="263">
                  <c:v>-1.1037378679380039E-2</c:v>
                </c:pt>
                <c:pt idx="264">
                  <c:v>-1.8914821855944227E-2</c:v>
                </c:pt>
                <c:pt idx="265">
                  <c:v>2.7717390786442244E-3</c:v>
                </c:pt>
                <c:pt idx="266">
                  <c:v>-1.2171906366504458E-2</c:v>
                </c:pt>
                <c:pt idx="267">
                  <c:v>-1.4966357259136535E-3</c:v>
                </c:pt>
                <c:pt idx="268">
                  <c:v>-5.3840887215196812E-3</c:v>
                </c:pt>
                <c:pt idx="269">
                  <c:v>2.4347646878742711E-2</c:v>
                </c:pt>
                <c:pt idx="270">
                  <c:v>1.8885951724263342E-2</c:v>
                </c:pt>
                <c:pt idx="271">
                  <c:v>6.8630034742803115E-3</c:v>
                </c:pt>
                <c:pt idx="272">
                  <c:v>9.4225155024526483E-3</c:v>
                </c:pt>
                <c:pt idx="273">
                  <c:v>-2.4391082205822267E-2</c:v>
                </c:pt>
                <c:pt idx="274">
                  <c:v>5.1569299207267884E-3</c:v>
                </c:pt>
                <c:pt idx="275">
                  <c:v>-3.7017126418149747E-3</c:v>
                </c:pt>
                <c:pt idx="276">
                  <c:v>8.401207219892369E-3</c:v>
                </c:pt>
                <c:pt idx="277">
                  <c:v>1.4517207949908283E-2</c:v>
                </c:pt>
                <c:pt idx="278">
                  <c:v>-1.811572574253292E-2</c:v>
                </c:pt>
                <c:pt idx="279">
                  <c:v>-1.8969454254893832E-2</c:v>
                </c:pt>
                <c:pt idx="280">
                  <c:v>-3.8405967614104164E-3</c:v>
                </c:pt>
                <c:pt idx="281">
                  <c:v>1.5766721092177367E-2</c:v>
                </c:pt>
                <c:pt idx="282">
                  <c:v>8.8120788873637893E-4</c:v>
                </c:pt>
                <c:pt idx="283">
                  <c:v>-2.1173138150420743E-2</c:v>
                </c:pt>
                <c:pt idx="284">
                  <c:v>-7.1661615239464165E-3</c:v>
                </c:pt>
                <c:pt idx="285">
                  <c:v>-1.0142945135926271E-2</c:v>
                </c:pt>
                <c:pt idx="286">
                  <c:v>-1.8412122930996592E-2</c:v>
                </c:pt>
                <c:pt idx="287">
                  <c:v>1.4956855993373647E-2</c:v>
                </c:pt>
                <c:pt idx="288">
                  <c:v>2.2372677649946979E-2</c:v>
                </c:pt>
                <c:pt idx="289">
                  <c:v>-2.442603455093477E-3</c:v>
                </c:pt>
                <c:pt idx="290">
                  <c:v>-1.5473503503234206E-2</c:v>
                </c:pt>
                <c:pt idx="291">
                  <c:v>1.8642691654101273E-2</c:v>
                </c:pt>
                <c:pt idx="292">
                  <c:v>-5.2546665014039685E-3</c:v>
                </c:pt>
                <c:pt idx="293">
                  <c:v>-7.9340425080459756E-3</c:v>
                </c:pt>
                <c:pt idx="294">
                  <c:v>-2.9518158213662177E-2</c:v>
                </c:pt>
                <c:pt idx="295">
                  <c:v>-7.2337536516630932E-3</c:v>
                </c:pt>
                <c:pt idx="296">
                  <c:v>2.5698248013244992E-2</c:v>
                </c:pt>
                <c:pt idx="297">
                  <c:v>-4.2918135857344924E-3</c:v>
                </c:pt>
                <c:pt idx="298">
                  <c:v>-1.2961545136721665E-2</c:v>
                </c:pt>
                <c:pt idx="299">
                  <c:v>-7.4210026287694127E-3</c:v>
                </c:pt>
                <c:pt idx="300">
                  <c:v>2.1408574164825594E-2</c:v>
                </c:pt>
                <c:pt idx="301">
                  <c:v>2.2383761366154643E-2</c:v>
                </c:pt>
                <c:pt idx="302">
                  <c:v>1.2347817665471444E-2</c:v>
                </c:pt>
                <c:pt idx="303">
                  <c:v>1.1662294756783563E-2</c:v>
                </c:pt>
                <c:pt idx="304">
                  <c:v>-4.346602710985348E-4</c:v>
                </c:pt>
                <c:pt idx="305">
                  <c:v>1.1304113488017936E-2</c:v>
                </c:pt>
                <c:pt idx="306">
                  <c:v>-1.2272698810703839E-2</c:v>
                </c:pt>
                <c:pt idx="307">
                  <c:v>1.4343912949824161E-2</c:v>
                </c:pt>
                <c:pt idx="308">
                  <c:v>5.0661707129123351E-3</c:v>
                </c:pt>
                <c:pt idx="309">
                  <c:v>7.144955289705001E-3</c:v>
                </c:pt>
                <c:pt idx="310">
                  <c:v>1.2256547398955531E-2</c:v>
                </c:pt>
                <c:pt idx="311">
                  <c:v>-6.2937003159203968E-3</c:v>
                </c:pt>
                <c:pt idx="312">
                  <c:v>-1.5652540700660515E-2</c:v>
                </c:pt>
                <c:pt idx="313">
                  <c:v>3.41022257764861E-3</c:v>
                </c:pt>
                <c:pt idx="314">
                  <c:v>8.0909388121189977E-3</c:v>
                </c:pt>
                <c:pt idx="315">
                  <c:v>-1.2551720903325193E-2</c:v>
                </c:pt>
                <c:pt idx="316">
                  <c:v>-9.7169166482040312E-3</c:v>
                </c:pt>
                <c:pt idx="317">
                  <c:v>4.2533857194763077E-3</c:v>
                </c:pt>
                <c:pt idx="318">
                  <c:v>-2.6510265306263223E-3</c:v>
                </c:pt>
                <c:pt idx="319">
                  <c:v>-1.6877290104141761E-2</c:v>
                </c:pt>
                <c:pt idx="320">
                  <c:v>-3.4174477532732104E-3</c:v>
                </c:pt>
                <c:pt idx="321">
                  <c:v>1.1174577725945054E-2</c:v>
                </c:pt>
                <c:pt idx="322">
                  <c:v>-1.2144137843715184E-2</c:v>
                </c:pt>
                <c:pt idx="323">
                  <c:v>-2.0486843342081213E-4</c:v>
                </c:pt>
                <c:pt idx="324">
                  <c:v>1.6057604463748262E-2</c:v>
                </c:pt>
                <c:pt idx="325">
                  <c:v>-6.1847515561117667E-4</c:v>
                </c:pt>
                <c:pt idx="326">
                  <c:v>-1.4752948485390681E-2</c:v>
                </c:pt>
                <c:pt idx="327">
                  <c:v>-2.7740054230994602E-2</c:v>
                </c:pt>
                <c:pt idx="328">
                  <c:v>5.6979369782753616E-3</c:v>
                </c:pt>
                <c:pt idx="329">
                  <c:v>-2.8146308461328349E-2</c:v>
                </c:pt>
                <c:pt idx="330">
                  <c:v>2.0980469416746654E-3</c:v>
                </c:pt>
                <c:pt idx="331">
                  <c:v>2.4746900057631895E-2</c:v>
                </c:pt>
                <c:pt idx="332">
                  <c:v>-3.6284507055393621E-2</c:v>
                </c:pt>
                <c:pt idx="333">
                  <c:v>5.6752428044901607E-3</c:v>
                </c:pt>
                <c:pt idx="334">
                  <c:v>4.8371262233403997E-3</c:v>
                </c:pt>
                <c:pt idx="335">
                  <c:v>2.9862421229954018E-2</c:v>
                </c:pt>
                <c:pt idx="336">
                  <c:v>-3.5649708681442113E-2</c:v>
                </c:pt>
                <c:pt idx="337">
                  <c:v>-5.6742247372394148E-3</c:v>
                </c:pt>
                <c:pt idx="338">
                  <c:v>-3.2037100747885877E-2</c:v>
                </c:pt>
                <c:pt idx="339">
                  <c:v>2.4578975517831263E-3</c:v>
                </c:pt>
                <c:pt idx="340">
                  <c:v>-1.6463207456368395E-2</c:v>
                </c:pt>
                <c:pt idx="341">
                  <c:v>-1.2959646288417926E-3</c:v>
                </c:pt>
                <c:pt idx="342">
                  <c:v>2.3869695562981876E-2</c:v>
                </c:pt>
                <c:pt idx="343">
                  <c:v>-3.9464009757386427E-3</c:v>
                </c:pt>
                <c:pt idx="344">
                  <c:v>2.0169632260973302E-2</c:v>
                </c:pt>
                <c:pt idx="345">
                  <c:v>-4.0395260780235108E-2</c:v>
                </c:pt>
                <c:pt idx="346">
                  <c:v>-5.8337819079785297E-3</c:v>
                </c:pt>
                <c:pt idx="347">
                  <c:v>1.4614167753210672E-4</c:v>
                </c:pt>
                <c:pt idx="348">
                  <c:v>1.8555040041065358E-2</c:v>
                </c:pt>
                <c:pt idx="349">
                  <c:v>-8.1207977351368185E-3</c:v>
                </c:pt>
                <c:pt idx="350">
                  <c:v>9.4507647353317265E-3</c:v>
                </c:pt>
                <c:pt idx="351">
                  <c:v>1.9883256314870569E-2</c:v>
                </c:pt>
                <c:pt idx="352">
                  <c:v>2.4742262835075021E-2</c:v>
                </c:pt>
                <c:pt idx="353">
                  <c:v>-6.2743686107097013E-3</c:v>
                </c:pt>
                <c:pt idx="354">
                  <c:v>-7.4827687120049792E-3</c:v>
                </c:pt>
                <c:pt idx="355">
                  <c:v>1.843101810155013E-2</c:v>
                </c:pt>
                <c:pt idx="356">
                  <c:v>-1.6347313955862829E-2</c:v>
                </c:pt>
                <c:pt idx="357">
                  <c:v>3.1374008474155733E-3</c:v>
                </c:pt>
                <c:pt idx="358">
                  <c:v>9.5233931727295631E-3</c:v>
                </c:pt>
                <c:pt idx="359">
                  <c:v>-1.0793945725281797E-2</c:v>
                </c:pt>
                <c:pt idx="360">
                  <c:v>-2.3798694174850893E-2</c:v>
                </c:pt>
                <c:pt idx="361">
                  <c:v>-2.9110303353684187E-2</c:v>
                </c:pt>
                <c:pt idx="362">
                  <c:v>-3.8768430513214484E-2</c:v>
                </c:pt>
                <c:pt idx="363">
                  <c:v>-3.7736799208243333E-3</c:v>
                </c:pt>
                <c:pt idx="364">
                  <c:v>1.4592504923557363E-2</c:v>
                </c:pt>
                <c:pt idx="365">
                  <c:v>-3.2511951304652419E-2</c:v>
                </c:pt>
                <c:pt idx="366">
                  <c:v>2.2008655999647317E-3</c:v>
                </c:pt>
                <c:pt idx="367">
                  <c:v>2.4477242232587744E-2</c:v>
                </c:pt>
                <c:pt idx="368">
                  <c:v>-1.3015721857629866E-3</c:v>
                </c:pt>
                <c:pt idx="369">
                  <c:v>9.5322171712330078E-3</c:v>
                </c:pt>
                <c:pt idx="370">
                  <c:v>3.056329365135714E-2</c:v>
                </c:pt>
                <c:pt idx="371">
                  <c:v>-2.9730715818870324E-3</c:v>
                </c:pt>
                <c:pt idx="372">
                  <c:v>-2.0143035925831627E-2</c:v>
                </c:pt>
                <c:pt idx="373">
                  <c:v>-7.1174548681149222E-4</c:v>
                </c:pt>
                <c:pt idx="374">
                  <c:v>-8.7592781864540177E-3</c:v>
                </c:pt>
                <c:pt idx="375">
                  <c:v>1.0553813945970054E-2</c:v>
                </c:pt>
                <c:pt idx="376">
                  <c:v>1.5841286572499723E-3</c:v>
                </c:pt>
                <c:pt idx="377">
                  <c:v>3.5731641473012387E-3</c:v>
                </c:pt>
                <c:pt idx="378">
                  <c:v>1.4964587949473643E-2</c:v>
                </c:pt>
                <c:pt idx="379">
                  <c:v>-8.30271433769651E-4</c:v>
                </c:pt>
                <c:pt idx="380">
                  <c:v>-1.1527461378145509E-2</c:v>
                </c:pt>
                <c:pt idx="381">
                  <c:v>-9.2438787651050406E-3</c:v>
                </c:pt>
                <c:pt idx="382">
                  <c:v>-4.4569026347574371E-3</c:v>
                </c:pt>
                <c:pt idx="383">
                  <c:v>-2.9986337749789756E-3</c:v>
                </c:pt>
                <c:pt idx="384">
                  <c:v>1.9201249280163514E-2</c:v>
                </c:pt>
                <c:pt idx="385">
                  <c:v>-8.3635714637743386E-3</c:v>
                </c:pt>
                <c:pt idx="386">
                  <c:v>2.762829144770159E-2</c:v>
                </c:pt>
                <c:pt idx="387">
                  <c:v>5.8958062097479325E-3</c:v>
                </c:pt>
                <c:pt idx="388">
                  <c:v>9.8613727534570244E-3</c:v>
                </c:pt>
                <c:pt idx="389">
                  <c:v>-9.3324668868805232E-3</c:v>
                </c:pt>
                <c:pt idx="390">
                  <c:v>1.3151670281864793E-3</c:v>
                </c:pt>
                <c:pt idx="391">
                  <c:v>-1.1543202645984751E-2</c:v>
                </c:pt>
                <c:pt idx="392">
                  <c:v>2.6156273630364983E-2</c:v>
                </c:pt>
                <c:pt idx="393">
                  <c:v>1.2133338892619507E-2</c:v>
                </c:pt>
                <c:pt idx="394">
                  <c:v>1.4207759977735187E-2</c:v>
                </c:pt>
                <c:pt idx="395">
                  <c:v>-2.8230840667121545E-3</c:v>
                </c:pt>
                <c:pt idx="396">
                  <c:v>-6.6623956945634395E-3</c:v>
                </c:pt>
                <c:pt idx="397">
                  <c:v>1.5638477294545136E-2</c:v>
                </c:pt>
                <c:pt idx="398">
                  <c:v>-7.7734029188527784E-4</c:v>
                </c:pt>
                <c:pt idx="399">
                  <c:v>-1.625746059894656E-3</c:v>
                </c:pt>
                <c:pt idx="400">
                  <c:v>-1.2375505279648826E-3</c:v>
                </c:pt>
                <c:pt idx="401">
                  <c:v>-4.2486929535627983E-3</c:v>
                </c:pt>
                <c:pt idx="402">
                  <c:v>2.1290637511616219E-2</c:v>
                </c:pt>
                <c:pt idx="403">
                  <c:v>-7.0547375800882669E-4</c:v>
                </c:pt>
                <c:pt idx="404">
                  <c:v>1.7322368579518979E-2</c:v>
                </c:pt>
                <c:pt idx="405">
                  <c:v>3.969542046193552E-3</c:v>
                </c:pt>
                <c:pt idx="406">
                  <c:v>1.8756795782850742E-3</c:v>
                </c:pt>
                <c:pt idx="407">
                  <c:v>-7.2377948965506615E-3</c:v>
                </c:pt>
                <c:pt idx="408">
                  <c:v>2.2695610971087206E-3</c:v>
                </c:pt>
                <c:pt idx="409">
                  <c:v>-1.2900001162862249E-2</c:v>
                </c:pt>
                <c:pt idx="410">
                  <c:v>-2.1400064899917109E-2</c:v>
                </c:pt>
                <c:pt idx="411">
                  <c:v>-2.2378627005720008E-3</c:v>
                </c:pt>
                <c:pt idx="412">
                  <c:v>2.9161606736994371E-3</c:v>
                </c:pt>
                <c:pt idx="413">
                  <c:v>1.409160535798133E-2</c:v>
                </c:pt>
                <c:pt idx="414">
                  <c:v>-3.3688058702417992E-2</c:v>
                </c:pt>
                <c:pt idx="415">
                  <c:v>-6.6663558766972648E-3</c:v>
                </c:pt>
                <c:pt idx="416">
                  <c:v>-1.1028155495070784E-2</c:v>
                </c:pt>
                <c:pt idx="417">
                  <c:v>-7.8170250787470349E-3</c:v>
                </c:pt>
                <c:pt idx="418">
                  <c:v>2.9962321112515524E-3</c:v>
                </c:pt>
                <c:pt idx="419">
                  <c:v>-1.073650048472286E-2</c:v>
                </c:pt>
                <c:pt idx="420">
                  <c:v>-4.0950571468376983E-3</c:v>
                </c:pt>
                <c:pt idx="421">
                  <c:v>1.8341016450612639E-2</c:v>
                </c:pt>
                <c:pt idx="422">
                  <c:v>6.6107220151777812E-3</c:v>
                </c:pt>
                <c:pt idx="423">
                  <c:v>1.5271449619951808E-2</c:v>
                </c:pt>
                <c:pt idx="424">
                  <c:v>1.0584272812704741E-2</c:v>
                </c:pt>
                <c:pt idx="425">
                  <c:v>-4.3236613441259661E-2</c:v>
                </c:pt>
                <c:pt idx="426">
                  <c:v>3.3870122485712317E-3</c:v>
                </c:pt>
                <c:pt idx="427">
                  <c:v>-1.1317739155963286E-2</c:v>
                </c:pt>
                <c:pt idx="428">
                  <c:v>-7.1821342089663266E-3</c:v>
                </c:pt>
                <c:pt idx="429">
                  <c:v>6.8571008576976929E-3</c:v>
                </c:pt>
                <c:pt idx="430">
                  <c:v>-1.1272103112168563E-2</c:v>
                </c:pt>
                <c:pt idx="431">
                  <c:v>-1.7116493599189188E-2</c:v>
                </c:pt>
                <c:pt idx="432">
                  <c:v>-8.4275811355554037E-3</c:v>
                </c:pt>
                <c:pt idx="433">
                  <c:v>-1.7232619078902858E-2</c:v>
                </c:pt>
                <c:pt idx="434">
                  <c:v>-1.0340526099595912E-2</c:v>
                </c:pt>
                <c:pt idx="435">
                  <c:v>-2.1203598092786858E-3</c:v>
                </c:pt>
                <c:pt idx="436">
                  <c:v>1.9672139926571932E-2</c:v>
                </c:pt>
                <c:pt idx="437">
                  <c:v>-2.1126437783962775E-2</c:v>
                </c:pt>
                <c:pt idx="438">
                  <c:v>-1.5066695903807539E-2</c:v>
                </c:pt>
                <c:pt idx="439">
                  <c:v>2.5883895106448632E-2</c:v>
                </c:pt>
                <c:pt idx="440">
                  <c:v>3.0583700676563547E-2</c:v>
                </c:pt>
                <c:pt idx="441">
                  <c:v>-2.0179489300041209E-3</c:v>
                </c:pt>
                <c:pt idx="442">
                  <c:v>-1.0245080645073255E-2</c:v>
                </c:pt>
                <c:pt idx="443">
                  <c:v>-2.8003617937660232E-2</c:v>
                </c:pt>
                <c:pt idx="444">
                  <c:v>-7.4924634881656073E-3</c:v>
                </c:pt>
                <c:pt idx="445">
                  <c:v>-6.5191758635008744E-3</c:v>
                </c:pt>
                <c:pt idx="446">
                  <c:v>-3.290773261112745E-3</c:v>
                </c:pt>
                <c:pt idx="447">
                  <c:v>2.5965642515437787E-2</c:v>
                </c:pt>
                <c:pt idx="448">
                  <c:v>-2.3662663684481222E-2</c:v>
                </c:pt>
                <c:pt idx="449">
                  <c:v>2.6480052357156433E-2</c:v>
                </c:pt>
                <c:pt idx="450">
                  <c:v>1.1427569586305121E-2</c:v>
                </c:pt>
                <c:pt idx="451">
                  <c:v>-6.6720971976843785E-3</c:v>
                </c:pt>
                <c:pt idx="452">
                  <c:v>-7.9509097575423317E-3</c:v>
                </c:pt>
                <c:pt idx="453">
                  <c:v>2.3724819905171671E-2</c:v>
                </c:pt>
                <c:pt idx="454">
                  <c:v>1.1881976683765219E-2</c:v>
                </c:pt>
                <c:pt idx="455">
                  <c:v>1.6266654439300789E-2</c:v>
                </c:pt>
                <c:pt idx="456">
                  <c:v>-7.3877158747779883E-3</c:v>
                </c:pt>
                <c:pt idx="457">
                  <c:v>-6.0826106625343551E-3</c:v>
                </c:pt>
                <c:pt idx="458">
                  <c:v>2.4626377956375237E-2</c:v>
                </c:pt>
                <c:pt idx="459">
                  <c:v>-7.4544043311792147E-3</c:v>
                </c:pt>
                <c:pt idx="460">
                  <c:v>-4.1012303994402829E-3</c:v>
                </c:pt>
                <c:pt idx="461">
                  <c:v>-2.5001985049611077E-2</c:v>
                </c:pt>
                <c:pt idx="462">
                  <c:v>-1.0585992096309428E-2</c:v>
                </c:pt>
                <c:pt idx="463">
                  <c:v>1.3618724601319783E-2</c:v>
                </c:pt>
                <c:pt idx="464">
                  <c:v>9.6139819201217034E-3</c:v>
                </c:pt>
                <c:pt idx="465">
                  <c:v>5.5978926462391734E-3</c:v>
                </c:pt>
                <c:pt idx="466">
                  <c:v>-2.077788694075303E-2</c:v>
                </c:pt>
                <c:pt idx="467">
                  <c:v>5.5434484411510256E-2</c:v>
                </c:pt>
                <c:pt idx="468">
                  <c:v>9.2407469268123762E-3</c:v>
                </c:pt>
                <c:pt idx="469">
                  <c:v>-8.935777137999628E-3</c:v>
                </c:pt>
                <c:pt idx="470">
                  <c:v>8.7131164318655814E-3</c:v>
                </c:pt>
                <c:pt idx="471">
                  <c:v>-8.2520463971864372E-3</c:v>
                </c:pt>
                <c:pt idx="472">
                  <c:v>-3.0893227171727932E-3</c:v>
                </c:pt>
                <c:pt idx="473">
                  <c:v>4.7585818331011527E-3</c:v>
                </c:pt>
                <c:pt idx="474">
                  <c:v>-3.8836888282556391E-3</c:v>
                </c:pt>
                <c:pt idx="475">
                  <c:v>1.3579988000126371E-2</c:v>
                </c:pt>
                <c:pt idx="476">
                  <c:v>5.9146892377957344E-3</c:v>
                </c:pt>
                <c:pt idx="477">
                  <c:v>-2.8304430237173316E-4</c:v>
                </c:pt>
                <c:pt idx="478">
                  <c:v>-1.5444192968175134E-2</c:v>
                </c:pt>
                <c:pt idx="479">
                  <c:v>-1.5918651881512012E-3</c:v>
                </c:pt>
                <c:pt idx="480">
                  <c:v>3.0947872241948074E-2</c:v>
                </c:pt>
                <c:pt idx="481">
                  <c:v>-8.6763320282130286E-4</c:v>
                </c:pt>
                <c:pt idx="482">
                  <c:v>-1.1946604421763951E-3</c:v>
                </c:pt>
                <c:pt idx="483">
                  <c:v>-1.7894212215245852E-2</c:v>
                </c:pt>
                <c:pt idx="484">
                  <c:v>-1.4399194949753129E-2</c:v>
                </c:pt>
                <c:pt idx="485">
                  <c:v>-1.8623709121895573E-3</c:v>
                </c:pt>
                <c:pt idx="486">
                  <c:v>7.521781985068054E-3</c:v>
                </c:pt>
                <c:pt idx="487">
                  <c:v>-7.3495782592964617E-3</c:v>
                </c:pt>
                <c:pt idx="488">
                  <c:v>1.4279296273028409E-2</c:v>
                </c:pt>
                <c:pt idx="489">
                  <c:v>7.2896642501077569E-3</c:v>
                </c:pt>
                <c:pt idx="490">
                  <c:v>-6.052724638505127E-3</c:v>
                </c:pt>
                <c:pt idx="491">
                  <c:v>-2.4921674936006652E-2</c:v>
                </c:pt>
                <c:pt idx="492">
                  <c:v>-1.1137750882371823E-2</c:v>
                </c:pt>
                <c:pt idx="493">
                  <c:v>-9.0075159217195937E-3</c:v>
                </c:pt>
                <c:pt idx="494">
                  <c:v>1.0373383411004734E-3</c:v>
                </c:pt>
                <c:pt idx="495">
                  <c:v>1.4867993746224084E-2</c:v>
                </c:pt>
                <c:pt idx="496">
                  <c:v>-1.4451699356609957E-2</c:v>
                </c:pt>
                <c:pt idx="497">
                  <c:v>5.8681023202464717E-3</c:v>
                </c:pt>
                <c:pt idx="498">
                  <c:v>-4.0496220173182867E-3</c:v>
                </c:pt>
                <c:pt idx="499">
                  <c:v>-1.2020638245087161E-2</c:v>
                </c:pt>
                <c:pt idx="500">
                  <c:v>1.7461331486505843E-2</c:v>
                </c:pt>
                <c:pt idx="501">
                  <c:v>-2.540742405415684E-3</c:v>
                </c:pt>
                <c:pt idx="502">
                  <c:v>-4.000548769371004E-3</c:v>
                </c:pt>
                <c:pt idx="503">
                  <c:v>7.5389705415256254E-3</c:v>
                </c:pt>
                <c:pt idx="504">
                  <c:v>-1.1645528861558858E-2</c:v>
                </c:pt>
                <c:pt idx="505">
                  <c:v>2.2840780904283906E-2</c:v>
                </c:pt>
                <c:pt idx="506">
                  <c:v>-7.6763248511576155E-4</c:v>
                </c:pt>
                <c:pt idx="507">
                  <c:v>6.9782331307640787E-3</c:v>
                </c:pt>
                <c:pt idx="508">
                  <c:v>1.2849424507239898E-2</c:v>
                </c:pt>
                <c:pt idx="509">
                  <c:v>3.415906004493673E-3</c:v>
                </c:pt>
                <c:pt idx="510">
                  <c:v>3.996858359486247E-3</c:v>
                </c:pt>
                <c:pt idx="511">
                  <c:v>-2.0304911420639987E-3</c:v>
                </c:pt>
                <c:pt idx="512">
                  <c:v>-1.5562598679347471E-2</c:v>
                </c:pt>
                <c:pt idx="513">
                  <c:v>-7.6383501022425386E-3</c:v>
                </c:pt>
                <c:pt idx="514">
                  <c:v>1.8918400847941521E-2</c:v>
                </c:pt>
                <c:pt idx="515">
                  <c:v>1.188134519338571E-2</c:v>
                </c:pt>
                <c:pt idx="516">
                  <c:v>-7.1150326956278078E-4</c:v>
                </c:pt>
                <c:pt idx="517">
                  <c:v>-1.8172494278111275E-4</c:v>
                </c:pt>
                <c:pt idx="518">
                  <c:v>1.1007853483929608E-2</c:v>
                </c:pt>
                <c:pt idx="519">
                  <c:v>2.4948409822725891E-3</c:v>
                </c:pt>
                <c:pt idx="520">
                  <c:v>-1.2968740968034929E-2</c:v>
                </c:pt>
                <c:pt idx="521">
                  <c:v>1.4642470252690063E-2</c:v>
                </c:pt>
                <c:pt idx="522">
                  <c:v>1.0452303874717631E-2</c:v>
                </c:pt>
                <c:pt idx="523">
                  <c:v>1.4699373319951187E-2</c:v>
                </c:pt>
                <c:pt idx="524">
                  <c:v>-1.0354610892247164E-2</c:v>
                </c:pt>
                <c:pt idx="525">
                  <c:v>-6.14046293534826E-3</c:v>
                </c:pt>
                <c:pt idx="526">
                  <c:v>1.2872510628823622E-2</c:v>
                </c:pt>
                <c:pt idx="527">
                  <c:v>-1.1080724543708051E-2</c:v>
                </c:pt>
                <c:pt idx="528">
                  <c:v>-8.8297961100381617E-3</c:v>
                </c:pt>
                <c:pt idx="529">
                  <c:v>2.1952617910082129E-3</c:v>
                </c:pt>
                <c:pt idx="530">
                  <c:v>1.144860931203243E-2</c:v>
                </c:pt>
                <c:pt idx="531">
                  <c:v>-2.8041447156584631E-4</c:v>
                </c:pt>
                <c:pt idx="532">
                  <c:v>2.7731757281472878E-3</c:v>
                </c:pt>
                <c:pt idx="533">
                  <c:v>-1.3788741597237713E-2</c:v>
                </c:pt>
                <c:pt idx="534">
                  <c:v>-2.7674057719230738E-3</c:v>
                </c:pt>
                <c:pt idx="535">
                  <c:v>-2.004123425479001E-2</c:v>
                </c:pt>
                <c:pt idx="536">
                  <c:v>-1.5735561302083485E-3</c:v>
                </c:pt>
                <c:pt idx="537">
                  <c:v>5.3294292827346223E-3</c:v>
                </c:pt>
                <c:pt idx="538">
                  <c:v>-1.0537551412511096E-2</c:v>
                </c:pt>
                <c:pt idx="539">
                  <c:v>3.0730045239223984E-3</c:v>
                </c:pt>
                <c:pt idx="540">
                  <c:v>-3.0360018558298701E-3</c:v>
                </c:pt>
                <c:pt idx="541">
                  <c:v>-4.7252646532438365E-3</c:v>
                </c:pt>
                <c:pt idx="542">
                  <c:v>7.582194066213313E-3</c:v>
                </c:pt>
                <c:pt idx="543">
                  <c:v>1.6147737178977457E-2</c:v>
                </c:pt>
                <c:pt idx="544">
                  <c:v>6.8716669637606154E-4</c:v>
                </c:pt>
                <c:pt idx="545">
                  <c:v>-1.5326919192055123E-2</c:v>
                </c:pt>
                <c:pt idx="546">
                  <c:v>1.4147941195797474E-3</c:v>
                </c:pt>
                <c:pt idx="547">
                  <c:v>-1.8459358021499544E-2</c:v>
                </c:pt>
                <c:pt idx="548">
                  <c:v>-1.4478138338748918E-2</c:v>
                </c:pt>
                <c:pt idx="549">
                  <c:v>-1.5097609707765435E-3</c:v>
                </c:pt>
                <c:pt idx="550">
                  <c:v>1.6476655402627098E-2</c:v>
                </c:pt>
                <c:pt idx="551">
                  <c:v>-6.9808834579083243E-3</c:v>
                </c:pt>
                <c:pt idx="552">
                  <c:v>1.7562006046926953E-2</c:v>
                </c:pt>
                <c:pt idx="553">
                  <c:v>-1.1019457129403913E-2</c:v>
                </c:pt>
                <c:pt idx="554">
                  <c:v>8.9184035178799023E-3</c:v>
                </c:pt>
                <c:pt idx="555">
                  <c:v>1.2982193942461036E-2</c:v>
                </c:pt>
                <c:pt idx="556">
                  <c:v>-1.646322365547789E-2</c:v>
                </c:pt>
                <c:pt idx="557">
                  <c:v>2.9845287331504516E-3</c:v>
                </c:pt>
                <c:pt idx="558">
                  <c:v>5.6398071181432098E-3</c:v>
                </c:pt>
                <c:pt idx="559">
                  <c:v>1.646954290106377E-3</c:v>
                </c:pt>
                <c:pt idx="560">
                  <c:v>-1.5738433033462037E-3</c:v>
                </c:pt>
                <c:pt idx="561">
                  <c:v>1.4237268862417968E-2</c:v>
                </c:pt>
                <c:pt idx="562">
                  <c:v>5.7152692561960872E-3</c:v>
                </c:pt>
                <c:pt idx="563">
                  <c:v>1.4436542603355383E-2</c:v>
                </c:pt>
                <c:pt idx="564">
                  <c:v>3.6988464685720518E-3</c:v>
                </c:pt>
                <c:pt idx="565">
                  <c:v>-5.7969720903796344E-3</c:v>
                </c:pt>
                <c:pt idx="566">
                  <c:v>-2.4923705691234236E-3</c:v>
                </c:pt>
                <c:pt idx="567">
                  <c:v>3.5791631630220071E-3</c:v>
                </c:pt>
                <c:pt idx="568">
                  <c:v>9.9630281462055972E-4</c:v>
                </c:pt>
                <c:pt idx="569">
                  <c:v>-4.1352508369290667E-5</c:v>
                </c:pt>
                <c:pt idx="570">
                  <c:v>-4.1348839953753852E-3</c:v>
                </c:pt>
                <c:pt idx="571">
                  <c:v>1.3262690074383127E-2</c:v>
                </c:pt>
                <c:pt idx="572">
                  <c:v>-2.0693734425777377E-3</c:v>
                </c:pt>
                <c:pt idx="573">
                  <c:v>3.3061567818989451E-3</c:v>
                </c:pt>
                <c:pt idx="574">
                  <c:v>8.5522030354658551E-4</c:v>
                </c:pt>
                <c:pt idx="575">
                  <c:v>-8.4261839754751574E-5</c:v>
                </c:pt>
                <c:pt idx="576">
                  <c:v>-5.9525482801740109E-3</c:v>
                </c:pt>
                <c:pt idx="577">
                  <c:v>9.0318901560978299E-4</c:v>
                </c:pt>
                <c:pt idx="578">
                  <c:v>8.5157903747143393E-4</c:v>
                </c:pt>
                <c:pt idx="579">
                  <c:v>-1.5810858822582541E-2</c:v>
                </c:pt>
                <c:pt idx="580">
                  <c:v>-3.8411873007662637E-3</c:v>
                </c:pt>
                <c:pt idx="581">
                  <c:v>1.9566149866163712E-2</c:v>
                </c:pt>
                <c:pt idx="582">
                  <c:v>8.2532025562978544E-3</c:v>
                </c:pt>
                <c:pt idx="583">
                  <c:v>-3.8610642279656115E-4</c:v>
                </c:pt>
                <c:pt idx="584">
                  <c:v>-1.1586262921925989E-2</c:v>
                </c:pt>
                <c:pt idx="585">
                  <c:v>-6.9983050345258898E-3</c:v>
                </c:pt>
                <c:pt idx="586">
                  <c:v>-7.2187322618101849E-3</c:v>
                </c:pt>
                <c:pt idx="587">
                  <c:v>1.8474751315064881E-2</c:v>
                </c:pt>
                <c:pt idx="588">
                  <c:v>4.5212861891819674E-4</c:v>
                </c:pt>
                <c:pt idx="589">
                  <c:v>-4.579421201948727E-3</c:v>
                </c:pt>
                <c:pt idx="590">
                  <c:v>4.4839653012013524E-3</c:v>
                </c:pt>
                <c:pt idx="591">
                  <c:v>-1.6966241063897363E-3</c:v>
                </c:pt>
                <c:pt idx="592">
                  <c:v>-1.5833068194976868E-3</c:v>
                </c:pt>
                <c:pt idx="593">
                  <c:v>2.9581644316460732E-3</c:v>
                </c:pt>
                <c:pt idx="594">
                  <c:v>-6.3776834187244443E-3</c:v>
                </c:pt>
                <c:pt idx="595">
                  <c:v>1.1890829257476115E-2</c:v>
                </c:pt>
                <c:pt idx="596">
                  <c:v>9.4450486107908703E-3</c:v>
                </c:pt>
                <c:pt idx="597">
                  <c:v>-1.4458677914612266E-3</c:v>
                </c:pt>
                <c:pt idx="598">
                  <c:v>1.5503485300508044E-4</c:v>
                </c:pt>
                <c:pt idx="599">
                  <c:v>-1.1222026821583778E-2</c:v>
                </c:pt>
                <c:pt idx="600">
                  <c:v>-7.3186003958792866E-3</c:v>
                </c:pt>
                <c:pt idx="601">
                  <c:v>8.7575813198563918E-3</c:v>
                </c:pt>
                <c:pt idx="602">
                  <c:v>1.3049086740849637E-2</c:v>
                </c:pt>
                <c:pt idx="603">
                  <c:v>1.6603454270508214E-5</c:v>
                </c:pt>
                <c:pt idx="604">
                  <c:v>-6.1086243503365783E-3</c:v>
                </c:pt>
                <c:pt idx="605">
                  <c:v>9.854453705378588E-3</c:v>
                </c:pt>
                <c:pt idx="606">
                  <c:v>1.4534424548879647E-2</c:v>
                </c:pt>
                <c:pt idx="607">
                  <c:v>-2.0035816068160643E-3</c:v>
                </c:pt>
                <c:pt idx="608">
                  <c:v>2.3538964030047089E-3</c:v>
                </c:pt>
                <c:pt idx="609">
                  <c:v>-3.8120096703719809E-3</c:v>
                </c:pt>
                <c:pt idx="610">
                  <c:v>6.1886425549797222E-3</c:v>
                </c:pt>
                <c:pt idx="611">
                  <c:v>1.1480594229392124E-3</c:v>
                </c:pt>
                <c:pt idx="612">
                  <c:v>9.3211489271568682E-3</c:v>
                </c:pt>
                <c:pt idx="613">
                  <c:v>6.9324899871355478E-3</c:v>
                </c:pt>
                <c:pt idx="614">
                  <c:v>8.1942549725121344E-4</c:v>
                </c:pt>
                <c:pt idx="615">
                  <c:v>1.2178137419650467E-2</c:v>
                </c:pt>
                <c:pt idx="616">
                  <c:v>-3.67161952821897E-3</c:v>
                </c:pt>
                <c:pt idx="617">
                  <c:v>-4.7351077398754366E-3</c:v>
                </c:pt>
                <c:pt idx="618">
                  <c:v>-5.2452816897370566E-3</c:v>
                </c:pt>
                <c:pt idx="619">
                  <c:v>3.7107985722618429E-3</c:v>
                </c:pt>
                <c:pt idx="620">
                  <c:v>-7.6588088589041601E-3</c:v>
                </c:pt>
                <c:pt idx="621">
                  <c:v>-4.4868383149453735E-3</c:v>
                </c:pt>
                <c:pt idx="622">
                  <c:v>1.1455854948052872E-2</c:v>
                </c:pt>
                <c:pt idx="623">
                  <c:v>-3.540766955959523E-4</c:v>
                </c:pt>
                <c:pt idx="624">
                  <c:v>4.4735446445341122E-3</c:v>
                </c:pt>
                <c:pt idx="625">
                  <c:v>1.2269004631900185E-2</c:v>
                </c:pt>
                <c:pt idx="626">
                  <c:v>1.1706778155954728E-3</c:v>
                </c:pt>
                <c:pt idx="627">
                  <c:v>-1.9683185183236385E-3</c:v>
                </c:pt>
                <c:pt idx="628">
                  <c:v>-7.9225112314782343E-3</c:v>
                </c:pt>
                <c:pt idx="629">
                  <c:v>-2.8651006659629382E-3</c:v>
                </c:pt>
                <c:pt idx="630">
                  <c:v>2.4050260928219873E-3</c:v>
                </c:pt>
                <c:pt idx="631">
                  <c:v>6.7422111766051738E-3</c:v>
                </c:pt>
                <c:pt idx="632">
                  <c:v>7.4112333438970434E-3</c:v>
                </c:pt>
                <c:pt idx="633">
                  <c:v>8.4701535004688046E-3</c:v>
                </c:pt>
                <c:pt idx="634">
                  <c:v>-1.0244070917438679E-3</c:v>
                </c:pt>
                <c:pt idx="635">
                  <c:v>3.8553824728261125E-3</c:v>
                </c:pt>
                <c:pt idx="636">
                  <c:v>7.1172751161176842E-3</c:v>
                </c:pt>
                <c:pt idx="637">
                  <c:v>2.3579104731872415E-3</c:v>
                </c:pt>
                <c:pt idx="638">
                  <c:v>-6.7568962939617812E-3</c:v>
                </c:pt>
                <c:pt idx="639">
                  <c:v>3.2409461838611096E-4</c:v>
                </c:pt>
                <c:pt idx="640">
                  <c:v>4.0341538838200497E-3</c:v>
                </c:pt>
                <c:pt idx="641">
                  <c:v>2.8146733033541618E-3</c:v>
                </c:pt>
                <c:pt idx="642">
                  <c:v>-1.5543891048015396E-4</c:v>
                </c:pt>
                <c:pt idx="643">
                  <c:v>-6.4246661192314198E-3</c:v>
                </c:pt>
                <c:pt idx="644">
                  <c:v>9.8778427470862639E-3</c:v>
                </c:pt>
                <c:pt idx="645">
                  <c:v>1.4687130566064467E-3</c:v>
                </c:pt>
                <c:pt idx="646">
                  <c:v>-2.6650877549462015E-3</c:v>
                </c:pt>
                <c:pt idx="647">
                  <c:v>-1.3839541173892838E-2</c:v>
                </c:pt>
                <c:pt idx="648">
                  <c:v>-2.5479738402680876E-3</c:v>
                </c:pt>
                <c:pt idx="649">
                  <c:v>-5.3000742519009637E-3</c:v>
                </c:pt>
                <c:pt idx="650">
                  <c:v>9.0240927238495177E-3</c:v>
                </c:pt>
                <c:pt idx="651">
                  <c:v>-4.2182829137664152E-3</c:v>
                </c:pt>
                <c:pt idx="652">
                  <c:v>-7.0387304080854482E-3</c:v>
                </c:pt>
                <c:pt idx="653">
                  <c:v>2.5071390259847519E-4</c:v>
                </c:pt>
                <c:pt idx="654">
                  <c:v>-1.0696922721527356E-3</c:v>
                </c:pt>
                <c:pt idx="655">
                  <c:v>5.7504757162987414E-3</c:v>
                </c:pt>
                <c:pt idx="656">
                  <c:v>-1.1550909525884698E-2</c:v>
                </c:pt>
                <c:pt idx="657">
                  <c:v>-7.5553951758480127E-3</c:v>
                </c:pt>
                <c:pt idx="658">
                  <c:v>-7.7129130647324478E-3</c:v>
                </c:pt>
                <c:pt idx="659">
                  <c:v>-1.4870674735558066E-4</c:v>
                </c:pt>
                <c:pt idx="660">
                  <c:v>6.8791886116673015E-3</c:v>
                </c:pt>
                <c:pt idx="661">
                  <c:v>-2.7774667640469717E-3</c:v>
                </c:pt>
                <c:pt idx="662">
                  <c:v>1.1044879979430907E-2</c:v>
                </c:pt>
                <c:pt idx="663">
                  <c:v>-1.345797465496377E-2</c:v>
                </c:pt>
                <c:pt idx="664">
                  <c:v>6.7179659584534019E-3</c:v>
                </c:pt>
                <c:pt idx="665">
                  <c:v>6.2646198329715241E-3</c:v>
                </c:pt>
                <c:pt idx="666">
                  <c:v>1.4508307143874242E-2</c:v>
                </c:pt>
                <c:pt idx="667">
                  <c:v>3.8331820199712027E-3</c:v>
                </c:pt>
                <c:pt idx="668">
                  <c:v>-1.5969365260038277E-3</c:v>
                </c:pt>
                <c:pt idx="669">
                  <c:v>1.7991294195515693E-3</c:v>
                </c:pt>
                <c:pt idx="670">
                  <c:v>-4.1941777185544038E-3</c:v>
                </c:pt>
                <c:pt idx="671">
                  <c:v>-6.9715994280893723E-3</c:v>
                </c:pt>
                <c:pt idx="672">
                  <c:v>-3.2112657685680066E-3</c:v>
                </c:pt>
                <c:pt idx="673">
                  <c:v>1.4266225741163517E-3</c:v>
                </c:pt>
                <c:pt idx="674">
                  <c:v>6.7234532049901723E-3</c:v>
                </c:pt>
                <c:pt idx="675">
                  <c:v>-5.6958856952795123E-3</c:v>
                </c:pt>
                <c:pt idx="676">
                  <c:v>1.2416322915528113E-3</c:v>
                </c:pt>
                <c:pt idx="677">
                  <c:v>8.4299190358159207E-3</c:v>
                </c:pt>
                <c:pt idx="678">
                  <c:v>-1.2159613062608522E-2</c:v>
                </c:pt>
                <c:pt idx="679">
                  <c:v>7.2128771120867792E-4</c:v>
                </c:pt>
                <c:pt idx="680">
                  <c:v>-2.1510106505326474E-3</c:v>
                </c:pt>
                <c:pt idx="681">
                  <c:v>-9.3947947587202877E-3</c:v>
                </c:pt>
                <c:pt idx="682">
                  <c:v>-1.6400934033396531E-2</c:v>
                </c:pt>
                <c:pt idx="683">
                  <c:v>-2.29559838337174E-3</c:v>
                </c:pt>
                <c:pt idx="684">
                  <c:v>4.023064902487104E-3</c:v>
                </c:pt>
                <c:pt idx="685">
                  <c:v>-1.4734533934610605E-2</c:v>
                </c:pt>
                <c:pt idx="686">
                  <c:v>2.2931418506549786E-4</c:v>
                </c:pt>
                <c:pt idx="687">
                  <c:v>5.8931738091624287E-3</c:v>
                </c:pt>
                <c:pt idx="688">
                  <c:v>-2.7095819409801193E-3</c:v>
                </c:pt>
                <c:pt idx="689">
                  <c:v>7.9367548297557978E-5</c:v>
                </c:pt>
                <c:pt idx="690">
                  <c:v>-1.3744071811813321E-2</c:v>
                </c:pt>
                <c:pt idx="691">
                  <c:v>8.1097550316465306E-3</c:v>
                </c:pt>
                <c:pt idx="692">
                  <c:v>-1.3040302550572536E-3</c:v>
                </c:pt>
                <c:pt idx="693">
                  <c:v>1.1814893111176126E-2</c:v>
                </c:pt>
                <c:pt idx="694">
                  <c:v>6.303854241615392E-3</c:v>
                </c:pt>
                <c:pt idx="695">
                  <c:v>5.2079907528619403E-3</c:v>
                </c:pt>
                <c:pt idx="696">
                  <c:v>4.2930081857439151E-3</c:v>
                </c:pt>
                <c:pt idx="697">
                  <c:v>-6.2464343394249356E-3</c:v>
                </c:pt>
                <c:pt idx="698">
                  <c:v>-5.01885886035383E-3</c:v>
                </c:pt>
                <c:pt idx="699">
                  <c:v>1.0594369463741069E-2</c:v>
                </c:pt>
                <c:pt idx="700">
                  <c:v>-9.8245167399607284E-5</c:v>
                </c:pt>
                <c:pt idx="701">
                  <c:v>-1.3399820357412303E-2</c:v>
                </c:pt>
                <c:pt idx="702">
                  <c:v>-8.4828482753165433E-3</c:v>
                </c:pt>
                <c:pt idx="703">
                  <c:v>-1.2585283777466125E-2</c:v>
                </c:pt>
                <c:pt idx="704">
                  <c:v>-1.6855698498756168E-3</c:v>
                </c:pt>
                <c:pt idx="705">
                  <c:v>7.2657922895285583E-3</c:v>
                </c:pt>
                <c:pt idx="706">
                  <c:v>-1.4339628568118429E-2</c:v>
                </c:pt>
                <c:pt idx="707">
                  <c:v>-1.1832520000704472E-2</c:v>
                </c:pt>
                <c:pt idx="708">
                  <c:v>-4.8002801623321109E-3</c:v>
                </c:pt>
                <c:pt idx="709">
                  <c:v>1.2010022318816902E-2</c:v>
                </c:pt>
                <c:pt idx="710">
                  <c:v>6.4749574350684708E-3</c:v>
                </c:pt>
                <c:pt idx="711">
                  <c:v>1.0505999343952955E-2</c:v>
                </c:pt>
                <c:pt idx="712">
                  <c:v>1.8858557050875292E-2</c:v>
                </c:pt>
                <c:pt idx="713">
                  <c:v>9.3937303474592015E-3</c:v>
                </c:pt>
                <c:pt idx="714">
                  <c:v>1.7529922570214292E-3</c:v>
                </c:pt>
                <c:pt idx="715">
                  <c:v>2.8401190698999815E-3</c:v>
                </c:pt>
                <c:pt idx="716">
                  <c:v>1.0049155435515487E-3</c:v>
                </c:pt>
                <c:pt idx="717">
                  <c:v>-8.0838391929381036E-3</c:v>
                </c:pt>
                <c:pt idx="718">
                  <c:v>1.5616440928287066E-2</c:v>
                </c:pt>
                <c:pt idx="719">
                  <c:v>-8.3583877760075287E-4</c:v>
                </c:pt>
                <c:pt idx="720">
                  <c:v>1.907501756063722E-2</c:v>
                </c:pt>
                <c:pt idx="721">
                  <c:v>1.5970121868856648E-3</c:v>
                </c:pt>
                <c:pt idx="722">
                  <c:v>1.1904272686103683E-3</c:v>
                </c:pt>
                <c:pt idx="723">
                  <c:v>1.2820492476000689E-3</c:v>
                </c:pt>
                <c:pt idx="724">
                  <c:v>7.3902780342564095E-3</c:v>
                </c:pt>
                <c:pt idx="725">
                  <c:v>-2.0209312255516205E-3</c:v>
                </c:pt>
                <c:pt idx="726">
                  <c:v>4.0611292695121592E-3</c:v>
                </c:pt>
                <c:pt idx="727">
                  <c:v>5.9687376392270205E-4</c:v>
                </c:pt>
                <c:pt idx="728">
                  <c:v>-1.9541574668370428E-3</c:v>
                </c:pt>
                <c:pt idx="729">
                  <c:v>9.8011854429133345E-4</c:v>
                </c:pt>
                <c:pt idx="730">
                  <c:v>-9.4624872836979353E-4</c:v>
                </c:pt>
                <c:pt idx="731">
                  <c:v>3.7840729544018573E-3</c:v>
                </c:pt>
                <c:pt idx="732">
                  <c:v>5.8737420958403759E-3</c:v>
                </c:pt>
                <c:pt idx="733">
                  <c:v>-5.4085092015669313E-3</c:v>
                </c:pt>
                <c:pt idx="734">
                  <c:v>-5.6886964412003352E-4</c:v>
                </c:pt>
                <c:pt idx="735">
                  <c:v>-3.9062028018401005E-3</c:v>
                </c:pt>
                <c:pt idx="736">
                  <c:v>7.9681890654550967E-3</c:v>
                </c:pt>
                <c:pt idx="737">
                  <c:v>4.0954977743099487E-3</c:v>
                </c:pt>
                <c:pt idx="738">
                  <c:v>3.924494239349448E-3</c:v>
                </c:pt>
                <c:pt idx="739">
                  <c:v>4.5993575409010844E-3</c:v>
                </c:pt>
                <c:pt idx="740">
                  <c:v>1.3650676473096415E-2</c:v>
                </c:pt>
                <c:pt idx="741">
                  <c:v>2.6470624978365224E-3</c:v>
                </c:pt>
                <c:pt idx="742">
                  <c:v>-7.6249645595172599E-5</c:v>
                </c:pt>
                <c:pt idx="743">
                  <c:v>4.5283445394597504E-3</c:v>
                </c:pt>
                <c:pt idx="744">
                  <c:v>5.8664076931590299E-3</c:v>
                </c:pt>
                <c:pt idx="745">
                  <c:v>-1.4684266800173073E-2</c:v>
                </c:pt>
                <c:pt idx="746">
                  <c:v>1.0301467747284956E-2</c:v>
                </c:pt>
                <c:pt idx="747">
                  <c:v>1.6600585663874459E-3</c:v>
                </c:pt>
                <c:pt idx="748">
                  <c:v>4.2316894259086524E-3</c:v>
                </c:pt>
                <c:pt idx="749">
                  <c:v>1.4304577202994832E-3</c:v>
                </c:pt>
                <c:pt idx="750">
                  <c:v>3.7017470608591811E-4</c:v>
                </c:pt>
                <c:pt idx="751">
                  <c:v>-2.826475111167983E-3</c:v>
                </c:pt>
                <c:pt idx="752">
                  <c:v>-5.6605790056406284E-3</c:v>
                </c:pt>
                <c:pt idx="753">
                  <c:v>-8.0163148109308243E-3</c:v>
                </c:pt>
                <c:pt idx="754">
                  <c:v>-3.4283813369139281E-3</c:v>
                </c:pt>
                <c:pt idx="755">
                  <c:v>1.8256860520827357E-3</c:v>
                </c:pt>
                <c:pt idx="756">
                  <c:v>1.4114629377501957E-2</c:v>
                </c:pt>
                <c:pt idx="757">
                  <c:v>-1.4779006668071029E-3</c:v>
                </c:pt>
                <c:pt idx="758">
                  <c:v>5.6659718280248818E-3</c:v>
                </c:pt>
                <c:pt idx="759">
                  <c:v>-6.7105559149664685E-4</c:v>
                </c:pt>
                <c:pt idx="760">
                  <c:v>7.5097564646791444E-4</c:v>
                </c:pt>
                <c:pt idx="761">
                  <c:v>-3.7313403086972874E-3</c:v>
                </c:pt>
                <c:pt idx="762">
                  <c:v>-5.6168970730759351E-3</c:v>
                </c:pt>
                <c:pt idx="763">
                  <c:v>8.8052608648709896E-3</c:v>
                </c:pt>
                <c:pt idx="764">
                  <c:v>1.2313502935928375E-2</c:v>
                </c:pt>
                <c:pt idx="765">
                  <c:v>2.1943251637015289E-3</c:v>
                </c:pt>
                <c:pt idx="766">
                  <c:v>2.9213742876071126E-3</c:v>
                </c:pt>
                <c:pt idx="767">
                  <c:v>8.1192840530172649E-4</c:v>
                </c:pt>
                <c:pt idx="768">
                  <c:v>5.2603654118313506E-3</c:v>
                </c:pt>
                <c:pt idx="769">
                  <c:v>-6.5178516810262621E-4</c:v>
                </c:pt>
                <c:pt idx="770">
                  <c:v>7.5567749087180986E-3</c:v>
                </c:pt>
                <c:pt idx="771">
                  <c:v>-6.0064994719591716E-4</c:v>
                </c:pt>
                <c:pt idx="772">
                  <c:v>-1.6105744712610441E-2</c:v>
                </c:pt>
                <c:pt idx="773">
                  <c:v>1.2493688199597777E-2</c:v>
                </c:pt>
                <c:pt idx="774">
                  <c:v>1.0684446103877421E-2</c:v>
                </c:pt>
                <c:pt idx="775">
                  <c:v>-3.1863373882050688E-3</c:v>
                </c:pt>
                <c:pt idx="776">
                  <c:v>2.3104106497489232E-3</c:v>
                </c:pt>
                <c:pt idx="777">
                  <c:v>8.2414581407866533E-3</c:v>
                </c:pt>
                <c:pt idx="778">
                  <c:v>5.7058312939887524E-4</c:v>
                </c:pt>
                <c:pt idx="779">
                  <c:v>5.7423415195940871E-3</c:v>
                </c:pt>
                <c:pt idx="780">
                  <c:v>-9.4895349549820301E-4</c:v>
                </c:pt>
                <c:pt idx="781">
                  <c:v>-1.3674255677835997E-2</c:v>
                </c:pt>
                <c:pt idx="782">
                  <c:v>9.5797632116850183E-3</c:v>
                </c:pt>
                <c:pt idx="783">
                  <c:v>5.8212506287047107E-3</c:v>
                </c:pt>
                <c:pt idx="784">
                  <c:v>-4.8034697878552744E-3</c:v>
                </c:pt>
                <c:pt idx="785">
                  <c:v>-6.0053218828098852E-3</c:v>
                </c:pt>
                <c:pt idx="786">
                  <c:v>1.2641999103252335E-3</c:v>
                </c:pt>
                <c:pt idx="787">
                  <c:v>2.1122884121996564E-2</c:v>
                </c:pt>
                <c:pt idx="788">
                  <c:v>3.4794763836829619E-4</c:v>
                </c:pt>
                <c:pt idx="789">
                  <c:v>-3.7867514420720926E-3</c:v>
                </c:pt>
                <c:pt idx="790">
                  <c:v>1.7063497734238339E-3</c:v>
                </c:pt>
                <c:pt idx="791">
                  <c:v>-1.6581550295902143E-3</c:v>
                </c:pt>
                <c:pt idx="792">
                  <c:v>5.2290947152543645E-3</c:v>
                </c:pt>
                <c:pt idx="793">
                  <c:v>8.0078288316442117E-3</c:v>
                </c:pt>
                <c:pt idx="794">
                  <c:v>-1.1932621074472588E-3</c:v>
                </c:pt>
                <c:pt idx="795">
                  <c:v>-1.0193100890155928E-2</c:v>
                </c:pt>
                <c:pt idx="796">
                  <c:v>5.1411033451464749E-3</c:v>
                </c:pt>
                <c:pt idx="797">
                  <c:v>1.0304127796637932E-2</c:v>
                </c:pt>
                <c:pt idx="798">
                  <c:v>-6.528519028031231E-3</c:v>
                </c:pt>
                <c:pt idx="799">
                  <c:v>-1.1222380874354317E-3</c:v>
                </c:pt>
                <c:pt idx="800">
                  <c:v>1.1201788153222937E-2</c:v>
                </c:pt>
                <c:pt idx="801">
                  <c:v>-1.9245297272430177E-3</c:v>
                </c:pt>
                <c:pt idx="802">
                  <c:v>-2.8710917313009062E-3</c:v>
                </c:pt>
                <c:pt idx="803">
                  <c:v>-6.4829173455014542E-3</c:v>
                </c:pt>
                <c:pt idx="804">
                  <c:v>6.3180594802157543E-3</c:v>
                </c:pt>
                <c:pt idx="805">
                  <c:v>5.6491496985357111E-3</c:v>
                </c:pt>
                <c:pt idx="806">
                  <c:v>8.9041738035799747E-3</c:v>
                </c:pt>
                <c:pt idx="807">
                  <c:v>3.2365354076133164E-3</c:v>
                </c:pt>
                <c:pt idx="808">
                  <c:v>-1.4021877775134829E-3</c:v>
                </c:pt>
                <c:pt idx="809">
                  <c:v>-3.0549645717813387E-3</c:v>
                </c:pt>
                <c:pt idx="810">
                  <c:v>-2.7997951713501414E-3</c:v>
                </c:pt>
                <c:pt idx="811">
                  <c:v>8.6306264776963258E-3</c:v>
                </c:pt>
                <c:pt idx="812">
                  <c:v>1.1164856442028802E-3</c:v>
                </c:pt>
                <c:pt idx="813">
                  <c:v>-2.0135845161949003E-3</c:v>
                </c:pt>
                <c:pt idx="814">
                  <c:v>-7.2390590844408484E-3</c:v>
                </c:pt>
                <c:pt idx="815">
                  <c:v>1.0911222145301685E-3</c:v>
                </c:pt>
                <c:pt idx="816">
                  <c:v>-1.2334336267318103E-2</c:v>
                </c:pt>
                <c:pt idx="817">
                  <c:v>1.1099194210624609E-2</c:v>
                </c:pt>
                <c:pt idx="818">
                  <c:v>-3.7463099229531448E-4</c:v>
                </c:pt>
                <c:pt idx="819">
                  <c:v>1.4454930910537346E-3</c:v>
                </c:pt>
                <c:pt idx="820">
                  <c:v>-9.4569805475930736E-3</c:v>
                </c:pt>
                <c:pt idx="821">
                  <c:v>7.4447977344016926E-3</c:v>
                </c:pt>
                <c:pt idx="822">
                  <c:v>-1.4550688420889512E-2</c:v>
                </c:pt>
                <c:pt idx="823">
                  <c:v>-1.2021354942249086E-2</c:v>
                </c:pt>
                <c:pt idx="824">
                  <c:v>-2.0565070195987752E-3</c:v>
                </c:pt>
                <c:pt idx="825">
                  <c:v>-5.7806026630636467E-3</c:v>
                </c:pt>
                <c:pt idx="826">
                  <c:v>-2.2081601697494574E-3</c:v>
                </c:pt>
                <c:pt idx="827">
                  <c:v>-8.7585481838890668E-3</c:v>
                </c:pt>
                <c:pt idx="828">
                  <c:v>8.731248235862802E-3</c:v>
                </c:pt>
                <c:pt idx="829">
                  <c:v>1.1964576263814971E-2</c:v>
                </c:pt>
                <c:pt idx="830">
                  <c:v>2.1301003668969143E-4</c:v>
                </c:pt>
                <c:pt idx="831">
                  <c:v>-4.5764303656697985E-3</c:v>
                </c:pt>
                <c:pt idx="832">
                  <c:v>1.0209142622110015E-2</c:v>
                </c:pt>
                <c:pt idx="833">
                  <c:v>3.1784486788053192E-3</c:v>
                </c:pt>
                <c:pt idx="834">
                  <c:v>-1.573051369031531E-2</c:v>
                </c:pt>
                <c:pt idx="835">
                  <c:v>-3.4354386792455841E-3</c:v>
                </c:pt>
                <c:pt idx="836">
                  <c:v>9.1284369587465615E-3</c:v>
                </c:pt>
                <c:pt idx="837">
                  <c:v>1.2556739771619569E-2</c:v>
                </c:pt>
                <c:pt idx="838">
                  <c:v>1.0326123846195067E-2</c:v>
                </c:pt>
                <c:pt idx="839">
                  <c:v>1.3434298354362301E-3</c:v>
                </c:pt>
                <c:pt idx="840">
                  <c:v>-5.8355338324069504E-6</c:v>
                </c:pt>
                <c:pt idx="841">
                  <c:v>5.0909476503119572E-3</c:v>
                </c:pt>
                <c:pt idx="842">
                  <c:v>1.649398910516673E-3</c:v>
                </c:pt>
                <c:pt idx="843">
                  <c:v>-2.4130407329767237E-4</c:v>
                </c:pt>
                <c:pt idx="844">
                  <c:v>4.8378131575987429E-3</c:v>
                </c:pt>
                <c:pt idx="845">
                  <c:v>1.1715927774897073E-2</c:v>
                </c:pt>
                <c:pt idx="846">
                  <c:v>-2.0816676627457122E-3</c:v>
                </c:pt>
                <c:pt idx="847">
                  <c:v>1.164773533792497E-3</c:v>
                </c:pt>
                <c:pt idx="848">
                  <c:v>9.1638988429249869E-4</c:v>
                </c:pt>
                <c:pt idx="849">
                  <c:v>2.501874161469215E-3</c:v>
                </c:pt>
                <c:pt idx="850">
                  <c:v>-2.7061229219031446E-3</c:v>
                </c:pt>
                <c:pt idx="851">
                  <c:v>-7.3807895080478057E-3</c:v>
                </c:pt>
                <c:pt idx="852">
                  <c:v>7.0010425700406309E-3</c:v>
                </c:pt>
                <c:pt idx="853">
                  <c:v>2.4880181168992214E-4</c:v>
                </c:pt>
                <c:pt idx="854">
                  <c:v>-7.3670465568833375E-3</c:v>
                </c:pt>
                <c:pt idx="855">
                  <c:v>-5.9750356154640418E-3</c:v>
                </c:pt>
                <c:pt idx="856">
                  <c:v>8.0278763667433715E-3</c:v>
                </c:pt>
                <c:pt idx="857">
                  <c:v>1.1160824444033789E-3</c:v>
                </c:pt>
                <c:pt idx="858">
                  <c:v>1.5028092037845469E-3</c:v>
                </c:pt>
                <c:pt idx="859">
                  <c:v>1.1847649715995001E-2</c:v>
                </c:pt>
                <c:pt idx="860">
                  <c:v>-1.998165947820093E-4</c:v>
                </c:pt>
                <c:pt idx="861">
                  <c:v>-1.1152198117477558E-3</c:v>
                </c:pt>
                <c:pt idx="862">
                  <c:v>2.5808547231396645E-3</c:v>
                </c:pt>
                <c:pt idx="863">
                  <c:v>2.7103812860221812E-3</c:v>
                </c:pt>
                <c:pt idx="864">
                  <c:v>8.5036728039718529E-3</c:v>
                </c:pt>
                <c:pt idx="865">
                  <c:v>2.344655813397298E-3</c:v>
                </c:pt>
                <c:pt idx="866">
                  <c:v>-3.9386056525277465E-4</c:v>
                </c:pt>
                <c:pt idx="867">
                  <c:v>7.6643864144801373E-3</c:v>
                </c:pt>
                <c:pt idx="868">
                  <c:v>2.5213274520577795E-3</c:v>
                </c:pt>
                <c:pt idx="869">
                  <c:v>-2.5259317960854987E-3</c:v>
                </c:pt>
                <c:pt idx="870">
                  <c:v>-1.5621303781621658E-3</c:v>
                </c:pt>
                <c:pt idx="871">
                  <c:v>-3.0651718950951553E-3</c:v>
                </c:pt>
                <c:pt idx="872">
                  <c:v>3.9335901076511031E-3</c:v>
                </c:pt>
                <c:pt idx="873">
                  <c:v>1.5724310801427095E-3</c:v>
                </c:pt>
                <c:pt idx="874">
                  <c:v>9.0732125247225447E-4</c:v>
                </c:pt>
                <c:pt idx="875">
                  <c:v>-4.0836526348815424E-3</c:v>
                </c:pt>
                <c:pt idx="876">
                  <c:v>2.67556406277677E-3</c:v>
                </c:pt>
                <c:pt idx="877">
                  <c:v>6.1953178790612818E-3</c:v>
                </c:pt>
                <c:pt idx="878">
                  <c:v>5.0844444264504509E-3</c:v>
                </c:pt>
                <c:pt idx="879">
                  <c:v>5.4487650199971111E-3</c:v>
                </c:pt>
                <c:pt idx="880">
                  <c:v>1.016699099543127E-3</c:v>
                </c:pt>
                <c:pt idx="881">
                  <c:v>7.4107179044387425E-4</c:v>
                </c:pt>
                <c:pt idx="882">
                  <c:v>1.0208065333596526E-2</c:v>
                </c:pt>
                <c:pt idx="883">
                  <c:v>-8.763028808228563E-3</c:v>
                </c:pt>
                <c:pt idx="884">
                  <c:v>5.5170271472378017E-3</c:v>
                </c:pt>
                <c:pt idx="885">
                  <c:v>2.8262025916519075E-3</c:v>
                </c:pt>
                <c:pt idx="886">
                  <c:v>6.3893754153246281E-3</c:v>
                </c:pt>
                <c:pt idx="887">
                  <c:v>-1.3927543104907097E-2</c:v>
                </c:pt>
                <c:pt idx="888">
                  <c:v>-7.8164039754113103E-3</c:v>
                </c:pt>
                <c:pt idx="889">
                  <c:v>-7.1402655766939511E-3</c:v>
                </c:pt>
                <c:pt idx="890">
                  <c:v>1.0792035603996351E-2</c:v>
                </c:pt>
                <c:pt idx="891">
                  <c:v>-1.5581026123049945E-3</c:v>
                </c:pt>
                <c:pt idx="892">
                  <c:v>-2.3149093655050877E-2</c:v>
                </c:pt>
                <c:pt idx="893">
                  <c:v>-5.1426202434225639E-3</c:v>
                </c:pt>
                <c:pt idx="894">
                  <c:v>1.1090468737252571E-2</c:v>
                </c:pt>
                <c:pt idx="895">
                  <c:v>8.1331005482518349E-4</c:v>
                </c:pt>
                <c:pt idx="896">
                  <c:v>-4.960171941004201E-3</c:v>
                </c:pt>
                <c:pt idx="897">
                  <c:v>1.5793398792557364E-2</c:v>
                </c:pt>
                <c:pt idx="898">
                  <c:v>-1.3693503009657732E-2</c:v>
                </c:pt>
                <c:pt idx="899">
                  <c:v>-1.8381860833533818E-2</c:v>
                </c:pt>
                <c:pt idx="900">
                  <c:v>-2.9968798485725642E-2</c:v>
                </c:pt>
                <c:pt idx="901">
                  <c:v>1.0354085874285103E-2</c:v>
                </c:pt>
                <c:pt idx="902">
                  <c:v>-7.7346478289149114E-3</c:v>
                </c:pt>
                <c:pt idx="903">
                  <c:v>2.3042611597269037E-2</c:v>
                </c:pt>
                <c:pt idx="904">
                  <c:v>4.6716767258104192E-3</c:v>
                </c:pt>
                <c:pt idx="905">
                  <c:v>4.3034077064887879E-5</c:v>
                </c:pt>
                <c:pt idx="906">
                  <c:v>1.6847579740977191E-2</c:v>
                </c:pt>
                <c:pt idx="907">
                  <c:v>3.8237283996708986E-3</c:v>
                </c:pt>
                <c:pt idx="908">
                  <c:v>1.6133247781331496E-2</c:v>
                </c:pt>
                <c:pt idx="909">
                  <c:v>1.9897793290176401E-3</c:v>
                </c:pt>
                <c:pt idx="910">
                  <c:v>9.722284736913174E-3</c:v>
                </c:pt>
                <c:pt idx="911">
                  <c:v>-1.9845554317299706E-3</c:v>
                </c:pt>
                <c:pt idx="912">
                  <c:v>4.2396769238389198E-3</c:v>
                </c:pt>
                <c:pt idx="913">
                  <c:v>-8.9328055586939022E-3</c:v>
                </c:pt>
                <c:pt idx="914">
                  <c:v>1.1483370748563461E-2</c:v>
                </c:pt>
                <c:pt idx="915">
                  <c:v>-3.1537265990122009E-3</c:v>
                </c:pt>
                <c:pt idx="916">
                  <c:v>1.5951960976011703E-3</c:v>
                </c:pt>
                <c:pt idx="917">
                  <c:v>-5.9759732243084692E-3</c:v>
                </c:pt>
                <c:pt idx="918">
                  <c:v>-3.9379096000049961E-5</c:v>
                </c:pt>
                <c:pt idx="919">
                  <c:v>1.0093051701662666E-2</c:v>
                </c:pt>
                <c:pt idx="920">
                  <c:v>-2.1151074299413205E-2</c:v>
                </c:pt>
                <c:pt idx="921">
                  <c:v>-1.6025436599761635E-3</c:v>
                </c:pt>
                <c:pt idx="922">
                  <c:v>-3.0180176213655515E-3</c:v>
                </c:pt>
                <c:pt idx="923">
                  <c:v>-1.726024979192917E-2</c:v>
                </c:pt>
                <c:pt idx="924">
                  <c:v>1.1580070316884615E-2</c:v>
                </c:pt>
                <c:pt idx="925">
                  <c:v>4.4726726811437391E-3</c:v>
                </c:pt>
                <c:pt idx="926">
                  <c:v>1.0665025836808738E-2</c:v>
                </c:pt>
                <c:pt idx="927">
                  <c:v>7.495302392445064E-3</c:v>
                </c:pt>
                <c:pt idx="928">
                  <c:v>5.4077114217558073E-3</c:v>
                </c:pt>
                <c:pt idx="929">
                  <c:v>1.2566297266749067E-3</c:v>
                </c:pt>
                <c:pt idx="930">
                  <c:v>2.6455001451595398E-4</c:v>
                </c:pt>
                <c:pt idx="931">
                  <c:v>-2.8964557738245405E-3</c:v>
                </c:pt>
                <c:pt idx="932">
                  <c:v>1.6976853148943594E-2</c:v>
                </c:pt>
                <c:pt idx="933">
                  <c:v>-1.9410273895590058E-3</c:v>
                </c:pt>
                <c:pt idx="934">
                  <c:v>2.8092729652188461E-3</c:v>
                </c:pt>
                <c:pt idx="935">
                  <c:v>2.5111789209482762E-3</c:v>
                </c:pt>
                <c:pt idx="936">
                  <c:v>-1.8612489028158226E-3</c:v>
                </c:pt>
                <c:pt idx="937">
                  <c:v>4.0386756185581147E-3</c:v>
                </c:pt>
                <c:pt idx="938">
                  <c:v>-1.2532169126399117E-3</c:v>
                </c:pt>
                <c:pt idx="939">
                  <c:v>4.2365524776106526E-3</c:v>
                </c:pt>
                <c:pt idx="940">
                  <c:v>-9.3241070140776556E-3</c:v>
                </c:pt>
                <c:pt idx="941">
                  <c:v>1.3839089117590253E-4</c:v>
                </c:pt>
                <c:pt idx="942">
                  <c:v>-1.6814135524798265E-3</c:v>
                </c:pt>
                <c:pt idx="943">
                  <c:v>8.9702494288089411E-3</c:v>
                </c:pt>
                <c:pt idx="944">
                  <c:v>-9.5860221988500263E-3</c:v>
                </c:pt>
                <c:pt idx="945">
                  <c:v>9.6893476005139607E-3</c:v>
                </c:pt>
                <c:pt idx="946">
                  <c:v>7.1134119437867033E-3</c:v>
                </c:pt>
                <c:pt idx="947">
                  <c:v>-2.0701227752684707E-3</c:v>
                </c:pt>
                <c:pt idx="948">
                  <c:v>6.0518475065285482E-3</c:v>
                </c:pt>
                <c:pt idx="949">
                  <c:v>7.7076669694134976E-3</c:v>
                </c:pt>
                <c:pt idx="950">
                  <c:v>-7.6094663266588845E-3</c:v>
                </c:pt>
                <c:pt idx="951">
                  <c:v>4.6791459186554512E-3</c:v>
                </c:pt>
                <c:pt idx="952">
                  <c:v>-1.7116047890712268E-4</c:v>
                </c:pt>
                <c:pt idx="953">
                  <c:v>3.971552733492755E-3</c:v>
                </c:pt>
                <c:pt idx="954">
                  <c:v>-1.8227695918399504E-3</c:v>
                </c:pt>
                <c:pt idx="955">
                  <c:v>-4.7485386173112939E-4</c:v>
                </c:pt>
                <c:pt idx="956">
                  <c:v>-9.1913233537893515E-3</c:v>
                </c:pt>
                <c:pt idx="957">
                  <c:v>2.1457719412031292E-3</c:v>
                </c:pt>
                <c:pt idx="958">
                  <c:v>-2.9944715380810318E-4</c:v>
                </c:pt>
                <c:pt idx="959">
                  <c:v>2.6514436151079241E-3</c:v>
                </c:pt>
                <c:pt idx="960">
                  <c:v>1.6141271890055442E-3</c:v>
                </c:pt>
                <c:pt idx="961">
                  <c:v>-3.300233889272996E-3</c:v>
                </c:pt>
                <c:pt idx="962">
                  <c:v>-1.8614700946552928E-2</c:v>
                </c:pt>
                <c:pt idx="963">
                  <c:v>4.0925096533945471E-3</c:v>
                </c:pt>
                <c:pt idx="964">
                  <c:v>-2.8120836036091886E-3</c:v>
                </c:pt>
                <c:pt idx="965">
                  <c:v>1.2265644682920573E-2</c:v>
                </c:pt>
                <c:pt idx="966">
                  <c:v>2.5295927709129789E-2</c:v>
                </c:pt>
                <c:pt idx="967">
                  <c:v>7.4312297960852838E-3</c:v>
                </c:pt>
                <c:pt idx="968">
                  <c:v>3.7568332410023082E-3</c:v>
                </c:pt>
                <c:pt idx="969">
                  <c:v>9.6906349756752162E-4</c:v>
                </c:pt>
                <c:pt idx="970">
                  <c:v>-2.8926597709714244E-3</c:v>
                </c:pt>
                <c:pt idx="971">
                  <c:v>2.3222781883967488E-4</c:v>
                </c:pt>
                <c:pt idx="972">
                  <c:v>-6.0497348051115453E-3</c:v>
                </c:pt>
                <c:pt idx="973">
                  <c:v>-1.3203489903612078E-2</c:v>
                </c:pt>
                <c:pt idx="974">
                  <c:v>3.9178143946662731E-3</c:v>
                </c:pt>
                <c:pt idx="975">
                  <c:v>3.9635847808749559E-3</c:v>
                </c:pt>
                <c:pt idx="976">
                  <c:v>2.1950893942285862E-5</c:v>
                </c:pt>
                <c:pt idx="977">
                  <c:v>5.340461598929736E-3</c:v>
                </c:pt>
                <c:pt idx="978">
                  <c:v>3.4679591264746351E-3</c:v>
                </c:pt>
                <c:pt idx="979">
                  <c:v>3.0204802325207178E-3</c:v>
                </c:pt>
                <c:pt idx="980">
                  <c:v>5.7220057104412367E-3</c:v>
                </c:pt>
                <c:pt idx="981">
                  <c:v>-3.8012381107349002E-3</c:v>
                </c:pt>
                <c:pt idx="982">
                  <c:v>5.607785582935401E-3</c:v>
                </c:pt>
                <c:pt idx="983">
                  <c:v>2.4484563781575265E-3</c:v>
                </c:pt>
                <c:pt idx="984">
                  <c:v>4.5144920239146034E-4</c:v>
                </c:pt>
                <c:pt idx="985">
                  <c:v>6.0514178311001461E-3</c:v>
                </c:pt>
                <c:pt idx="986">
                  <c:v>-1.8697756116370359E-3</c:v>
                </c:pt>
                <c:pt idx="987">
                  <c:v>2.4954539657516405E-3</c:v>
                </c:pt>
                <c:pt idx="988">
                  <c:v>-6.1442139473481087E-3</c:v>
                </c:pt>
                <c:pt idx="989">
                  <c:v>-2.9638834118703421E-3</c:v>
                </c:pt>
                <c:pt idx="990">
                  <c:v>8.1657860226808845E-3</c:v>
                </c:pt>
                <c:pt idx="991">
                  <c:v>-5.4140224614002792E-3</c:v>
                </c:pt>
                <c:pt idx="992">
                  <c:v>-2.6466597810355774E-5</c:v>
                </c:pt>
                <c:pt idx="993">
                  <c:v>3.7993542638928091E-3</c:v>
                </c:pt>
                <c:pt idx="994">
                  <c:v>-3.8639949916050944E-3</c:v>
                </c:pt>
                <c:pt idx="995">
                  <c:v>-2.9492846347809513E-2</c:v>
                </c:pt>
                <c:pt idx="996">
                  <c:v>-8.6511230365699139E-4</c:v>
                </c:pt>
                <c:pt idx="997">
                  <c:v>1.0869123849037045E-2</c:v>
                </c:pt>
                <c:pt idx="998">
                  <c:v>7.2872733732681615E-3</c:v>
                </c:pt>
                <c:pt idx="999">
                  <c:v>1.1042759281951151E-2</c:v>
                </c:pt>
                <c:pt idx="1000">
                  <c:v>-4.056587347401107E-4</c:v>
                </c:pt>
                <c:pt idx="1001">
                  <c:v>-1.1055736100777766E-2</c:v>
                </c:pt>
                <c:pt idx="1002">
                  <c:v>-1.0701995811227867E-2</c:v>
                </c:pt>
                <c:pt idx="1003">
                  <c:v>-4.284800294704745E-3</c:v>
                </c:pt>
                <c:pt idx="1004">
                  <c:v>-2.2238866198986832E-3</c:v>
                </c:pt>
                <c:pt idx="1005">
                  <c:v>1.2596026694196323E-2</c:v>
                </c:pt>
                <c:pt idx="1006">
                  <c:v>5.5380450905632896E-3</c:v>
                </c:pt>
                <c:pt idx="1007">
                  <c:v>-1.1103912939287159E-2</c:v>
                </c:pt>
                <c:pt idx="1008">
                  <c:v>1.560360217409241E-3</c:v>
                </c:pt>
                <c:pt idx="1009">
                  <c:v>-1.5411643813627265E-2</c:v>
                </c:pt>
                <c:pt idx="1010">
                  <c:v>1.575444125758108E-3</c:v>
                </c:pt>
                <c:pt idx="1011">
                  <c:v>1.1462797416049242E-3</c:v>
                </c:pt>
                <c:pt idx="1012">
                  <c:v>1.8312792280422666E-2</c:v>
                </c:pt>
                <c:pt idx="1013">
                  <c:v>-2.1126893802461363E-3</c:v>
                </c:pt>
                <c:pt idx="1014">
                  <c:v>9.9910588847202646E-3</c:v>
                </c:pt>
                <c:pt idx="1015">
                  <c:v>8.7682270851034624E-3</c:v>
                </c:pt>
                <c:pt idx="1016">
                  <c:v>6.1379415536037905E-3</c:v>
                </c:pt>
                <c:pt idx="1017">
                  <c:v>5.3134862616504219E-3</c:v>
                </c:pt>
                <c:pt idx="1018">
                  <c:v>-2.8551323908715819E-3</c:v>
                </c:pt>
                <c:pt idx="1019">
                  <c:v>-1.4580715655852367E-2</c:v>
                </c:pt>
                <c:pt idx="1020">
                  <c:v>9.217869424218858E-3</c:v>
                </c:pt>
                <c:pt idx="1021">
                  <c:v>-4.6788956421074434E-3</c:v>
                </c:pt>
                <c:pt idx="1022">
                  <c:v>5.2754143583870058E-3</c:v>
                </c:pt>
                <c:pt idx="1023">
                  <c:v>-5.0468258002415904E-3</c:v>
                </c:pt>
                <c:pt idx="1024">
                  <c:v>-7.608597695210201E-3</c:v>
                </c:pt>
                <c:pt idx="1025">
                  <c:v>7.2248818967129702E-3</c:v>
                </c:pt>
                <c:pt idx="1026">
                  <c:v>3.9086728218042065E-3</c:v>
                </c:pt>
                <c:pt idx="1027">
                  <c:v>3.6442987641444103E-3</c:v>
                </c:pt>
                <c:pt idx="1028">
                  <c:v>-9.4647701375672223E-3</c:v>
                </c:pt>
                <c:pt idx="1029">
                  <c:v>6.712541081094584E-3</c:v>
                </c:pt>
                <c:pt idx="1030">
                  <c:v>3.3958285584885923E-4</c:v>
                </c:pt>
                <c:pt idx="1031">
                  <c:v>-2.7238666886380027E-3</c:v>
                </c:pt>
                <c:pt idx="1032">
                  <c:v>1.0426292059998163E-2</c:v>
                </c:pt>
                <c:pt idx="1033">
                  <c:v>-7.1943741063085624E-5</c:v>
                </c:pt>
                <c:pt idx="1034">
                  <c:v>2.4449877238792721E-3</c:v>
                </c:pt>
                <c:pt idx="1035">
                  <c:v>2.3769693542781958E-3</c:v>
                </c:pt>
                <c:pt idx="1036">
                  <c:v>-4.3341849441745897E-3</c:v>
                </c:pt>
                <c:pt idx="1037">
                  <c:v>-1.7064126747230544E-2</c:v>
                </c:pt>
                <c:pt idx="1038">
                  <c:v>-4.9691065354291481E-3</c:v>
                </c:pt>
                <c:pt idx="1039">
                  <c:v>-4.6797309154723602E-3</c:v>
                </c:pt>
                <c:pt idx="1040">
                  <c:v>1.3602434826419797E-4</c:v>
                </c:pt>
                <c:pt idx="1041">
                  <c:v>-1.5864553759362989E-2</c:v>
                </c:pt>
                <c:pt idx="1042">
                  <c:v>1.5854144672899806E-2</c:v>
                </c:pt>
                <c:pt idx="1043">
                  <c:v>-1.7596739440759044E-2</c:v>
                </c:pt>
                <c:pt idx="1044">
                  <c:v>-1.2234826687347844E-2</c:v>
                </c:pt>
                <c:pt idx="1045">
                  <c:v>1.1159277985792812E-2</c:v>
                </c:pt>
                <c:pt idx="1046">
                  <c:v>-1.7819007037040428E-2</c:v>
                </c:pt>
                <c:pt idx="1047">
                  <c:v>5.5206176661557445E-3</c:v>
                </c:pt>
                <c:pt idx="1048">
                  <c:v>-2.6973091182324216E-2</c:v>
                </c:pt>
                <c:pt idx="1049">
                  <c:v>-7.5678654344233827E-3</c:v>
                </c:pt>
                <c:pt idx="1050">
                  <c:v>4.8868700249796969E-3</c:v>
                </c:pt>
                <c:pt idx="1051">
                  <c:v>-1.3890984178154705E-2</c:v>
                </c:pt>
                <c:pt idx="1052">
                  <c:v>2.1265868922811532E-2</c:v>
                </c:pt>
                <c:pt idx="1053">
                  <c:v>6.4161307583610527E-3</c:v>
                </c:pt>
                <c:pt idx="1054">
                  <c:v>-1.0653512129001598E-2</c:v>
                </c:pt>
                <c:pt idx="1055">
                  <c:v>1.0798495601770224E-2</c:v>
                </c:pt>
                <c:pt idx="1056">
                  <c:v>-2.1848930917696329E-3</c:v>
                </c:pt>
                <c:pt idx="1057">
                  <c:v>8.2465346969877863E-4</c:v>
                </c:pt>
                <c:pt idx="1058">
                  <c:v>1.7646000035091959E-2</c:v>
                </c:pt>
                <c:pt idx="1059">
                  <c:v>1.57433343281185E-3</c:v>
                </c:pt>
                <c:pt idx="1060">
                  <c:v>-1.1156934917881365E-2</c:v>
                </c:pt>
                <c:pt idx="1061">
                  <c:v>-3.3069807351175972E-3</c:v>
                </c:pt>
                <c:pt idx="1062">
                  <c:v>-1.9737220849647165E-2</c:v>
                </c:pt>
                <c:pt idx="1063">
                  <c:v>5.5385217054426377E-3</c:v>
                </c:pt>
                <c:pt idx="1064">
                  <c:v>3.7812353554423587E-3</c:v>
                </c:pt>
                <c:pt idx="1065">
                  <c:v>6.7281947826251772E-3</c:v>
                </c:pt>
                <c:pt idx="1066">
                  <c:v>-4.8395633303462929E-2</c:v>
                </c:pt>
                <c:pt idx="1067">
                  <c:v>-5.974960545036577E-2</c:v>
                </c:pt>
                <c:pt idx="1068">
                  <c:v>-2.3314724675498034E-3</c:v>
                </c:pt>
                <c:pt idx="1069">
                  <c:v>-1.5700524470344229E-2</c:v>
                </c:pt>
                <c:pt idx="1070">
                  <c:v>9.5153876277035199E-2</c:v>
                </c:pt>
                <c:pt idx="1071">
                  <c:v>-3.4607579466646492E-2</c:v>
                </c:pt>
                <c:pt idx="1072">
                  <c:v>1.80920950879279E-2</c:v>
                </c:pt>
                <c:pt idx="1073">
                  <c:v>7.9447124728577265E-3</c:v>
                </c:pt>
                <c:pt idx="1074">
                  <c:v>-1.7277808845642467E-3</c:v>
                </c:pt>
                <c:pt idx="1075">
                  <c:v>-2.2408371635961471E-2</c:v>
                </c:pt>
                <c:pt idx="1076">
                  <c:v>1.3268380956586937E-3</c:v>
                </c:pt>
                <c:pt idx="1077">
                  <c:v>-2.3567493025221733E-2</c:v>
                </c:pt>
                <c:pt idx="1078">
                  <c:v>2.5117204858699706E-2</c:v>
                </c:pt>
                <c:pt idx="1079">
                  <c:v>1.6661138345671119E-2</c:v>
                </c:pt>
                <c:pt idx="1080">
                  <c:v>2.025911384885374E-2</c:v>
                </c:pt>
                <c:pt idx="1081">
                  <c:v>7.3731333952995236E-3</c:v>
                </c:pt>
                <c:pt idx="1082">
                  <c:v>6.4070669259412669E-4</c:v>
                </c:pt>
                <c:pt idx="1083">
                  <c:v>5.8024106714899314E-3</c:v>
                </c:pt>
                <c:pt idx="1084">
                  <c:v>1.4799914553332999E-3</c:v>
                </c:pt>
                <c:pt idx="1085">
                  <c:v>6.2991021156807306E-3</c:v>
                </c:pt>
                <c:pt idx="1086">
                  <c:v>1.4726574101014439E-2</c:v>
                </c:pt>
                <c:pt idx="1087">
                  <c:v>-6.3815975778030104E-3</c:v>
                </c:pt>
                <c:pt idx="1088">
                  <c:v>-7.6932397290286215E-3</c:v>
                </c:pt>
                <c:pt idx="1089">
                  <c:v>4.3463562500500683E-3</c:v>
                </c:pt>
                <c:pt idx="1090">
                  <c:v>5.7997750506015603E-3</c:v>
                </c:pt>
                <c:pt idx="1091">
                  <c:v>-7.1148088468046843E-4</c:v>
                </c:pt>
                <c:pt idx="1092">
                  <c:v>3.2558782722840046E-2</c:v>
                </c:pt>
                <c:pt idx="1093">
                  <c:v>7.2482011070214838E-3</c:v>
                </c:pt>
                <c:pt idx="1094">
                  <c:v>1.0244155234834214E-3</c:v>
                </c:pt>
                <c:pt idx="1095">
                  <c:v>4.132332132559589E-3</c:v>
                </c:pt>
                <c:pt idx="1096">
                  <c:v>7.0052722893581372E-3</c:v>
                </c:pt>
                <c:pt idx="1097">
                  <c:v>8.7611315533845107E-4</c:v>
                </c:pt>
                <c:pt idx="1098">
                  <c:v>-3.8802294955627191E-3</c:v>
                </c:pt>
                <c:pt idx="1099">
                  <c:v>-1.6135130718710335E-2</c:v>
                </c:pt>
                <c:pt idx="1100">
                  <c:v>-4.4487092568141714E-4</c:v>
                </c:pt>
                <c:pt idx="1101">
                  <c:v>-6.708297926525577E-3</c:v>
                </c:pt>
                <c:pt idx="1102">
                  <c:v>2.0459055872971092E-2</c:v>
                </c:pt>
                <c:pt idx="1103">
                  <c:v>-5.5712253539996334E-3</c:v>
                </c:pt>
                <c:pt idx="1104">
                  <c:v>4.0111942298500089E-3</c:v>
                </c:pt>
                <c:pt idx="1105">
                  <c:v>-8.118525115699596E-5</c:v>
                </c:pt>
                <c:pt idx="1106">
                  <c:v>4.1020419274387654E-3</c:v>
                </c:pt>
                <c:pt idx="1107">
                  <c:v>5.8002904918543477E-3</c:v>
                </c:pt>
                <c:pt idx="1108">
                  <c:v>7.368755895841116E-5</c:v>
                </c:pt>
                <c:pt idx="1109">
                  <c:v>-5.2773834184365424E-3</c:v>
                </c:pt>
                <c:pt idx="1110">
                  <c:v>1.0280682909557221E-2</c:v>
                </c:pt>
                <c:pt idx="1111">
                  <c:v>9.1994815744935788E-4</c:v>
                </c:pt>
                <c:pt idx="1112">
                  <c:v>5.4829894439300357E-3</c:v>
                </c:pt>
                <c:pt idx="1113">
                  <c:v>-2.7438890837948263E-3</c:v>
                </c:pt>
                <c:pt idx="1114">
                  <c:v>3.8224200804939617E-3</c:v>
                </c:pt>
                <c:pt idx="1115">
                  <c:v>-1.1296379914735304E-2</c:v>
                </c:pt>
                <c:pt idx="1116">
                  <c:v>9.3926598227157803E-3</c:v>
                </c:pt>
                <c:pt idx="1117">
                  <c:v>-8.3521847180390713E-3</c:v>
                </c:pt>
                <c:pt idx="1118">
                  <c:v>-3.0924026755610012E-4</c:v>
                </c:pt>
                <c:pt idx="1119">
                  <c:v>-2.1786584134243464E-3</c:v>
                </c:pt>
                <c:pt idx="1120">
                  <c:v>9.6065041118083925E-3</c:v>
                </c:pt>
                <c:pt idx="1121">
                  <c:v>1.1121720195030842E-2</c:v>
                </c:pt>
                <c:pt idx="1122">
                  <c:v>-3.2861798931685627E-6</c:v>
                </c:pt>
                <c:pt idx="1123">
                  <c:v>8.0201213935387587E-3</c:v>
                </c:pt>
                <c:pt idx="1124">
                  <c:v>5.2189707728717387E-3</c:v>
                </c:pt>
                <c:pt idx="1125">
                  <c:v>5.164427409528714E-3</c:v>
                </c:pt>
                <c:pt idx="1126">
                  <c:v>-1.1185309763796132E-3</c:v>
                </c:pt>
                <c:pt idx="1127">
                  <c:v>4.7450967504654804E-3</c:v>
                </c:pt>
                <c:pt idx="1128">
                  <c:v>8.3389552415668693E-3</c:v>
                </c:pt>
                <c:pt idx="1129">
                  <c:v>-7.8622974080907546E-3</c:v>
                </c:pt>
                <c:pt idx="1130">
                  <c:v>-7.1588673066653053E-4</c:v>
                </c:pt>
                <c:pt idx="1131">
                  <c:v>6.0621033871480819E-3</c:v>
                </c:pt>
                <c:pt idx="1132">
                  <c:v>2.746204954386597E-3</c:v>
                </c:pt>
                <c:pt idx="1133">
                  <c:v>-3.2975229726171272E-3</c:v>
                </c:pt>
                <c:pt idx="1134">
                  <c:v>1.407413874356063E-3</c:v>
                </c:pt>
                <c:pt idx="1135">
                  <c:v>-3.9562982194600738E-3</c:v>
                </c:pt>
                <c:pt idx="1136">
                  <c:v>3.1936573070258998E-3</c:v>
                </c:pt>
                <c:pt idx="1137">
                  <c:v>5.373767414166496E-3</c:v>
                </c:pt>
                <c:pt idx="1138">
                  <c:v>-9.0486173951600304E-5</c:v>
                </c:pt>
                <c:pt idx="1139">
                  <c:v>1.3991349473991021E-3</c:v>
                </c:pt>
                <c:pt idx="1140">
                  <c:v>6.375315493406513E-4</c:v>
                </c:pt>
                <c:pt idx="1141">
                  <c:v>7.8118869418457451E-3</c:v>
                </c:pt>
                <c:pt idx="1142">
                  <c:v>6.9822373505476108E-4</c:v>
                </c:pt>
                <c:pt idx="1143">
                  <c:v>3.9743277692593226E-3</c:v>
                </c:pt>
                <c:pt idx="1144">
                  <c:v>1.7685813815930209E-4</c:v>
                </c:pt>
                <c:pt idx="1145">
                  <c:v>-2.959442505882278E-3</c:v>
                </c:pt>
                <c:pt idx="1146">
                  <c:v>-1.2494327565151101E-3</c:v>
                </c:pt>
                <c:pt idx="1147">
                  <c:v>-3.6948192431268878E-3</c:v>
                </c:pt>
                <c:pt idx="1148">
                  <c:v>-1.5992133124650473E-2</c:v>
                </c:pt>
                <c:pt idx="1149">
                  <c:v>1.4737100204789822E-2</c:v>
                </c:pt>
                <c:pt idx="1150">
                  <c:v>-4.8578659966151492E-3</c:v>
                </c:pt>
                <c:pt idx="1151">
                  <c:v>7.2819074245471672E-3</c:v>
                </c:pt>
                <c:pt idx="1152">
                  <c:v>-7.9748007945536215E-4</c:v>
                </c:pt>
                <c:pt idx="1153">
                  <c:v>7.7997152996845979E-3</c:v>
                </c:pt>
                <c:pt idx="1154">
                  <c:v>-2.5041278219087829E-3</c:v>
                </c:pt>
                <c:pt idx="1155">
                  <c:v>1.1345435955038443E-2</c:v>
                </c:pt>
                <c:pt idx="1156">
                  <c:v>3.2300788046465074E-3</c:v>
                </c:pt>
                <c:pt idx="1157">
                  <c:v>3.0309081096335197E-4</c:v>
                </c:pt>
                <c:pt idx="1158">
                  <c:v>-2.8971350392843695E-3</c:v>
                </c:pt>
                <c:pt idx="1159">
                  <c:v>-1.0076328252788926E-4</c:v>
                </c:pt>
                <c:pt idx="1160">
                  <c:v>-5.8581030948409978E-3</c:v>
                </c:pt>
                <c:pt idx="1161">
                  <c:v>-2.431669318023349E-3</c:v>
                </c:pt>
                <c:pt idx="1162">
                  <c:v>-4.0041814854323782E-3</c:v>
                </c:pt>
                <c:pt idx="1163">
                  <c:v>1.5186444817727402E-2</c:v>
                </c:pt>
                <c:pt idx="1164">
                  <c:v>-4.2663855433960913E-3</c:v>
                </c:pt>
                <c:pt idx="1165">
                  <c:v>4.1339951621572821E-3</c:v>
                </c:pt>
                <c:pt idx="1166">
                  <c:v>2.3909843179906638E-3</c:v>
                </c:pt>
                <c:pt idx="1167">
                  <c:v>3.156719429345214E-3</c:v>
                </c:pt>
                <c:pt idx="1168">
                  <c:v>-6.3981841929156864E-3</c:v>
                </c:pt>
                <c:pt idx="1169">
                  <c:v>-6.9222800041814437E-3</c:v>
                </c:pt>
                <c:pt idx="1170">
                  <c:v>5.1000736962277249E-3</c:v>
                </c:pt>
                <c:pt idx="1171">
                  <c:v>8.3464863316736037E-3</c:v>
                </c:pt>
                <c:pt idx="1172">
                  <c:v>-3.1651529592250523E-3</c:v>
                </c:pt>
                <c:pt idx="1173">
                  <c:v>2.1059788629175518E-3</c:v>
                </c:pt>
                <c:pt idx="1174">
                  <c:v>2.6881536628774738E-3</c:v>
                </c:pt>
                <c:pt idx="1175">
                  <c:v>2.9834699772804058E-3</c:v>
                </c:pt>
                <c:pt idx="1176">
                  <c:v>8.485890421529892E-3</c:v>
                </c:pt>
                <c:pt idx="1177">
                  <c:v>-4.8276134786286038E-4</c:v>
                </c:pt>
                <c:pt idx="1178">
                  <c:v>4.7066192127687475E-3</c:v>
                </c:pt>
                <c:pt idx="1179">
                  <c:v>-1.2879302579640768E-3</c:v>
                </c:pt>
                <c:pt idx="1180">
                  <c:v>-9.7016816518529327E-4</c:v>
                </c:pt>
                <c:pt idx="1181">
                  <c:v>4.7891191422676071E-3</c:v>
                </c:pt>
                <c:pt idx="1182">
                  <c:v>4.8854188189511767E-3</c:v>
                </c:pt>
                <c:pt idx="1183">
                  <c:v>4.4100465167212898E-3</c:v>
                </c:pt>
                <c:pt idx="1184">
                  <c:v>-5.5021591783379958E-3</c:v>
                </c:pt>
                <c:pt idx="1185">
                  <c:v>-2.8466178385854047E-3</c:v>
                </c:pt>
                <c:pt idx="1186">
                  <c:v>-5.0090613430087529E-3</c:v>
                </c:pt>
                <c:pt idx="1187">
                  <c:v>5.9018366760597244E-3</c:v>
                </c:pt>
                <c:pt idx="1188">
                  <c:v>2.6355442729304578E-3</c:v>
                </c:pt>
                <c:pt idx="1189">
                  <c:v>4.0908483833332213E-3</c:v>
                </c:pt>
                <c:pt idx="1190">
                  <c:v>3.399920778863549E-3</c:v>
                </c:pt>
                <c:pt idx="1191">
                  <c:v>6.1835482170406926E-4</c:v>
                </c:pt>
                <c:pt idx="1192">
                  <c:v>6.5512742236859708E-5</c:v>
                </c:pt>
                <c:pt idx="1193">
                  <c:v>3.6465919657675712E-3</c:v>
                </c:pt>
                <c:pt idx="1194">
                  <c:v>-3.8114057308378684E-3</c:v>
                </c:pt>
                <c:pt idx="1195">
                  <c:v>5.8276636263890607E-3</c:v>
                </c:pt>
                <c:pt idx="1196">
                  <c:v>-2.7555704719107324E-3</c:v>
                </c:pt>
                <c:pt idx="1197">
                  <c:v>-2.7111673115108554E-2</c:v>
                </c:pt>
                <c:pt idx="1198">
                  <c:v>1.5598671753280703E-2</c:v>
                </c:pt>
                <c:pt idx="1199">
                  <c:v>-1.5643266228586162E-3</c:v>
                </c:pt>
                <c:pt idx="1200">
                  <c:v>4.0260011592574592E-3</c:v>
                </c:pt>
                <c:pt idx="1201">
                  <c:v>-6.2943871931344288E-3</c:v>
                </c:pt>
                <c:pt idx="1202">
                  <c:v>5.2707156399986613E-3</c:v>
                </c:pt>
                <c:pt idx="1203">
                  <c:v>1.06722708245202E-2</c:v>
                </c:pt>
                <c:pt idx="1204">
                  <c:v>3.2696474132758798E-5</c:v>
                </c:pt>
                <c:pt idx="1205">
                  <c:v>-5.3375393226663681E-3</c:v>
                </c:pt>
                <c:pt idx="1206">
                  <c:v>5.8273934339021522E-3</c:v>
                </c:pt>
                <c:pt idx="1207">
                  <c:v>7.9024225883502618E-3</c:v>
                </c:pt>
                <c:pt idx="1208">
                  <c:v>1.2290050889412398E-2</c:v>
                </c:pt>
                <c:pt idx="1209">
                  <c:v>2.287943937752889E-3</c:v>
                </c:pt>
                <c:pt idx="1210">
                  <c:v>-4.3578259706658551E-5</c:v>
                </c:pt>
                <c:pt idx="1211">
                  <c:v>-9.9048124391598897E-3</c:v>
                </c:pt>
                <c:pt idx="1212">
                  <c:v>2.6179216234306761E-3</c:v>
                </c:pt>
                <c:pt idx="1213">
                  <c:v>1.7207127955996806E-3</c:v>
                </c:pt>
                <c:pt idx="1214">
                  <c:v>-1.1736830061512552E-2</c:v>
                </c:pt>
                <c:pt idx="1215">
                  <c:v>3.653555642717566E-3</c:v>
                </c:pt>
                <c:pt idx="1216">
                  <c:v>-1.1178189065512345E-2</c:v>
                </c:pt>
                <c:pt idx="1217">
                  <c:v>1.2618418798634094E-3</c:v>
                </c:pt>
                <c:pt idx="1218">
                  <c:v>1.5401018607062007E-2</c:v>
                </c:pt>
                <c:pt idx="1219">
                  <c:v>2.0753504440935585E-3</c:v>
                </c:pt>
                <c:pt idx="1220">
                  <c:v>6.2951724813363518E-4</c:v>
                </c:pt>
                <c:pt idx="1221">
                  <c:v>-1.6556855034277857E-2</c:v>
                </c:pt>
                <c:pt idx="1222">
                  <c:v>-5.0172555099843065E-4</c:v>
                </c:pt>
                <c:pt idx="1223">
                  <c:v>-9.1622661725499332E-3</c:v>
                </c:pt>
                <c:pt idx="1224">
                  <c:v>-8.256436686593845E-3</c:v>
                </c:pt>
                <c:pt idx="1225">
                  <c:v>3.7538357916308807E-3</c:v>
                </c:pt>
                <c:pt idx="1226">
                  <c:v>-1.5567283469760374E-2</c:v>
                </c:pt>
                <c:pt idx="1227">
                  <c:v>9.8230353000553633E-3</c:v>
                </c:pt>
                <c:pt idx="1228">
                  <c:v>1.5467217030568232E-2</c:v>
                </c:pt>
                <c:pt idx="1229">
                  <c:v>9.0616968734013228E-3</c:v>
                </c:pt>
                <c:pt idx="1230">
                  <c:v>6.9067114415398015E-3</c:v>
                </c:pt>
                <c:pt idx="1231">
                  <c:v>5.3547732416216898E-3</c:v>
                </c:pt>
                <c:pt idx="1232">
                  <c:v>-5.3233293518467201E-3</c:v>
                </c:pt>
                <c:pt idx="1233">
                  <c:v>2.457235206887399E-3</c:v>
                </c:pt>
                <c:pt idx="1234">
                  <c:v>2.9797913499143114E-3</c:v>
                </c:pt>
                <c:pt idx="1235">
                  <c:v>1.0803217894645222E-3</c:v>
                </c:pt>
                <c:pt idx="1236">
                  <c:v>1.9366417349284592E-3</c:v>
                </c:pt>
                <c:pt idx="1237">
                  <c:v>-3.4772555223525595E-3</c:v>
                </c:pt>
                <c:pt idx="1238">
                  <c:v>-8.7635893397774783E-4</c:v>
                </c:pt>
                <c:pt idx="1239">
                  <c:v>6.749556915989603E-3</c:v>
                </c:pt>
                <c:pt idx="1240">
                  <c:v>2.0793508096839711E-3</c:v>
                </c:pt>
                <c:pt idx="1241">
                  <c:v>-1.0663649326184623E-2</c:v>
                </c:pt>
                <c:pt idx="1242">
                  <c:v>-1.5965629354229452E-3</c:v>
                </c:pt>
                <c:pt idx="1243">
                  <c:v>-2.3839179518311865E-3</c:v>
                </c:pt>
                <c:pt idx="1244">
                  <c:v>-1.159214393457926E-2</c:v>
                </c:pt>
                <c:pt idx="1245">
                  <c:v>7.9342622929302418E-3</c:v>
                </c:pt>
                <c:pt idx="1246">
                  <c:v>8.8180593944915796E-3</c:v>
                </c:pt>
                <c:pt idx="1247">
                  <c:v>6.436496305508797E-3</c:v>
                </c:pt>
                <c:pt idx="1248">
                  <c:v>4.5503888113829606E-3</c:v>
                </c:pt>
                <c:pt idx="1249">
                  <c:v>3.221482255518823E-3</c:v>
                </c:pt>
                <c:pt idx="1250">
                  <c:v>-3.0436365279404049E-4</c:v>
                </c:pt>
                <c:pt idx="1251">
                  <c:v>-3.4920514760634004E-3</c:v>
                </c:pt>
                <c:pt idx="1252">
                  <c:v>-1.3756671519770346E-3</c:v>
                </c:pt>
                <c:pt idx="1253">
                  <c:v>-7.3576662468687248E-3</c:v>
                </c:pt>
              </c:numCache>
            </c:numRef>
          </c:xVal>
          <c:yVal>
            <c:numRef>
              <c:f>'stock_Hist_data (KO)'!$H$3:$H$1256</c:f>
              <c:numCache>
                <c:formatCode>General</c:formatCode>
                <c:ptCount val="1254"/>
                <c:pt idx="0">
                  <c:v>-1.0993065180947167E-2</c:v>
                </c:pt>
                <c:pt idx="1">
                  <c:v>-3.1813021629072222E-2</c:v>
                </c:pt>
                <c:pt idx="2">
                  <c:v>-1.1084751305309854E-2</c:v>
                </c:pt>
                <c:pt idx="3">
                  <c:v>2.2418000571721827E-2</c:v>
                </c:pt>
                <c:pt idx="4">
                  <c:v>-1.7227716807791262E-2</c:v>
                </c:pt>
                <c:pt idx="5">
                  <c:v>-1.7930796188813294E-3</c:v>
                </c:pt>
                <c:pt idx="6">
                  <c:v>9.9773827704011304E-4</c:v>
                </c:pt>
                <c:pt idx="7">
                  <c:v>-1.854070733981197E-2</c:v>
                </c:pt>
                <c:pt idx="8">
                  <c:v>-1.0765562628564044E-2</c:v>
                </c:pt>
                <c:pt idx="9">
                  <c:v>-3.9014679942495256E-3</c:v>
                </c:pt>
                <c:pt idx="10">
                  <c:v>3.50443563696827E-3</c:v>
                </c:pt>
                <c:pt idx="11">
                  <c:v>5.5462919504760495E-3</c:v>
                </c:pt>
                <c:pt idx="12">
                  <c:v>-9.3972431009573774E-3</c:v>
                </c:pt>
                <c:pt idx="13">
                  <c:v>5.9806907246975054E-3</c:v>
                </c:pt>
                <c:pt idx="14">
                  <c:v>1.0455114669219862E-2</c:v>
                </c:pt>
                <c:pt idx="15">
                  <c:v>-1.5419159629757782E-2</c:v>
                </c:pt>
                <c:pt idx="16">
                  <c:v>1.2775811164970103E-2</c:v>
                </c:pt>
                <c:pt idx="17">
                  <c:v>-2.0345963288028786E-2</c:v>
                </c:pt>
                <c:pt idx="18">
                  <c:v>6.8534380869557194E-3</c:v>
                </c:pt>
                <c:pt idx="19">
                  <c:v>9.9010073040479707E-3</c:v>
                </c:pt>
                <c:pt idx="20">
                  <c:v>-3.8806595971181499E-3</c:v>
                </c:pt>
                <c:pt idx="21">
                  <c:v>4.9211116590222419E-3</c:v>
                </c:pt>
                <c:pt idx="22">
                  <c:v>1.305842968992694E-2</c:v>
                </c:pt>
                <c:pt idx="23">
                  <c:v>5.4381149749398181E-3</c:v>
                </c:pt>
                <c:pt idx="24">
                  <c:v>-4.4068107631171404E-3</c:v>
                </c:pt>
                <c:pt idx="25">
                  <c:v>-2.0123838733085877E-3</c:v>
                </c:pt>
                <c:pt idx="26">
                  <c:v>1.4112946660795494E-2</c:v>
                </c:pt>
                <c:pt idx="27">
                  <c:v>7.753597101375167E-3</c:v>
                </c:pt>
                <c:pt idx="28">
                  <c:v>-8.2856820964204679E-3</c:v>
                </c:pt>
                <c:pt idx="29">
                  <c:v>-2.7847929998155324E-3</c:v>
                </c:pt>
                <c:pt idx="30">
                  <c:v>1.2766677451428279E-2</c:v>
                </c:pt>
                <c:pt idx="31">
                  <c:v>-1.2999878170353574E-2</c:v>
                </c:pt>
                <c:pt idx="32">
                  <c:v>1.0377239038040038E-2</c:v>
                </c:pt>
                <c:pt idx="33">
                  <c:v>-1.7775886167058243E-3</c:v>
                </c:pt>
                <c:pt idx="34">
                  <c:v>3.3635880799478667E-3</c:v>
                </c:pt>
                <c:pt idx="35">
                  <c:v>-1.064888139966675E-2</c:v>
                </c:pt>
                <c:pt idx="36">
                  <c:v>-2.3520003195733021E-2</c:v>
                </c:pt>
                <c:pt idx="37">
                  <c:v>1.8575230738890825E-2</c:v>
                </c:pt>
                <c:pt idx="38">
                  <c:v>4.00819320932559E-3</c:v>
                </c:pt>
                <c:pt idx="39">
                  <c:v>-2.3952796397172776E-3</c:v>
                </c:pt>
                <c:pt idx="40">
                  <c:v>-8.0037316444973882E-4</c:v>
                </c:pt>
                <c:pt idx="41">
                  <c:v>1.7020532316690803E-2</c:v>
                </c:pt>
                <c:pt idx="42">
                  <c:v>1.6735507501312665E-2</c:v>
                </c:pt>
                <c:pt idx="43">
                  <c:v>-1.5104626831967415E-2</c:v>
                </c:pt>
                <c:pt idx="44">
                  <c:v>1.1403825673593777E-2</c:v>
                </c:pt>
                <c:pt idx="45">
                  <c:v>-1.0886330259081544E-2</c:v>
                </c:pt>
                <c:pt idx="46">
                  <c:v>-1.9817478072741371E-3</c:v>
                </c:pt>
                <c:pt idx="47">
                  <c:v>1.3304189143960858E-2</c:v>
                </c:pt>
                <c:pt idx="48">
                  <c:v>3.7233573655290021E-3</c:v>
                </c:pt>
                <c:pt idx="49">
                  <c:v>3.9053720371177324E-4</c:v>
                </c:pt>
                <c:pt idx="50">
                  <c:v>-1.307587220610917E-2</c:v>
                </c:pt>
                <c:pt idx="51">
                  <c:v>4.7459013677902699E-3</c:v>
                </c:pt>
                <c:pt idx="52">
                  <c:v>3.7393059760857561E-3</c:v>
                </c:pt>
                <c:pt idx="53">
                  <c:v>7.6472502861483545E-3</c:v>
                </c:pt>
                <c:pt idx="54">
                  <c:v>2.5296238002840061E-3</c:v>
                </c:pt>
                <c:pt idx="55">
                  <c:v>9.7047860152888552E-3</c:v>
                </c:pt>
                <c:pt idx="56">
                  <c:v>1.960805529339283E-2</c:v>
                </c:pt>
                <c:pt idx="57">
                  <c:v>1.5271413871125506E-2</c:v>
                </c:pt>
                <c:pt idx="58">
                  <c:v>-1.2999104779943167E-2</c:v>
                </c:pt>
                <c:pt idx="59">
                  <c:v>-8.2783415716861566E-3</c:v>
                </c:pt>
                <c:pt idx="60">
                  <c:v>-3.7944750027992026E-3</c:v>
                </c:pt>
                <c:pt idx="61">
                  <c:v>5.7133080845180526E-3</c:v>
                </c:pt>
                <c:pt idx="62">
                  <c:v>7.1953845755443734E-3</c:v>
                </c:pt>
                <c:pt idx="63">
                  <c:v>1.6921216558419125E-3</c:v>
                </c:pt>
                <c:pt idx="64">
                  <c:v>-3.0029236930563304E-3</c:v>
                </c:pt>
                <c:pt idx="65">
                  <c:v>1.1295398894392947E-3</c:v>
                </c:pt>
                <c:pt idx="66">
                  <c:v>3.1967659421754716E-3</c:v>
                </c:pt>
                <c:pt idx="67">
                  <c:v>-4.8735432245077112E-3</c:v>
                </c:pt>
                <c:pt idx="68">
                  <c:v>-1.8843204494206069E-4</c:v>
                </c:pt>
                <c:pt idx="69">
                  <c:v>4.7099492562480989E-3</c:v>
                </c:pt>
                <c:pt idx="70">
                  <c:v>6.5629680067364098E-3</c:v>
                </c:pt>
                <c:pt idx="71">
                  <c:v>5.9610934006749825E-3</c:v>
                </c:pt>
                <c:pt idx="72">
                  <c:v>3.1482227333601434E-3</c:v>
                </c:pt>
                <c:pt idx="73">
                  <c:v>8.1225444789287324E-3</c:v>
                </c:pt>
                <c:pt idx="74">
                  <c:v>-3.1129760695407399E-3</c:v>
                </c:pt>
                <c:pt idx="75">
                  <c:v>5.509548861558517E-4</c:v>
                </c:pt>
                <c:pt idx="76">
                  <c:v>-1.4870416064394617E-2</c:v>
                </c:pt>
                <c:pt idx="77">
                  <c:v>-1.4909518138373455E-3</c:v>
                </c:pt>
                <c:pt idx="78">
                  <c:v>1.8654467154041935E-4</c:v>
                </c:pt>
                <c:pt idx="79">
                  <c:v>1.2502315988269844E-2</c:v>
                </c:pt>
                <c:pt idx="80">
                  <c:v>-5.160223505411953E-3</c:v>
                </c:pt>
                <c:pt idx="81">
                  <c:v>9.2627606019490584E-3</c:v>
                </c:pt>
                <c:pt idx="82">
                  <c:v>-6.2409696143174926E-3</c:v>
                </c:pt>
                <c:pt idx="83">
                  <c:v>-2.5858304095852554E-3</c:v>
                </c:pt>
                <c:pt idx="84">
                  <c:v>9.9999495124781512E-3</c:v>
                </c:pt>
                <c:pt idx="85">
                  <c:v>-5.50025380825255E-4</c:v>
                </c:pt>
                <c:pt idx="86">
                  <c:v>7.3381110178395792E-3</c:v>
                </c:pt>
                <c:pt idx="87">
                  <c:v>-1.0744676531750263E-2</c:v>
                </c:pt>
                <c:pt idx="88">
                  <c:v>-5.1546842411849848E-3</c:v>
                </c:pt>
                <c:pt idx="89">
                  <c:v>8.6971168555557542E-3</c:v>
                </c:pt>
                <c:pt idx="90">
                  <c:v>4.0359812272141677E-3</c:v>
                </c:pt>
                <c:pt idx="91">
                  <c:v>-1.6443476693790676E-3</c:v>
                </c:pt>
                <c:pt idx="92">
                  <c:v>-5.4904281066003044E-3</c:v>
                </c:pt>
                <c:pt idx="93">
                  <c:v>-3.1285241516458709E-3</c:v>
                </c:pt>
                <c:pt idx="94">
                  <c:v>8.861001891155738E-3</c:v>
                </c:pt>
                <c:pt idx="95">
                  <c:v>-5.488377489669265E-4</c:v>
                </c:pt>
                <c:pt idx="96">
                  <c:v>3.2954788805646075E-3</c:v>
                </c:pt>
                <c:pt idx="97">
                  <c:v>-1.8247188255876559E-4</c:v>
                </c:pt>
                <c:pt idx="98">
                  <c:v>4.3802849456501839E-3</c:v>
                </c:pt>
                <c:pt idx="99">
                  <c:v>8.3589449612761178E-3</c:v>
                </c:pt>
                <c:pt idx="100">
                  <c:v>-3.6043757774919835E-3</c:v>
                </c:pt>
                <c:pt idx="101">
                  <c:v>-1.8069574542641745E-4</c:v>
                </c:pt>
                <c:pt idx="102">
                  <c:v>3.9799226017886956E-3</c:v>
                </c:pt>
                <c:pt idx="103">
                  <c:v>2.5223860174447554E-3</c:v>
                </c:pt>
                <c:pt idx="104">
                  <c:v>1.0783659083115529E-2</c:v>
                </c:pt>
                <c:pt idx="105">
                  <c:v>-3.5561520092752359E-3</c:v>
                </c:pt>
                <c:pt idx="106">
                  <c:v>-6.9593308634497315E-3</c:v>
                </c:pt>
                <c:pt idx="107">
                  <c:v>-3.0549577914521439E-3</c:v>
                </c:pt>
                <c:pt idx="108">
                  <c:v>7.750519306271287E-3</c:v>
                </c:pt>
                <c:pt idx="109">
                  <c:v>4.4714670569370321E-3</c:v>
                </c:pt>
                <c:pt idx="110">
                  <c:v>-3.4084559712454802E-3</c:v>
                </c:pt>
                <c:pt idx="111">
                  <c:v>-2.5204390875172237E-3</c:v>
                </c:pt>
                <c:pt idx="112">
                  <c:v>-1.3355061149454912E-2</c:v>
                </c:pt>
                <c:pt idx="113">
                  <c:v>5.1219405687560225E-3</c:v>
                </c:pt>
                <c:pt idx="114">
                  <c:v>-2.147426473333092E-2</c:v>
                </c:pt>
                <c:pt idx="115">
                  <c:v>1.0972804998663216E-2</c:v>
                </c:pt>
                <c:pt idx="116">
                  <c:v>3.6790819893987147E-3</c:v>
                </c:pt>
                <c:pt idx="117">
                  <c:v>-8.0644870993407183E-3</c:v>
                </c:pt>
                <c:pt idx="118">
                  <c:v>4.9889155818124082E-3</c:v>
                </c:pt>
                <c:pt idx="119">
                  <c:v>-1.2868561887449449E-3</c:v>
                </c:pt>
                <c:pt idx="120">
                  <c:v>-1.1046015395802789E-3</c:v>
                </c:pt>
                <c:pt idx="121">
                  <c:v>-7.3720463091152891E-3</c:v>
                </c:pt>
                <c:pt idx="122">
                  <c:v>4.6417076090466015E-3</c:v>
                </c:pt>
                <c:pt idx="123">
                  <c:v>-2.7722215496218984E-3</c:v>
                </c:pt>
                <c:pt idx="124">
                  <c:v>4.0772009577448431E-3</c:v>
                </c:pt>
                <c:pt idx="125">
                  <c:v>-5.5371185427330423E-3</c:v>
                </c:pt>
                <c:pt idx="126">
                  <c:v>8.1664277093303778E-3</c:v>
                </c:pt>
                <c:pt idx="127">
                  <c:v>-3.4980387859118067E-3</c:v>
                </c:pt>
                <c:pt idx="128">
                  <c:v>6.0964734756793109E-3</c:v>
                </c:pt>
                <c:pt idx="129">
                  <c:v>3.6720063291235358E-4</c:v>
                </c:pt>
                <c:pt idx="130">
                  <c:v>9.9119795007100494E-3</c:v>
                </c:pt>
                <c:pt idx="131">
                  <c:v>2.2537336484194381E-2</c:v>
                </c:pt>
                <c:pt idx="132">
                  <c:v>3.1991479075479928E-3</c:v>
                </c:pt>
                <c:pt idx="133">
                  <c:v>-7.0848282524663977E-4</c:v>
                </c:pt>
                <c:pt idx="134">
                  <c:v>-1.187940876428391E-2</c:v>
                </c:pt>
                <c:pt idx="135">
                  <c:v>1.794398279044895E-3</c:v>
                </c:pt>
                <c:pt idx="136">
                  <c:v>1.2896088334546E-2</c:v>
                </c:pt>
                <c:pt idx="137">
                  <c:v>-1.4145179803083166E-3</c:v>
                </c:pt>
                <c:pt idx="138">
                  <c:v>9.5624487585181835E-3</c:v>
                </c:pt>
                <c:pt idx="139">
                  <c:v>8.7717001588357867E-4</c:v>
                </c:pt>
                <c:pt idx="140">
                  <c:v>3.5050696348136777E-3</c:v>
                </c:pt>
                <c:pt idx="141">
                  <c:v>-9.0813502853907511E-3</c:v>
                </c:pt>
                <c:pt idx="142">
                  <c:v>5.4633632293905679E-3</c:v>
                </c:pt>
                <c:pt idx="143">
                  <c:v>-3.5037719482121967E-4</c:v>
                </c:pt>
                <c:pt idx="144">
                  <c:v>-2.6302040545204551E-3</c:v>
                </c:pt>
                <c:pt idx="145">
                  <c:v>7.0315556020057756E-4</c:v>
                </c:pt>
                <c:pt idx="146">
                  <c:v>-1.4406247215692693E-2</c:v>
                </c:pt>
                <c:pt idx="147">
                  <c:v>7.1300995382135943E-3</c:v>
                </c:pt>
                <c:pt idx="148">
                  <c:v>2.4781377591532429E-3</c:v>
                </c:pt>
                <c:pt idx="149">
                  <c:v>1.7653374186951361E-4</c:v>
                </c:pt>
                <c:pt idx="150">
                  <c:v>2.6476928315773075E-3</c:v>
                </c:pt>
                <c:pt idx="151">
                  <c:v>-1.2324091250994907E-3</c:v>
                </c:pt>
                <c:pt idx="152">
                  <c:v>1.9390216018882079E-3</c:v>
                </c:pt>
                <c:pt idx="153">
                  <c:v>6.8613596701109295E-3</c:v>
                </c:pt>
                <c:pt idx="154">
                  <c:v>4.3683797392646316E-3</c:v>
                </c:pt>
                <c:pt idx="155">
                  <c:v>-3.4795343683547771E-3</c:v>
                </c:pt>
                <c:pt idx="156">
                  <c:v>-1.3617383961858978E-2</c:v>
                </c:pt>
                <c:pt idx="157">
                  <c:v>6.3718907601719053E-3</c:v>
                </c:pt>
                <c:pt idx="158">
                  <c:v>-3.8690995215272576E-3</c:v>
                </c:pt>
                <c:pt idx="159">
                  <c:v>-3.5314453906240086E-3</c:v>
                </c:pt>
                <c:pt idx="160">
                  <c:v>-7.6185488876733222E-3</c:v>
                </c:pt>
                <c:pt idx="161">
                  <c:v>1.071194499138364E-3</c:v>
                </c:pt>
                <c:pt idx="162">
                  <c:v>-9.4524173734670761E-3</c:v>
                </c:pt>
                <c:pt idx="163">
                  <c:v>1.9806457007144635E-3</c:v>
                </c:pt>
                <c:pt idx="164">
                  <c:v>9.523676572854186E-3</c:v>
                </c:pt>
                <c:pt idx="165">
                  <c:v>2.3141962019494903E-3</c:v>
                </c:pt>
                <c:pt idx="166">
                  <c:v>6.7482158105240065E-3</c:v>
                </c:pt>
                <c:pt idx="167">
                  <c:v>1.4111785511944969E-3</c:v>
                </c:pt>
                <c:pt idx="168">
                  <c:v>-7.0459496629460933E-4</c:v>
                </c:pt>
                <c:pt idx="169">
                  <c:v>-1.8684970382298154E-2</c:v>
                </c:pt>
                <c:pt idx="170">
                  <c:v>1.3472217921222076E-2</c:v>
                </c:pt>
                <c:pt idx="171">
                  <c:v>-9.9255999657776681E-3</c:v>
                </c:pt>
                <c:pt idx="172">
                  <c:v>-4.4753608259666009E-3</c:v>
                </c:pt>
                <c:pt idx="173">
                  <c:v>8.2717454704587263E-3</c:v>
                </c:pt>
                <c:pt idx="174">
                  <c:v>7.1891800505253709E-4</c:v>
                </c:pt>
                <c:pt idx="175">
                  <c:v>3.4114738898834941E-3</c:v>
                </c:pt>
                <c:pt idx="176">
                  <c:v>-9.4844420375875295E-3</c:v>
                </c:pt>
                <c:pt idx="177">
                  <c:v>-1.6440744076379681E-2</c:v>
                </c:pt>
                <c:pt idx="178">
                  <c:v>-6.9800873680584399E-3</c:v>
                </c:pt>
                <c:pt idx="179">
                  <c:v>-1.8517588142919099E-4</c:v>
                </c:pt>
                <c:pt idx="180">
                  <c:v>1.4800785656592314E-3</c:v>
                </c:pt>
                <c:pt idx="181">
                  <c:v>-1.6625075302975109E-3</c:v>
                </c:pt>
                <c:pt idx="182">
                  <c:v>-2.7757807379316089E-3</c:v>
                </c:pt>
                <c:pt idx="183">
                  <c:v>-5.1957353156305954E-3</c:v>
                </c:pt>
                <c:pt idx="184">
                  <c:v>-1.8093604460388008E-2</c:v>
                </c:pt>
                <c:pt idx="185">
                  <c:v>6.0788932911956259E-3</c:v>
                </c:pt>
                <c:pt idx="186">
                  <c:v>-9.2520221519818476E-3</c:v>
                </c:pt>
                <c:pt idx="187">
                  <c:v>1.0481989220148813E-2</c:v>
                </c:pt>
                <c:pt idx="188">
                  <c:v>-5.6585263191086038E-4</c:v>
                </c:pt>
                <c:pt idx="189">
                  <c:v>1.6985190071790353E-3</c:v>
                </c:pt>
                <c:pt idx="190">
                  <c:v>1.1868901273629901E-2</c:v>
                </c:pt>
                <c:pt idx="191">
                  <c:v>3.1651166641284358E-3</c:v>
                </c:pt>
                <c:pt idx="192">
                  <c:v>4.4543252579566841E-3</c:v>
                </c:pt>
                <c:pt idx="193">
                  <c:v>2.0325156074456016E-3</c:v>
                </c:pt>
                <c:pt idx="194">
                  <c:v>0</c:v>
                </c:pt>
                <c:pt idx="195">
                  <c:v>1.843557823781685E-4</c:v>
                </c:pt>
                <c:pt idx="196">
                  <c:v>6.8214240392513708E-3</c:v>
                </c:pt>
                <c:pt idx="197">
                  <c:v>-2.3805040281594026E-3</c:v>
                </c:pt>
                <c:pt idx="198">
                  <c:v>-9.9118365668464051E-3</c:v>
                </c:pt>
                <c:pt idx="199">
                  <c:v>3.8932497890754856E-3</c:v>
                </c:pt>
                <c:pt idx="200">
                  <c:v>8.8643112657897875E-3</c:v>
                </c:pt>
                <c:pt idx="201">
                  <c:v>-5.1254347877626753E-3</c:v>
                </c:pt>
                <c:pt idx="202">
                  <c:v>1.8398860027821131E-3</c:v>
                </c:pt>
                <c:pt idx="203">
                  <c:v>-4.0403154862133544E-3</c:v>
                </c:pt>
                <c:pt idx="204">
                  <c:v>4.4255771761799265E-3</c:v>
                </c:pt>
                <c:pt idx="205">
                  <c:v>1.9276440999353099E-2</c:v>
                </c:pt>
                <c:pt idx="206">
                  <c:v>9.3662584844862954E-3</c:v>
                </c:pt>
                <c:pt idx="207">
                  <c:v>5.8886371842130289E-3</c:v>
                </c:pt>
                <c:pt idx="208">
                  <c:v>-3.5479084054075294E-3</c:v>
                </c:pt>
                <c:pt idx="209">
                  <c:v>-1.2463049845014491E-3</c:v>
                </c:pt>
                <c:pt idx="210">
                  <c:v>3.3870822031089676E-3</c:v>
                </c:pt>
                <c:pt idx="211">
                  <c:v>5.5069567634393477E-3</c:v>
                </c:pt>
                <c:pt idx="212">
                  <c:v>4.2402657564856909E-3</c:v>
                </c:pt>
                <c:pt idx="213">
                  <c:v>-8.9725474464137627E-3</c:v>
                </c:pt>
                <c:pt idx="214">
                  <c:v>2.8404190781220712E-3</c:v>
                </c:pt>
                <c:pt idx="215">
                  <c:v>4.0714656632279784E-3</c:v>
                </c:pt>
                <c:pt idx="216">
                  <c:v>3.5267792364386254E-4</c:v>
                </c:pt>
                <c:pt idx="217">
                  <c:v>-2.2912929341633416E-3</c:v>
                </c:pt>
                <c:pt idx="218">
                  <c:v>1.7675814091770115E-4</c:v>
                </c:pt>
                <c:pt idx="219">
                  <c:v>-7.0647153262388762E-3</c:v>
                </c:pt>
                <c:pt idx="220">
                  <c:v>-5.5138923304321489E-3</c:v>
                </c:pt>
                <c:pt idx="221">
                  <c:v>-8.9431335863051856E-3</c:v>
                </c:pt>
                <c:pt idx="222">
                  <c:v>-5.0531286784172352E-3</c:v>
                </c:pt>
                <c:pt idx="223">
                  <c:v>6.1671051425083809E-3</c:v>
                </c:pt>
                <c:pt idx="224">
                  <c:v>7.3912598697585211E-3</c:v>
                </c:pt>
                <c:pt idx="225">
                  <c:v>-8.0527564772559582E-3</c:v>
                </c:pt>
                <c:pt idx="226">
                  <c:v>-3.0669184999377864E-2</c:v>
                </c:pt>
                <c:pt idx="227">
                  <c:v>1.5819610773917289E-2</c:v>
                </c:pt>
                <c:pt idx="228">
                  <c:v>-3.1573001703403977E-2</c:v>
                </c:pt>
                <c:pt idx="229">
                  <c:v>-2.8598831018579051E-3</c:v>
                </c:pt>
                <c:pt idx="230">
                  <c:v>1.4722844333399701E-2</c:v>
                </c:pt>
                <c:pt idx="231">
                  <c:v>8.8561216760595796E-3</c:v>
                </c:pt>
                <c:pt idx="232">
                  <c:v>2.5588419238219598E-2</c:v>
                </c:pt>
                <c:pt idx="233">
                  <c:v>5.4635171244727292E-3</c:v>
                </c:pt>
                <c:pt idx="234">
                  <c:v>-3.8036182293103541E-3</c:v>
                </c:pt>
                <c:pt idx="235">
                  <c:v>-2.5453491674482351E-3</c:v>
                </c:pt>
                <c:pt idx="236">
                  <c:v>2.5883800147693006E-2</c:v>
                </c:pt>
                <c:pt idx="237">
                  <c:v>2.6297157976789103E-2</c:v>
                </c:pt>
                <c:pt idx="238">
                  <c:v>6.9253469036184144E-4</c:v>
                </c:pt>
                <c:pt idx="239">
                  <c:v>4.4982858502699086E-3</c:v>
                </c:pt>
                <c:pt idx="240">
                  <c:v>1.0161846242959923E-2</c:v>
                </c:pt>
                <c:pt idx="241">
                  <c:v>-1.5686370216367117E-2</c:v>
                </c:pt>
                <c:pt idx="242">
                  <c:v>-3.291063483104005E-3</c:v>
                </c:pt>
                <c:pt idx="243">
                  <c:v>3.9972622985172367E-3</c:v>
                </c:pt>
                <c:pt idx="244">
                  <c:v>7.0970655259044706E-3</c:v>
                </c:pt>
                <c:pt idx="245">
                  <c:v>6.8753530120113518E-4</c:v>
                </c:pt>
                <c:pt idx="246">
                  <c:v>7.3857418275056069E-3</c:v>
                </c:pt>
                <c:pt idx="247">
                  <c:v>3.9215375874837614E-3</c:v>
                </c:pt>
                <c:pt idx="248">
                  <c:v>1.1888461483427525E-3</c:v>
                </c:pt>
                <c:pt idx="249">
                  <c:v>-2.8838215133946358E-3</c:v>
                </c:pt>
                <c:pt idx="250">
                  <c:v>7.3154513626471976E-3</c:v>
                </c:pt>
                <c:pt idx="251">
                  <c:v>1.5200078345220585E-3</c:v>
                </c:pt>
                <c:pt idx="252">
                  <c:v>1.6694855060578169E-2</c:v>
                </c:pt>
                <c:pt idx="253">
                  <c:v>8.293273146864507E-3</c:v>
                </c:pt>
                <c:pt idx="254">
                  <c:v>-5.2639170840261878E-3</c:v>
                </c:pt>
                <c:pt idx="255">
                  <c:v>-2.3154570298035498E-3</c:v>
                </c:pt>
                <c:pt idx="256">
                  <c:v>1.6577261173104515E-3</c:v>
                </c:pt>
                <c:pt idx="257">
                  <c:v>3.3082580979205256E-4</c:v>
                </c:pt>
                <c:pt idx="258">
                  <c:v>1.4888993131035595E-3</c:v>
                </c:pt>
                <c:pt idx="259">
                  <c:v>5.9463881466156167E-3</c:v>
                </c:pt>
                <c:pt idx="260">
                  <c:v>8.0461041386001245E-3</c:v>
                </c:pt>
                <c:pt idx="261">
                  <c:v>-7.9818810921110754E-3</c:v>
                </c:pt>
                <c:pt idx="262">
                  <c:v>1.642069271253909E-3</c:v>
                </c:pt>
                <c:pt idx="263">
                  <c:v>-4.0983375523308638E-3</c:v>
                </c:pt>
                <c:pt idx="264">
                  <c:v>-4.9383002564946351E-3</c:v>
                </c:pt>
                <c:pt idx="265">
                  <c:v>-8.1060004725736351E-3</c:v>
                </c:pt>
                <c:pt idx="266">
                  <c:v>-2.334578857846617E-3</c:v>
                </c:pt>
                <c:pt idx="267">
                  <c:v>-3.6777732309302602E-3</c:v>
                </c:pt>
                <c:pt idx="268">
                  <c:v>8.3876269304677194E-4</c:v>
                </c:pt>
                <c:pt idx="269">
                  <c:v>1.9949713532007071E-2</c:v>
                </c:pt>
                <c:pt idx="270">
                  <c:v>2.7942354675033225E-3</c:v>
                </c:pt>
                <c:pt idx="271">
                  <c:v>-7.3758832269841777E-3</c:v>
                </c:pt>
                <c:pt idx="272">
                  <c:v>1.0237916831423147E-2</c:v>
                </c:pt>
                <c:pt idx="273">
                  <c:v>7.0283359917822832E-3</c:v>
                </c:pt>
                <c:pt idx="274">
                  <c:v>-1.0550204255454974E-2</c:v>
                </c:pt>
                <c:pt idx="275">
                  <c:v>1.0498687849111897E-2</c:v>
                </c:pt>
                <c:pt idx="276">
                  <c:v>6.493707221523027E-3</c:v>
                </c:pt>
                <c:pt idx="277">
                  <c:v>-1.5483972143117137E-2</c:v>
                </c:pt>
                <c:pt idx="278">
                  <c:v>5.5702297447775568E-3</c:v>
                </c:pt>
                <c:pt idx="279">
                  <c:v>-1.7758336757757509E-2</c:v>
                </c:pt>
                <c:pt idx="280">
                  <c:v>6.4688999226942042E-3</c:v>
                </c:pt>
                <c:pt idx="281">
                  <c:v>3.7902032603279847E-3</c:v>
                </c:pt>
                <c:pt idx="282">
                  <c:v>-1.6428580451255116E-4</c:v>
                </c:pt>
                <c:pt idx="283">
                  <c:v>2.003275104161677E-2</c:v>
                </c:pt>
                <c:pt idx="284">
                  <c:v>6.7612446092819066E-3</c:v>
                </c:pt>
                <c:pt idx="285">
                  <c:v>-4.1573542929380447E-3</c:v>
                </c:pt>
                <c:pt idx="286">
                  <c:v>-1.1078910771163393E-2</c:v>
                </c:pt>
                <c:pt idx="287">
                  <c:v>-1.7535456644620476E-2</c:v>
                </c:pt>
                <c:pt idx="288">
                  <c:v>3.8671365177876185E-2</c:v>
                </c:pt>
                <c:pt idx="289">
                  <c:v>-9.7056728746295982E-3</c:v>
                </c:pt>
                <c:pt idx="290">
                  <c:v>-4.3380301610989403E-3</c:v>
                </c:pt>
                <c:pt idx="291">
                  <c:v>7.4229574329804432E-3</c:v>
                </c:pt>
                <c:pt idx="292">
                  <c:v>6.4079935847133134E-4</c:v>
                </c:pt>
                <c:pt idx="293">
                  <c:v>1.6005940542016298E-3</c:v>
                </c:pt>
                <c:pt idx="294">
                  <c:v>-2.3813158223037822E-2</c:v>
                </c:pt>
                <c:pt idx="295">
                  <c:v>-3.9620331545926445E-2</c:v>
                </c:pt>
                <c:pt idx="296">
                  <c:v>5.1141744033626636E-3</c:v>
                </c:pt>
                <c:pt idx="297">
                  <c:v>-1.8317218504712112E-2</c:v>
                </c:pt>
                <c:pt idx="298">
                  <c:v>6.9080175408207012E-4</c:v>
                </c:pt>
                <c:pt idx="299">
                  <c:v>1.8441366356420956E-2</c:v>
                </c:pt>
                <c:pt idx="300">
                  <c:v>1.8448830380486649E-2</c:v>
                </c:pt>
                <c:pt idx="301">
                  <c:v>-2.6835067579220749E-3</c:v>
                </c:pt>
                <c:pt idx="302">
                  <c:v>1.0595250069195256E-2</c:v>
                </c:pt>
                <c:pt idx="303">
                  <c:v>1.6625647979660784E-4</c:v>
                </c:pt>
                <c:pt idx="304">
                  <c:v>7.986720998373352E-3</c:v>
                </c:pt>
                <c:pt idx="305">
                  <c:v>3.6315790066644075E-3</c:v>
                </c:pt>
                <c:pt idx="306">
                  <c:v>-6.5787747375832002E-3</c:v>
                </c:pt>
                <c:pt idx="307">
                  <c:v>9.6026354896994928E-3</c:v>
                </c:pt>
                <c:pt idx="308">
                  <c:v>9.0193223525283795E-3</c:v>
                </c:pt>
                <c:pt idx="309">
                  <c:v>6.3383568898549916E-3</c:v>
                </c:pt>
                <c:pt idx="310">
                  <c:v>3.8759494998130599E-3</c:v>
                </c:pt>
                <c:pt idx="311">
                  <c:v>8.04354618478627E-4</c:v>
                </c:pt>
                <c:pt idx="312">
                  <c:v>-3.3757662346855081E-3</c:v>
                </c:pt>
                <c:pt idx="313">
                  <c:v>1.4032344322488892E-2</c:v>
                </c:pt>
                <c:pt idx="314">
                  <c:v>-5.2488154560889292E-3</c:v>
                </c:pt>
                <c:pt idx="315">
                  <c:v>-1.1192950228407223E-3</c:v>
                </c:pt>
                <c:pt idx="316">
                  <c:v>1.0084738378723618E-2</c:v>
                </c:pt>
                <c:pt idx="317">
                  <c:v>5.3882796113185367E-3</c:v>
                </c:pt>
                <c:pt idx="318">
                  <c:v>6.1475272048211113E-3</c:v>
                </c:pt>
                <c:pt idx="319">
                  <c:v>-3.1329731928879417E-4</c:v>
                </c:pt>
                <c:pt idx="320">
                  <c:v>1.1753601608264073E-2</c:v>
                </c:pt>
                <c:pt idx="321">
                  <c:v>2.6331798501088043E-3</c:v>
                </c:pt>
                <c:pt idx="322">
                  <c:v>4.4801097637768173E-3</c:v>
                </c:pt>
                <c:pt idx="323">
                  <c:v>-8.9201901959193117E-3</c:v>
                </c:pt>
                <c:pt idx="324">
                  <c:v>9.7766360706293687E-3</c:v>
                </c:pt>
                <c:pt idx="325">
                  <c:v>1.3677491441161323E-2</c:v>
                </c:pt>
                <c:pt idx="326">
                  <c:v>3.7902052487299161E-3</c:v>
                </c:pt>
                <c:pt idx="327">
                  <c:v>-1.4499311207177554E-2</c:v>
                </c:pt>
                <c:pt idx="328">
                  <c:v>1.0574577174141007E-2</c:v>
                </c:pt>
                <c:pt idx="329">
                  <c:v>-1.3497035624326329E-2</c:v>
                </c:pt>
                <c:pt idx="330">
                  <c:v>7.8400999172243309E-3</c:v>
                </c:pt>
                <c:pt idx="331">
                  <c:v>9.6096162529969546E-3</c:v>
                </c:pt>
                <c:pt idx="332">
                  <c:v>-2.3870778975126867E-2</c:v>
                </c:pt>
                <c:pt idx="333">
                  <c:v>-1.8108676885901603E-2</c:v>
                </c:pt>
                <c:pt idx="334">
                  <c:v>-5.6746249797272521E-3</c:v>
                </c:pt>
                <c:pt idx="335">
                  <c:v>3.0912988399810579E-2</c:v>
                </c:pt>
                <c:pt idx="336">
                  <c:v>-7.9961392564982109E-3</c:v>
                </c:pt>
                <c:pt idx="337">
                  <c:v>3.5652050115207051E-3</c:v>
                </c:pt>
                <c:pt idx="338">
                  <c:v>-2.007939908605393E-3</c:v>
                </c:pt>
                <c:pt idx="339">
                  <c:v>-9.2864417158676788E-3</c:v>
                </c:pt>
                <c:pt idx="340">
                  <c:v>4.6865774289885738E-3</c:v>
                </c:pt>
                <c:pt idx="341">
                  <c:v>3.1101201284576565E-3</c:v>
                </c:pt>
                <c:pt idx="342">
                  <c:v>1.8756670790453213E-2</c:v>
                </c:pt>
                <c:pt idx="343">
                  <c:v>3.6519681612033005E-3</c:v>
                </c:pt>
                <c:pt idx="344">
                  <c:v>-2.7290745353138108E-3</c:v>
                </c:pt>
                <c:pt idx="345">
                  <c:v>-6.9625782527111213E-2</c:v>
                </c:pt>
                <c:pt idx="346">
                  <c:v>-1.9607881404770565E-2</c:v>
                </c:pt>
                <c:pt idx="347">
                  <c:v>1.6333285272721508E-2</c:v>
                </c:pt>
                <c:pt idx="348">
                  <c:v>3.0829693852718641E-2</c:v>
                </c:pt>
                <c:pt idx="349">
                  <c:v>1.8453750328530888E-2</c:v>
                </c:pt>
                <c:pt idx="350">
                  <c:v>7.8091871755506324E-4</c:v>
                </c:pt>
                <c:pt idx="351">
                  <c:v>3.5900888460764294E-3</c:v>
                </c:pt>
                <c:pt idx="352">
                  <c:v>5.9096675340993875E-3</c:v>
                </c:pt>
                <c:pt idx="353">
                  <c:v>-2.0098945529835814E-2</c:v>
                </c:pt>
                <c:pt idx="354">
                  <c:v>-4.8911921255248274E-3</c:v>
                </c:pt>
                <c:pt idx="355">
                  <c:v>1.0464612084238267E-2</c:v>
                </c:pt>
                <c:pt idx="356">
                  <c:v>-1.1925383305374191E-2</c:v>
                </c:pt>
                <c:pt idx="357">
                  <c:v>-1.5880837425413644E-3</c:v>
                </c:pt>
                <c:pt idx="358">
                  <c:v>6.0442221132548475E-3</c:v>
                </c:pt>
                <c:pt idx="359">
                  <c:v>-5.6916038524475439E-3</c:v>
                </c:pt>
                <c:pt idx="360">
                  <c:v>-1.7331812256381949E-2</c:v>
                </c:pt>
                <c:pt idx="361">
                  <c:v>-6.3106646339306334E-3</c:v>
                </c:pt>
                <c:pt idx="362">
                  <c:v>-1.140099414334967E-3</c:v>
                </c:pt>
                <c:pt idx="363">
                  <c:v>-2.7421990723034077E-2</c:v>
                </c:pt>
                <c:pt idx="364">
                  <c:v>7.4287577455896823E-3</c:v>
                </c:pt>
                <c:pt idx="365">
                  <c:v>-1.0055308740536855E-2</c:v>
                </c:pt>
                <c:pt idx="366">
                  <c:v>6.0943809552359823E-3</c:v>
                </c:pt>
                <c:pt idx="367">
                  <c:v>2.1369732944791251E-2</c:v>
                </c:pt>
                <c:pt idx="368">
                  <c:v>7.4135824533315244E-3</c:v>
                </c:pt>
                <c:pt idx="369">
                  <c:v>1.1937751874612034E-2</c:v>
                </c:pt>
                <c:pt idx="370">
                  <c:v>1.8746092867215524E-2</c:v>
                </c:pt>
                <c:pt idx="371">
                  <c:v>-2.0622775990783576E-3</c:v>
                </c:pt>
                <c:pt idx="372">
                  <c:v>-1.0014203292756799E-2</c:v>
                </c:pt>
                <c:pt idx="373">
                  <c:v>7.2255042790655534E-3</c:v>
                </c:pt>
                <c:pt idx="374">
                  <c:v>2.8692658145669406E-3</c:v>
                </c:pt>
                <c:pt idx="375">
                  <c:v>2.3366766072213774E-2</c:v>
                </c:pt>
                <c:pt idx="376">
                  <c:v>-1.7086058987070742E-2</c:v>
                </c:pt>
                <c:pt idx="377">
                  <c:v>2.0542553919837584E-3</c:v>
                </c:pt>
                <c:pt idx="378">
                  <c:v>-7.8851291389510723E-3</c:v>
                </c:pt>
                <c:pt idx="379">
                  <c:v>3.6558432701859285E-3</c:v>
                </c:pt>
                <c:pt idx="380">
                  <c:v>-3.1673649992923964E-3</c:v>
                </c:pt>
                <c:pt idx="381">
                  <c:v>-4.2897075683240556E-3</c:v>
                </c:pt>
                <c:pt idx="382">
                  <c:v>-4.6274286397797659E-3</c:v>
                </c:pt>
                <c:pt idx="383">
                  <c:v>-3.206157038147838E-3</c:v>
                </c:pt>
                <c:pt idx="384">
                  <c:v>5.1462559161130125E-3</c:v>
                </c:pt>
                <c:pt idx="385">
                  <c:v>-1.3599870926585631E-2</c:v>
                </c:pt>
                <c:pt idx="386">
                  <c:v>1.4273954434882143E-2</c:v>
                </c:pt>
                <c:pt idx="387">
                  <c:v>-1.6471925776941329E-2</c:v>
                </c:pt>
                <c:pt idx="388">
                  <c:v>-2.276506184847558E-3</c:v>
                </c:pt>
                <c:pt idx="389">
                  <c:v>3.7483994862883823E-3</c:v>
                </c:pt>
                <c:pt idx="390">
                  <c:v>9.741913856680072E-3</c:v>
                </c:pt>
                <c:pt idx="391">
                  <c:v>1.6401260720805454E-2</c:v>
                </c:pt>
                <c:pt idx="392">
                  <c:v>-3.1641246356224131E-3</c:v>
                </c:pt>
                <c:pt idx="393">
                  <c:v>1.6664096861965877E-2</c:v>
                </c:pt>
                <c:pt idx="394">
                  <c:v>1.7170615504946984E-3</c:v>
                </c:pt>
                <c:pt idx="395">
                  <c:v>5.4541987813601124E-3</c:v>
                </c:pt>
                <c:pt idx="396">
                  <c:v>-1.3639149785085965E-2</c:v>
                </c:pt>
                <c:pt idx="397">
                  <c:v>4.399844037291302E-3</c:v>
                </c:pt>
                <c:pt idx="398">
                  <c:v>-3.9112068389767045E-3</c:v>
                </c:pt>
                <c:pt idx="399">
                  <c:v>-4.5546178655448757E-3</c:v>
                </c:pt>
                <c:pt idx="400">
                  <c:v>-6.4689735173689483E-3</c:v>
                </c:pt>
                <c:pt idx="401">
                  <c:v>1.2704064372461913E-3</c:v>
                </c:pt>
                <c:pt idx="402">
                  <c:v>9.5163285845395375E-3</c:v>
                </c:pt>
                <c:pt idx="403">
                  <c:v>-6.7556579824971852E-3</c:v>
                </c:pt>
                <c:pt idx="404">
                  <c:v>7.5924295700938614E-3</c:v>
                </c:pt>
                <c:pt idx="405">
                  <c:v>1.2558942032280739E-2</c:v>
                </c:pt>
                <c:pt idx="406">
                  <c:v>8.2170181041917346E-3</c:v>
                </c:pt>
                <c:pt idx="407">
                  <c:v>-2.3068240794113818E-3</c:v>
                </c:pt>
                <c:pt idx="408">
                  <c:v>5.2407213415411099E-3</c:v>
                </c:pt>
                <c:pt idx="409">
                  <c:v>-7.6683107852328904E-4</c:v>
                </c:pt>
                <c:pt idx="410">
                  <c:v>-1.4884066292988203E-2</c:v>
                </c:pt>
                <c:pt idx="411">
                  <c:v>1.0903167954757504E-3</c:v>
                </c:pt>
                <c:pt idx="412">
                  <c:v>1.4003561679491693E-3</c:v>
                </c:pt>
                <c:pt idx="413">
                  <c:v>4.8167112334300179E-3</c:v>
                </c:pt>
                <c:pt idx="414">
                  <c:v>-2.412259590354187E-2</c:v>
                </c:pt>
                <c:pt idx="415">
                  <c:v>-6.0209944955297032E-3</c:v>
                </c:pt>
                <c:pt idx="416">
                  <c:v>-9.2461397170878895E-3</c:v>
                </c:pt>
                <c:pt idx="417">
                  <c:v>-7.0795948797042199E-3</c:v>
                </c:pt>
                <c:pt idx="418">
                  <c:v>4.6993475172085958E-3</c:v>
                </c:pt>
                <c:pt idx="419">
                  <c:v>-1.3709615666125762E-2</c:v>
                </c:pt>
                <c:pt idx="420">
                  <c:v>4.9048628369937101E-4</c:v>
                </c:pt>
                <c:pt idx="421">
                  <c:v>1.8470194895213902E-2</c:v>
                </c:pt>
                <c:pt idx="422">
                  <c:v>-3.0492846588770313E-3</c:v>
                </c:pt>
                <c:pt idx="423">
                  <c:v>3.2195764208983613E-3</c:v>
                </c:pt>
                <c:pt idx="424">
                  <c:v>2.888278838343411E-3</c:v>
                </c:pt>
                <c:pt idx="425">
                  <c:v>-3.2480042511285036E-2</c:v>
                </c:pt>
                <c:pt idx="426">
                  <c:v>5.2918549990549858E-3</c:v>
                </c:pt>
                <c:pt idx="427">
                  <c:v>-1.3587272490273529E-2</c:v>
                </c:pt>
                <c:pt idx="428">
                  <c:v>1.6802391236613005E-4</c:v>
                </c:pt>
                <c:pt idx="429">
                  <c:v>7.5578991938323025E-3</c:v>
                </c:pt>
                <c:pt idx="430">
                  <c:v>-1.5003392881991983E-3</c:v>
                </c:pt>
                <c:pt idx="431">
                  <c:v>-8.3471265870087678E-3</c:v>
                </c:pt>
                <c:pt idx="432">
                  <c:v>-2.3568458738737661E-3</c:v>
                </c:pt>
                <c:pt idx="433">
                  <c:v>-1.1137478402009819E-2</c:v>
                </c:pt>
                <c:pt idx="434">
                  <c:v>-1.2457393740316012E-2</c:v>
                </c:pt>
                <c:pt idx="435">
                  <c:v>-2.5747171164876077E-2</c:v>
                </c:pt>
                <c:pt idx="436">
                  <c:v>1.0641858383981096E-2</c:v>
                </c:pt>
                <c:pt idx="437">
                  <c:v>-7.1955834188424756E-3</c:v>
                </c:pt>
                <c:pt idx="438">
                  <c:v>-9.7221889830791299E-3</c:v>
                </c:pt>
                <c:pt idx="439">
                  <c:v>1.124575076758717E-2</c:v>
                </c:pt>
                <c:pt idx="440">
                  <c:v>2.2948386762565E-3</c:v>
                </c:pt>
                <c:pt idx="441">
                  <c:v>-9.510291060092586E-3</c:v>
                </c:pt>
                <c:pt idx="442">
                  <c:v>-2.1515002652844825E-2</c:v>
                </c:pt>
                <c:pt idx="443">
                  <c:v>-9.4494274782922025E-3</c:v>
                </c:pt>
                <c:pt idx="444">
                  <c:v>-2.2014335195768907E-3</c:v>
                </c:pt>
                <c:pt idx="445">
                  <c:v>1.6547372167381453E-3</c:v>
                </c:pt>
                <c:pt idx="446">
                  <c:v>1.2114512881592017E-2</c:v>
                </c:pt>
                <c:pt idx="447">
                  <c:v>1.3239088055776022E-2</c:v>
                </c:pt>
                <c:pt idx="448">
                  <c:v>-1.592977347795661E-2</c:v>
                </c:pt>
                <c:pt idx="449">
                  <c:v>1.2913679410603091E-2</c:v>
                </c:pt>
                <c:pt idx="450">
                  <c:v>1.3467481169103967E-2</c:v>
                </c:pt>
                <c:pt idx="451">
                  <c:v>-8.5046904487112145E-3</c:v>
                </c:pt>
                <c:pt idx="452">
                  <c:v>-1.5725486648588232E-2</c:v>
                </c:pt>
                <c:pt idx="453">
                  <c:v>1.5976728478972434E-2</c:v>
                </c:pt>
                <c:pt idx="454">
                  <c:v>2.8770653131377669E-2</c:v>
                </c:pt>
                <c:pt idx="455">
                  <c:v>2.3970807440261123E-2</c:v>
                </c:pt>
                <c:pt idx="456">
                  <c:v>7.463865523323396E-3</c:v>
                </c:pt>
                <c:pt idx="457">
                  <c:v>2.3573845696415641E-3</c:v>
                </c:pt>
                <c:pt idx="458">
                  <c:v>2.0661856008096745E-2</c:v>
                </c:pt>
                <c:pt idx="459">
                  <c:v>-1.4977118924847519E-2</c:v>
                </c:pt>
                <c:pt idx="460">
                  <c:v>-3.5086533669646683E-3</c:v>
                </c:pt>
                <c:pt idx="461">
                  <c:v>-1.3916738415696751E-2</c:v>
                </c:pt>
                <c:pt idx="462">
                  <c:v>-5.103859501521871E-4</c:v>
                </c:pt>
                <c:pt idx="463">
                  <c:v>8.1663395996446238E-3</c:v>
                </c:pt>
                <c:pt idx="464">
                  <c:v>3.8810930489608115E-3</c:v>
                </c:pt>
                <c:pt idx="465">
                  <c:v>1.8488697405548849E-3</c:v>
                </c:pt>
                <c:pt idx="466">
                  <c:v>-1.3926080811438228E-2</c:v>
                </c:pt>
                <c:pt idx="467">
                  <c:v>3.5902863498178797E-2</c:v>
                </c:pt>
                <c:pt idx="468">
                  <c:v>7.2272476955116578E-3</c:v>
                </c:pt>
                <c:pt idx="469">
                  <c:v>-9.6216274404870763E-3</c:v>
                </c:pt>
                <c:pt idx="470">
                  <c:v>-1.6466920874111202E-3</c:v>
                </c:pt>
                <c:pt idx="471">
                  <c:v>-1.8143836435295286E-3</c:v>
                </c:pt>
                <c:pt idx="472">
                  <c:v>3.139467673000849E-3</c:v>
                </c:pt>
                <c:pt idx="473">
                  <c:v>7.0830058139729809E-3</c:v>
                </c:pt>
                <c:pt idx="474">
                  <c:v>1.5374555139096927E-2</c:v>
                </c:pt>
                <c:pt idx="475">
                  <c:v>4.349214487176691E-3</c:v>
                </c:pt>
                <c:pt idx="476">
                  <c:v>4.490670297648526E-3</c:v>
                </c:pt>
                <c:pt idx="477">
                  <c:v>9.5790777742867702E-4</c:v>
                </c:pt>
                <c:pt idx="478">
                  <c:v>1.5982267261868148E-4</c:v>
                </c:pt>
                <c:pt idx="479">
                  <c:v>-3.5088982795679464E-3</c:v>
                </c:pt>
                <c:pt idx="480">
                  <c:v>2.5306233084578095E-2</c:v>
                </c:pt>
                <c:pt idx="481">
                  <c:v>2.8297385404298893E-3</c:v>
                </c:pt>
                <c:pt idx="482">
                  <c:v>8.7787529766177839E-3</c:v>
                </c:pt>
                <c:pt idx="483">
                  <c:v>-1.3675160442309545E-2</c:v>
                </c:pt>
                <c:pt idx="484">
                  <c:v>-4.7280589910187127E-4</c:v>
                </c:pt>
                <c:pt idx="485">
                  <c:v>1.5763703181709101E-3</c:v>
                </c:pt>
                <c:pt idx="486">
                  <c:v>4.2493170986775764E-3</c:v>
                </c:pt>
                <c:pt idx="487">
                  <c:v>-1.0500059047538798E-2</c:v>
                </c:pt>
                <c:pt idx="488">
                  <c:v>1.3145630178218792E-2</c:v>
                </c:pt>
                <c:pt idx="489">
                  <c:v>3.1267496598632016E-4</c:v>
                </c:pt>
                <c:pt idx="490">
                  <c:v>0</c:v>
                </c:pt>
                <c:pt idx="491">
                  <c:v>-1.3752223793554764E-2</c:v>
                </c:pt>
                <c:pt idx="492">
                  <c:v>-5.7043813877513576E-3</c:v>
                </c:pt>
                <c:pt idx="493">
                  <c:v>1.4342936429824317E-3</c:v>
                </c:pt>
                <c:pt idx="494">
                  <c:v>-7.9557782302477149E-4</c:v>
                </c:pt>
                <c:pt idx="495">
                  <c:v>1.6085196401218776E-2</c:v>
                </c:pt>
                <c:pt idx="496">
                  <c:v>-7.2100332556844678E-3</c:v>
                </c:pt>
                <c:pt idx="497">
                  <c:v>7.5782462577085475E-3</c:v>
                </c:pt>
                <c:pt idx="498">
                  <c:v>6.1108712147046797E-3</c:v>
                </c:pt>
                <c:pt idx="499">
                  <c:v>-9.9672264937573519E-3</c:v>
                </c:pt>
                <c:pt idx="500">
                  <c:v>5.9775492028562574E-3</c:v>
                </c:pt>
                <c:pt idx="501">
                  <c:v>-5.3165501009678094E-3</c:v>
                </c:pt>
                <c:pt idx="502">
                  <c:v>-1.0375817368811466E-2</c:v>
                </c:pt>
                <c:pt idx="503">
                  <c:v>-4.7651260420579771E-4</c:v>
                </c:pt>
                <c:pt idx="504">
                  <c:v>-1.1443148035166151E-2</c:v>
                </c:pt>
                <c:pt idx="505">
                  <c:v>1.9292615292630565E-2</c:v>
                </c:pt>
                <c:pt idx="506">
                  <c:v>-1.2460549418651639E-2</c:v>
                </c:pt>
                <c:pt idx="507">
                  <c:v>-7.6664043228790854E-3</c:v>
                </c:pt>
                <c:pt idx="508">
                  <c:v>-1.9315424271746523E-3</c:v>
                </c:pt>
                <c:pt idx="509">
                  <c:v>-1.2901106997952775E-2</c:v>
                </c:pt>
                <c:pt idx="510">
                  <c:v>3.5941698276622074E-3</c:v>
                </c:pt>
                <c:pt idx="511">
                  <c:v>4.0697371752949751E-3</c:v>
                </c:pt>
                <c:pt idx="512">
                  <c:v>-3.0317851488899688E-2</c:v>
                </c:pt>
                <c:pt idx="513">
                  <c:v>-1.5048671027631908E-3</c:v>
                </c:pt>
                <c:pt idx="514">
                  <c:v>6.0283308410165742E-3</c:v>
                </c:pt>
                <c:pt idx="515">
                  <c:v>2.4966548202546607E-3</c:v>
                </c:pt>
                <c:pt idx="516">
                  <c:v>5.3128954233387857E-3</c:v>
                </c:pt>
                <c:pt idx="517">
                  <c:v>6.2758244892787236E-3</c:v>
                </c:pt>
                <c:pt idx="518">
                  <c:v>-1.9694467501155714E-3</c:v>
                </c:pt>
                <c:pt idx="519">
                  <c:v>-5.2622903200538569E-3</c:v>
                </c:pt>
                <c:pt idx="520">
                  <c:v>2.4796636248782459E-3</c:v>
                </c:pt>
                <c:pt idx="521">
                  <c:v>1.1213777083495425E-2</c:v>
                </c:pt>
                <c:pt idx="522">
                  <c:v>1.6312780546238269E-4</c:v>
                </c:pt>
                <c:pt idx="523">
                  <c:v>-1.71204524138646E-2</c:v>
                </c:pt>
                <c:pt idx="524">
                  <c:v>-7.4652522148356774E-3</c:v>
                </c:pt>
                <c:pt idx="525">
                  <c:v>5.6827962762891256E-3</c:v>
                </c:pt>
                <c:pt idx="526">
                  <c:v>-1.6620395210715643E-3</c:v>
                </c:pt>
                <c:pt idx="527">
                  <c:v>-5.8266142329777499E-3</c:v>
                </c:pt>
                <c:pt idx="528">
                  <c:v>-1.674353808553898E-3</c:v>
                </c:pt>
                <c:pt idx="529">
                  <c:v>0</c:v>
                </c:pt>
                <c:pt idx="530">
                  <c:v>1.6437391741788921E-2</c:v>
                </c:pt>
                <c:pt idx="531">
                  <c:v>-1.6666702261025464E-2</c:v>
                </c:pt>
                <c:pt idx="532">
                  <c:v>0</c:v>
                </c:pt>
                <c:pt idx="533">
                  <c:v>-6.2090652703244058E-3</c:v>
                </c:pt>
                <c:pt idx="534">
                  <c:v>1.5197612101917519E-2</c:v>
                </c:pt>
                <c:pt idx="535">
                  <c:v>-5.3227555054590845E-3</c:v>
                </c:pt>
                <c:pt idx="536">
                  <c:v>3.0100282146071199E-3</c:v>
                </c:pt>
                <c:pt idx="537">
                  <c:v>1.834007208653632E-3</c:v>
                </c:pt>
                <c:pt idx="538">
                  <c:v>-4.1604918972431137E-3</c:v>
                </c:pt>
                <c:pt idx="539">
                  <c:v>-3.3418526156589039E-4</c:v>
                </c:pt>
                <c:pt idx="540">
                  <c:v>-5.18230107567582E-3</c:v>
                </c:pt>
                <c:pt idx="541">
                  <c:v>-1.0922511782741206E-2</c:v>
                </c:pt>
                <c:pt idx="542">
                  <c:v>1.4610924225326109E-2</c:v>
                </c:pt>
                <c:pt idx="543">
                  <c:v>-4.6884143678584357E-3</c:v>
                </c:pt>
                <c:pt idx="544">
                  <c:v>1.547779580443617E-2</c:v>
                </c:pt>
                <c:pt idx="545">
                  <c:v>-5.7986198985853568E-3</c:v>
                </c:pt>
                <c:pt idx="546">
                  <c:v>4.9999697372174283E-4</c:v>
                </c:pt>
                <c:pt idx="547">
                  <c:v>-9.6601316406328946E-3</c:v>
                </c:pt>
                <c:pt idx="548">
                  <c:v>-4.2046434896381053E-3</c:v>
                </c:pt>
                <c:pt idx="549">
                  <c:v>1.0133428850343908E-2</c:v>
                </c:pt>
                <c:pt idx="550">
                  <c:v>3.6784399360572343E-3</c:v>
                </c:pt>
                <c:pt idx="551">
                  <c:v>6.6632449815279462E-3</c:v>
                </c:pt>
                <c:pt idx="552">
                  <c:v>5.5027776069815687E-3</c:v>
                </c:pt>
                <c:pt idx="553">
                  <c:v>-4.6435630441804291E-3</c:v>
                </c:pt>
                <c:pt idx="554">
                  <c:v>9.663446415233411E-3</c:v>
                </c:pt>
                <c:pt idx="555">
                  <c:v>-4.6203705279963441E-3</c:v>
                </c:pt>
                <c:pt idx="556">
                  <c:v>-4.4762860075529751E-3</c:v>
                </c:pt>
                <c:pt idx="557">
                  <c:v>-2.1646892848125755E-3</c:v>
                </c:pt>
                <c:pt idx="558">
                  <c:v>1.6355125647341019E-2</c:v>
                </c:pt>
                <c:pt idx="559">
                  <c:v>7.3891297189772756E-3</c:v>
                </c:pt>
                <c:pt idx="560">
                  <c:v>1.1409547444483316E-3</c:v>
                </c:pt>
                <c:pt idx="561">
                  <c:v>7.1639373533385134E-3</c:v>
                </c:pt>
                <c:pt idx="562">
                  <c:v>-1.6181238443320421E-4</c:v>
                </c:pt>
                <c:pt idx="563">
                  <c:v>2.9102808756638226E-3</c:v>
                </c:pt>
                <c:pt idx="564">
                  <c:v>5.9649067967448791E-3</c:v>
                </c:pt>
                <c:pt idx="565">
                  <c:v>-3.0449084827713223E-3</c:v>
                </c:pt>
                <c:pt idx="566">
                  <c:v>9.4840292745797094E-3</c:v>
                </c:pt>
                <c:pt idx="567">
                  <c:v>6.3696771962377398E-4</c:v>
                </c:pt>
                <c:pt idx="568">
                  <c:v>-2.3872238165406528E-3</c:v>
                </c:pt>
                <c:pt idx="569">
                  <c:v>-1.7545203450800967E-3</c:v>
                </c:pt>
                <c:pt idx="570">
                  <c:v>1.7576040972272782E-3</c:v>
                </c:pt>
                <c:pt idx="571">
                  <c:v>7.3379502393766177E-3</c:v>
                </c:pt>
                <c:pt idx="572">
                  <c:v>-1.5835606239585683E-3</c:v>
                </c:pt>
                <c:pt idx="573">
                  <c:v>6.5027188683790538E-3</c:v>
                </c:pt>
                <c:pt idx="574">
                  <c:v>1.5757598311159963E-3</c:v>
                </c:pt>
                <c:pt idx="575">
                  <c:v>1.8879238254709187E-3</c:v>
                </c:pt>
                <c:pt idx="576">
                  <c:v>4.3970932236593119E-3</c:v>
                </c:pt>
                <c:pt idx="577">
                  <c:v>1.407200977241012E-3</c:v>
                </c:pt>
                <c:pt idx="578">
                  <c:v>-1.56143855458841E-3</c:v>
                </c:pt>
                <c:pt idx="579">
                  <c:v>-1.5636213119728773E-3</c:v>
                </c:pt>
                <c:pt idx="580">
                  <c:v>-4.6985994849980074E-3</c:v>
                </c:pt>
                <c:pt idx="581">
                  <c:v>2.0455998545383571E-3</c:v>
                </c:pt>
                <c:pt idx="582">
                  <c:v>7.3806677538814942E-3</c:v>
                </c:pt>
                <c:pt idx="583">
                  <c:v>2.3385394452310952E-3</c:v>
                </c:pt>
                <c:pt idx="584">
                  <c:v>-4.5102370809441458E-3</c:v>
                </c:pt>
                <c:pt idx="585">
                  <c:v>-5.6241479262477368E-3</c:v>
                </c:pt>
                <c:pt idx="586">
                  <c:v>1.099791283099594E-3</c:v>
                </c:pt>
                <c:pt idx="587">
                  <c:v>4.7079902347292417E-3</c:v>
                </c:pt>
                <c:pt idx="588">
                  <c:v>-1.5619115934083724E-3</c:v>
                </c:pt>
                <c:pt idx="589">
                  <c:v>-8.2916971413952382E-3</c:v>
                </c:pt>
                <c:pt idx="590">
                  <c:v>1.7352760843850604E-3</c:v>
                </c:pt>
                <c:pt idx="591">
                  <c:v>5.6692535886223592E-3</c:v>
                </c:pt>
                <c:pt idx="592">
                  <c:v>3.9149192920536497E-3</c:v>
                </c:pt>
                <c:pt idx="593">
                  <c:v>-2.651748167871869E-3</c:v>
                </c:pt>
                <c:pt idx="594">
                  <c:v>-1.1260481659001119E-2</c:v>
                </c:pt>
                <c:pt idx="595">
                  <c:v>-1.1072061260637377E-3</c:v>
                </c:pt>
                <c:pt idx="596">
                  <c:v>-5.5424293802614584E-3</c:v>
                </c:pt>
                <c:pt idx="597">
                  <c:v>4.7770929650935509E-4</c:v>
                </c:pt>
                <c:pt idx="598">
                  <c:v>-2.1009172769262494E-2</c:v>
                </c:pt>
                <c:pt idx="599">
                  <c:v>-1.7882460457902254E-3</c:v>
                </c:pt>
                <c:pt idx="600">
                  <c:v>-8.4689836774233234E-3</c:v>
                </c:pt>
                <c:pt idx="601">
                  <c:v>-7.7201870952565092E-3</c:v>
                </c:pt>
                <c:pt idx="602">
                  <c:v>-2.4829760048943328E-3</c:v>
                </c:pt>
                <c:pt idx="603">
                  <c:v>-7.965589631841791E-3</c:v>
                </c:pt>
                <c:pt idx="604">
                  <c:v>-2.0071621889766185E-3</c:v>
                </c:pt>
                <c:pt idx="605">
                  <c:v>5.6988716841018111E-3</c:v>
                </c:pt>
                <c:pt idx="606">
                  <c:v>1.9333333379366817E-2</c:v>
                </c:pt>
                <c:pt idx="607">
                  <c:v>-6.7038050280059467E-3</c:v>
                </c:pt>
                <c:pt idx="608">
                  <c:v>-7.2428788905699523E-3</c:v>
                </c:pt>
                <c:pt idx="609">
                  <c:v>-1.4922284861346926E-3</c:v>
                </c:pt>
                <c:pt idx="610">
                  <c:v>2.4908101324870847E-3</c:v>
                </c:pt>
                <c:pt idx="611">
                  <c:v>1.6565515315988414E-3</c:v>
                </c:pt>
                <c:pt idx="612">
                  <c:v>-4.2995135718351908E-3</c:v>
                </c:pt>
                <c:pt idx="613">
                  <c:v>3.9859298588920469E-3</c:v>
                </c:pt>
                <c:pt idx="614">
                  <c:v>6.7824745408747228E-3</c:v>
                </c:pt>
                <c:pt idx="615">
                  <c:v>1.3741783674807936E-2</c:v>
                </c:pt>
                <c:pt idx="616">
                  <c:v>7.1859094179747831E-3</c:v>
                </c:pt>
                <c:pt idx="617">
                  <c:v>-6.6481877734338281E-3</c:v>
                </c:pt>
                <c:pt idx="618">
                  <c:v>2.7750144794891313E-3</c:v>
                </c:pt>
                <c:pt idx="619">
                  <c:v>6.8370124374110509E-3</c:v>
                </c:pt>
                <c:pt idx="620">
                  <c:v>-1.0509202474379227E-2</c:v>
                </c:pt>
                <c:pt idx="621">
                  <c:v>3.2672517172492881E-4</c:v>
                </c:pt>
                <c:pt idx="622">
                  <c:v>-2.1235237020347242E-3</c:v>
                </c:pt>
                <c:pt idx="623">
                  <c:v>-9.3304880457886746E-3</c:v>
                </c:pt>
                <c:pt idx="624">
                  <c:v>-8.261741246111844E-3</c:v>
                </c:pt>
                <c:pt idx="625">
                  <c:v>3.3321716860357162E-3</c:v>
                </c:pt>
                <c:pt idx="626">
                  <c:v>5.9781259066205867E-3</c:v>
                </c:pt>
                <c:pt idx="627">
                  <c:v>7.4282164305436707E-3</c:v>
                </c:pt>
                <c:pt idx="628">
                  <c:v>-7.701147558976662E-3</c:v>
                </c:pt>
                <c:pt idx="629">
                  <c:v>-1.3210041513626487E-2</c:v>
                </c:pt>
                <c:pt idx="630">
                  <c:v>-7.5300742666041306E-3</c:v>
                </c:pt>
                <c:pt idx="631">
                  <c:v>3.540664011769491E-3</c:v>
                </c:pt>
                <c:pt idx="632">
                  <c:v>5.3763310866600583E-3</c:v>
                </c:pt>
                <c:pt idx="633">
                  <c:v>8.5226659777060659E-3</c:v>
                </c:pt>
                <c:pt idx="634">
                  <c:v>9.1136386197426464E-3</c:v>
                </c:pt>
                <c:pt idx="635">
                  <c:v>-1.4777423456610477E-3</c:v>
                </c:pt>
                <c:pt idx="636">
                  <c:v>-3.946793678097341E-3</c:v>
                </c:pt>
                <c:pt idx="637">
                  <c:v>1.7665443609839224E-2</c:v>
                </c:pt>
                <c:pt idx="638">
                  <c:v>1.2167371296938349E-2</c:v>
                </c:pt>
                <c:pt idx="639">
                  <c:v>8.0146418629553986E-4</c:v>
                </c:pt>
                <c:pt idx="640">
                  <c:v>3.2050015672713597E-4</c:v>
                </c:pt>
                <c:pt idx="641">
                  <c:v>-3.3622314251932897E-3</c:v>
                </c:pt>
                <c:pt idx="642">
                  <c:v>1.2851405993870588E-2</c:v>
                </c:pt>
                <c:pt idx="643">
                  <c:v>-9.674973177245208E-3</c:v>
                </c:pt>
                <c:pt idx="644">
                  <c:v>6.4067105502193134E-4</c:v>
                </c:pt>
                <c:pt idx="645">
                  <c:v>-8.8028135414145517E-3</c:v>
                </c:pt>
                <c:pt idx="646">
                  <c:v>-2.5836552500667818E-3</c:v>
                </c:pt>
                <c:pt idx="647">
                  <c:v>3.0760130690278085E-3</c:v>
                </c:pt>
                <c:pt idx="648">
                  <c:v>-5.1646758891468495E-3</c:v>
                </c:pt>
                <c:pt idx="649">
                  <c:v>-1.5087575095505153E-2</c:v>
                </c:pt>
                <c:pt idx="650">
                  <c:v>7.9065226187136593E-3</c:v>
                </c:pt>
                <c:pt idx="651">
                  <c:v>-4.412484997450841E-3</c:v>
                </c:pt>
                <c:pt idx="652">
                  <c:v>2.2980604984944651E-3</c:v>
                </c:pt>
                <c:pt idx="653">
                  <c:v>-2.2927915248599018E-3</c:v>
                </c:pt>
                <c:pt idx="654">
                  <c:v>4.1036794615972594E-3</c:v>
                </c:pt>
                <c:pt idx="655">
                  <c:v>-4.7408133968847594E-3</c:v>
                </c:pt>
                <c:pt idx="656">
                  <c:v>-6.7346587020989329E-3</c:v>
                </c:pt>
                <c:pt idx="657">
                  <c:v>1.6543672541694345E-4</c:v>
                </c:pt>
                <c:pt idx="658">
                  <c:v>2.1495058590815224E-3</c:v>
                </c:pt>
                <c:pt idx="659">
                  <c:v>5.6095489871870029E-3</c:v>
                </c:pt>
                <c:pt idx="660">
                  <c:v>-8.5315200758380363E-3</c:v>
                </c:pt>
                <c:pt idx="661">
                  <c:v>-6.1228286262543776E-3</c:v>
                </c:pt>
                <c:pt idx="662">
                  <c:v>3.4964498765507829E-3</c:v>
                </c:pt>
                <c:pt idx="663">
                  <c:v>-2.6547480783049586E-3</c:v>
                </c:pt>
                <c:pt idx="664">
                  <c:v>4.6582609245861568E-3</c:v>
                </c:pt>
                <c:pt idx="665">
                  <c:v>2.8149241979709989E-3</c:v>
                </c:pt>
                <c:pt idx="666">
                  <c:v>-9.9066994097130089E-4</c:v>
                </c:pt>
                <c:pt idx="667">
                  <c:v>-4.9592811550233889E-4</c:v>
                </c:pt>
                <c:pt idx="668">
                  <c:v>-1.0583734612021146E-2</c:v>
                </c:pt>
                <c:pt idx="669">
                  <c:v>-8.6912962440269595E-3</c:v>
                </c:pt>
                <c:pt idx="670">
                  <c:v>-8.2616880146192864E-3</c:v>
                </c:pt>
                <c:pt idx="671">
                  <c:v>-6.8010029609306521E-4</c:v>
                </c:pt>
                <c:pt idx="672">
                  <c:v>-7.6554784948632678E-3</c:v>
                </c:pt>
                <c:pt idx="673">
                  <c:v>0</c:v>
                </c:pt>
                <c:pt idx="674">
                  <c:v>9.4290351630038245E-3</c:v>
                </c:pt>
                <c:pt idx="675">
                  <c:v>-9.8506714741713013E-3</c:v>
                </c:pt>
                <c:pt idx="676">
                  <c:v>2.4014766860001651E-3</c:v>
                </c:pt>
                <c:pt idx="677">
                  <c:v>8.2787195171459931E-3</c:v>
                </c:pt>
                <c:pt idx="678">
                  <c:v>-8.8950203377568034E-3</c:v>
                </c:pt>
                <c:pt idx="679">
                  <c:v>6.2133264615557623E-3</c:v>
                </c:pt>
                <c:pt idx="680">
                  <c:v>-2.0582498347930548E-3</c:v>
                </c:pt>
                <c:pt idx="681">
                  <c:v>4.4688442658879571E-3</c:v>
                </c:pt>
                <c:pt idx="682">
                  <c:v>-1.5400346247591432E-2</c:v>
                </c:pt>
                <c:pt idx="683">
                  <c:v>1.0426822662758847E-3</c:v>
                </c:pt>
                <c:pt idx="684">
                  <c:v>-1.0416741178532937E-2</c:v>
                </c:pt>
                <c:pt idx="685">
                  <c:v>-8.2455698634057422E-3</c:v>
                </c:pt>
                <c:pt idx="686">
                  <c:v>-1.0260018811632925E-2</c:v>
                </c:pt>
                <c:pt idx="687">
                  <c:v>-2.5021135302033806E-3</c:v>
                </c:pt>
                <c:pt idx="688">
                  <c:v>3.0459280128608056E-3</c:v>
                </c:pt>
                <c:pt idx="689">
                  <c:v>-8.9317160159414835E-3</c:v>
                </c:pt>
                <c:pt idx="690">
                  <c:v>-1.0814711448748E-2</c:v>
                </c:pt>
                <c:pt idx="691">
                  <c:v>2.9154280563606946E-3</c:v>
                </c:pt>
                <c:pt idx="692">
                  <c:v>-4.8328529793730132E-2</c:v>
                </c:pt>
                <c:pt idx="693">
                  <c:v>1.4509334405185538E-2</c:v>
                </c:pt>
                <c:pt idx="694">
                  <c:v>-4.8926102263237847E-3</c:v>
                </c:pt>
                <c:pt idx="695">
                  <c:v>2.1747332932847564E-2</c:v>
                </c:pt>
                <c:pt idx="696">
                  <c:v>-5.9226625291153388E-3</c:v>
                </c:pt>
                <c:pt idx="697">
                  <c:v>-1.675650972607054E-2</c:v>
                </c:pt>
                <c:pt idx="698">
                  <c:v>1.5146588900565685E-3</c:v>
                </c:pt>
                <c:pt idx="699">
                  <c:v>1.0209950608160188E-2</c:v>
                </c:pt>
                <c:pt idx="700">
                  <c:v>1.1978267558544193E-2</c:v>
                </c:pt>
                <c:pt idx="701">
                  <c:v>-3.6991615208807355E-4</c:v>
                </c:pt>
                <c:pt idx="702">
                  <c:v>5.5504182361662529E-3</c:v>
                </c:pt>
                <c:pt idx="703">
                  <c:v>4.0478144849146434E-3</c:v>
                </c:pt>
                <c:pt idx="704">
                  <c:v>-8.9792710893645215E-3</c:v>
                </c:pt>
                <c:pt idx="705">
                  <c:v>2.8846088567639285E-2</c:v>
                </c:pt>
                <c:pt idx="706">
                  <c:v>8.6268907157619808E-3</c:v>
                </c:pt>
                <c:pt idx="707">
                  <c:v>-6.0582790701701897E-3</c:v>
                </c:pt>
                <c:pt idx="708">
                  <c:v>-9.6810378355726475E-3</c:v>
                </c:pt>
                <c:pt idx="709">
                  <c:v>1.6473699446722685E-2</c:v>
                </c:pt>
                <c:pt idx="710">
                  <c:v>6.0550413524679417E-3</c:v>
                </c:pt>
                <c:pt idx="711">
                  <c:v>-8.8499243477636121E-4</c:v>
                </c:pt>
                <c:pt idx="712">
                  <c:v>1.1516682554745484E-2</c:v>
                </c:pt>
                <c:pt idx="713">
                  <c:v>-6.1306964414559184E-3</c:v>
                </c:pt>
                <c:pt idx="714">
                  <c:v>4.0536029513845986E-3</c:v>
                </c:pt>
                <c:pt idx="715">
                  <c:v>3.6860800550380379E-3</c:v>
                </c:pt>
                <c:pt idx="716">
                  <c:v>-1.5739061330961356E-3</c:v>
                </c:pt>
                <c:pt idx="717">
                  <c:v>-7.5320168595759936E-3</c:v>
                </c:pt>
                <c:pt idx="718">
                  <c:v>1.0589484673395816E-3</c:v>
                </c:pt>
                <c:pt idx="719">
                  <c:v>3.7023989859570105E-3</c:v>
                </c:pt>
                <c:pt idx="720">
                  <c:v>2.9860765367716703E-3</c:v>
                </c:pt>
                <c:pt idx="721">
                  <c:v>1.9265408254325702E-3</c:v>
                </c:pt>
                <c:pt idx="722">
                  <c:v>-1.0487679970881706E-3</c:v>
                </c:pt>
                <c:pt idx="723">
                  <c:v>1.9245696057911361E-3</c:v>
                </c:pt>
                <c:pt idx="724">
                  <c:v>2.4451551716372184E-3</c:v>
                </c:pt>
                <c:pt idx="725">
                  <c:v>1.0975542066326111E-2</c:v>
                </c:pt>
                <c:pt idx="726">
                  <c:v>6.7206642464331329E-3</c:v>
                </c:pt>
                <c:pt idx="727">
                  <c:v>2.5676846161817451E-3</c:v>
                </c:pt>
                <c:pt idx="728">
                  <c:v>-1.8781183712558774E-3</c:v>
                </c:pt>
                <c:pt idx="729">
                  <c:v>2.0526164841526773E-3</c:v>
                </c:pt>
                <c:pt idx="730">
                  <c:v>-5.9746913367451481E-3</c:v>
                </c:pt>
                <c:pt idx="731">
                  <c:v>1.1597711632998779E-2</c:v>
                </c:pt>
                <c:pt idx="732">
                  <c:v>3.4223114456468874E-3</c:v>
                </c:pt>
                <c:pt idx="733">
                  <c:v>-1.1936581450037369E-3</c:v>
                </c:pt>
                <c:pt idx="734">
                  <c:v>1.5365769154279557E-3</c:v>
                </c:pt>
                <c:pt idx="735">
                  <c:v>-1.0228359774708299E-3</c:v>
                </c:pt>
                <c:pt idx="736">
                  <c:v>2.3890839197496564E-3</c:v>
                </c:pt>
                <c:pt idx="737">
                  <c:v>-2.2131378299597476E-3</c:v>
                </c:pt>
                <c:pt idx="738">
                  <c:v>7.3367274651707807E-3</c:v>
                </c:pt>
                <c:pt idx="739">
                  <c:v>6.4362205714335102E-3</c:v>
                </c:pt>
                <c:pt idx="740">
                  <c:v>8.5830075331351265E-3</c:v>
                </c:pt>
                <c:pt idx="741">
                  <c:v>-1.4850605227752294E-2</c:v>
                </c:pt>
                <c:pt idx="742">
                  <c:v>-7.4526787903601384E-3</c:v>
                </c:pt>
                <c:pt idx="743">
                  <c:v>7.1672517592489687E-3</c:v>
                </c:pt>
                <c:pt idx="744">
                  <c:v>-3.219303946810402E-3</c:v>
                </c:pt>
                <c:pt idx="745">
                  <c:v>-2.0737658639549128E-2</c:v>
                </c:pt>
                <c:pt idx="746">
                  <c:v>6.5960517545453692E-3</c:v>
                </c:pt>
                <c:pt idx="747">
                  <c:v>5.6904897299557789E-3</c:v>
                </c:pt>
                <c:pt idx="748">
                  <c:v>4.1154048257019994E-3</c:v>
                </c:pt>
                <c:pt idx="749">
                  <c:v>2.561421911913398E-3</c:v>
                </c:pt>
                <c:pt idx="750">
                  <c:v>6.8135589271283359E-4</c:v>
                </c:pt>
                <c:pt idx="751">
                  <c:v>3.0637382801194041E-3</c:v>
                </c:pt>
                <c:pt idx="752">
                  <c:v>1.5102679969206943E-2</c:v>
                </c:pt>
                <c:pt idx="753">
                  <c:v>2.3403598479172054E-3</c:v>
                </c:pt>
                <c:pt idx="754">
                  <c:v>-3.3354201505552128E-3</c:v>
                </c:pt>
                <c:pt idx="755">
                  <c:v>-1.5061821870930232E-3</c:v>
                </c:pt>
                <c:pt idx="756">
                  <c:v>7.3739263963897919E-3</c:v>
                </c:pt>
                <c:pt idx="757">
                  <c:v>-1.8298864121144955E-3</c:v>
                </c:pt>
                <c:pt idx="758">
                  <c:v>3.3331961786463109E-3</c:v>
                </c:pt>
                <c:pt idx="759">
                  <c:v>-6.4782572888884673E-3</c:v>
                </c:pt>
                <c:pt idx="760">
                  <c:v>9.697415727690957E-3</c:v>
                </c:pt>
                <c:pt idx="761">
                  <c:v>-6.6237423997118636E-3</c:v>
                </c:pt>
                <c:pt idx="762">
                  <c:v>0</c:v>
                </c:pt>
                <c:pt idx="763">
                  <c:v>2.83384104772751E-3</c:v>
                </c:pt>
                <c:pt idx="764">
                  <c:v>-5.485365507938318E-3</c:v>
                </c:pt>
                <c:pt idx="765">
                  <c:v>-4.3457040993748535E-3</c:v>
                </c:pt>
                <c:pt idx="766">
                  <c:v>4.7003633840714066E-3</c:v>
                </c:pt>
                <c:pt idx="767">
                  <c:v>-1.5705928964516974E-2</c:v>
                </c:pt>
                <c:pt idx="768">
                  <c:v>4.2438106743259204E-3</c:v>
                </c:pt>
                <c:pt idx="769">
                  <c:v>3.5497721302009755E-3</c:v>
                </c:pt>
                <c:pt idx="770">
                  <c:v>6.0636914261319027E-3</c:v>
                </c:pt>
                <c:pt idx="771">
                  <c:v>2.8459728488150031E-3</c:v>
                </c:pt>
                <c:pt idx="772">
                  <c:v>-6.8446798735174418E-3</c:v>
                </c:pt>
                <c:pt idx="773">
                  <c:v>2.5046166104365688E-2</c:v>
                </c:pt>
                <c:pt idx="774">
                  <c:v>-7.2154497714653739E-3</c:v>
                </c:pt>
                <c:pt idx="775">
                  <c:v>-8.2590307139033502E-3</c:v>
                </c:pt>
                <c:pt idx="776">
                  <c:v>-1.6654542179732905E-3</c:v>
                </c:pt>
                <c:pt idx="777">
                  <c:v>8.3408253116043756E-4</c:v>
                </c:pt>
                <c:pt idx="778">
                  <c:v>-2.6670691141489921E-3</c:v>
                </c:pt>
                <c:pt idx="779">
                  <c:v>-4.5127867251156485E-3</c:v>
                </c:pt>
                <c:pt idx="780">
                  <c:v>2.3505761466533384E-3</c:v>
                </c:pt>
                <c:pt idx="781">
                  <c:v>-5.8627275305833462E-3</c:v>
                </c:pt>
                <c:pt idx="782">
                  <c:v>-1.0108763999721294E-3</c:v>
                </c:pt>
                <c:pt idx="783">
                  <c:v>1.855262494148884E-3</c:v>
                </c:pt>
                <c:pt idx="784">
                  <c:v>-1.684284197625014E-4</c:v>
                </c:pt>
                <c:pt idx="785">
                  <c:v>2.2057617947355154E-2</c:v>
                </c:pt>
                <c:pt idx="786">
                  <c:v>8.8962791740902127E-3</c:v>
                </c:pt>
                <c:pt idx="787">
                  <c:v>-1.4695838051692858E-3</c:v>
                </c:pt>
                <c:pt idx="788">
                  <c:v>8.1771057188922676E-4</c:v>
                </c:pt>
                <c:pt idx="789">
                  <c:v>-8.0066193996630106E-3</c:v>
                </c:pt>
                <c:pt idx="790">
                  <c:v>-6.0945139308318276E-3</c:v>
                </c:pt>
                <c:pt idx="791">
                  <c:v>9.9429080953706401E-4</c:v>
                </c:pt>
                <c:pt idx="792">
                  <c:v>-6.2913668324775292E-3</c:v>
                </c:pt>
                <c:pt idx="793">
                  <c:v>-8.1640312632788991E-3</c:v>
                </c:pt>
                <c:pt idx="794">
                  <c:v>4.7036578612067309E-3</c:v>
                </c:pt>
                <c:pt idx="795">
                  <c:v>-4.8487078638462348E-3</c:v>
                </c:pt>
                <c:pt idx="796">
                  <c:v>5.0406252088824031E-4</c:v>
                </c:pt>
                <c:pt idx="797">
                  <c:v>-1.8472980895245369E-3</c:v>
                </c:pt>
                <c:pt idx="798">
                  <c:v>1.345975938433685E-3</c:v>
                </c:pt>
                <c:pt idx="799">
                  <c:v>1.2096752533181827E-2</c:v>
                </c:pt>
                <c:pt idx="800">
                  <c:v>4.3159923705404701E-3</c:v>
                </c:pt>
                <c:pt idx="801">
                  <c:v>1.0247948125887876E-2</c:v>
                </c:pt>
                <c:pt idx="802">
                  <c:v>-2.2264168534648007E-3</c:v>
                </c:pt>
                <c:pt idx="803">
                  <c:v>-1.0247858722009874E-2</c:v>
                </c:pt>
                <c:pt idx="804">
                  <c:v>4.1751252732037747E-3</c:v>
                </c:pt>
                <c:pt idx="805">
                  <c:v>1.6629862398490156E-3</c:v>
                </c:pt>
                <c:pt idx="806">
                  <c:v>8.6334382509512704E-3</c:v>
                </c:pt>
                <c:pt idx="807">
                  <c:v>-4.6089729041085964E-3</c:v>
                </c:pt>
                <c:pt idx="808">
                  <c:v>3.3072722142028717E-4</c:v>
                </c:pt>
                <c:pt idx="809">
                  <c:v>-1.4878800106024087E-3</c:v>
                </c:pt>
                <c:pt idx="810">
                  <c:v>2.3179066582070256E-3</c:v>
                </c:pt>
                <c:pt idx="811">
                  <c:v>8.0938128888735882E-3</c:v>
                </c:pt>
                <c:pt idx="812">
                  <c:v>2.4577927272636012E-3</c:v>
                </c:pt>
                <c:pt idx="813">
                  <c:v>-8.1725559755755108E-3</c:v>
                </c:pt>
                <c:pt idx="814">
                  <c:v>-8.7343702162628462E-3</c:v>
                </c:pt>
                <c:pt idx="815">
                  <c:v>-5.3199875843157225E-3</c:v>
                </c:pt>
                <c:pt idx="816">
                  <c:v>-8.8585927544417072E-3</c:v>
                </c:pt>
                <c:pt idx="817">
                  <c:v>3.541321328649471E-3</c:v>
                </c:pt>
                <c:pt idx="818">
                  <c:v>-4.0328171312112452E-3</c:v>
                </c:pt>
                <c:pt idx="819">
                  <c:v>7.5922599539519067E-3</c:v>
                </c:pt>
                <c:pt idx="820">
                  <c:v>-1.3395767311876026E-2</c:v>
                </c:pt>
                <c:pt idx="821">
                  <c:v>2.2063818118578859E-3</c:v>
                </c:pt>
                <c:pt idx="822">
                  <c:v>-1.3039772267538149E-2</c:v>
                </c:pt>
                <c:pt idx="823">
                  <c:v>-2.4022230328594246E-3</c:v>
                </c:pt>
                <c:pt idx="824">
                  <c:v>-1.3759944797246155E-3</c:v>
                </c:pt>
                <c:pt idx="825">
                  <c:v>7.7506251335098982E-3</c:v>
                </c:pt>
                <c:pt idx="826">
                  <c:v>6.8363967445999223E-3</c:v>
                </c:pt>
                <c:pt idx="827">
                  <c:v>2.1388457215009617E-2</c:v>
                </c:pt>
                <c:pt idx="828">
                  <c:v>6.3155489689767494E-3</c:v>
                </c:pt>
                <c:pt idx="829">
                  <c:v>1.4863394036635058E-3</c:v>
                </c:pt>
                <c:pt idx="830">
                  <c:v>1.5006665192795747E-2</c:v>
                </c:pt>
                <c:pt idx="831">
                  <c:v>3.086941614650117E-3</c:v>
                </c:pt>
                <c:pt idx="832">
                  <c:v>0</c:v>
                </c:pt>
                <c:pt idx="833">
                  <c:v>4.8590569145286104E-3</c:v>
                </c:pt>
                <c:pt idx="834">
                  <c:v>-4.3520563590880249E-3</c:v>
                </c:pt>
                <c:pt idx="835">
                  <c:v>2.5903295447000309E-3</c:v>
                </c:pt>
                <c:pt idx="836">
                  <c:v>9.6879096598960187E-4</c:v>
                </c:pt>
                <c:pt idx="837">
                  <c:v>2.9036247249965238E-3</c:v>
                </c:pt>
                <c:pt idx="838">
                  <c:v>2.8953472624560113E-3</c:v>
                </c:pt>
                <c:pt idx="839">
                  <c:v>4.3304182469107782E-3</c:v>
                </c:pt>
                <c:pt idx="840">
                  <c:v>3.6728743198999533E-3</c:v>
                </c:pt>
                <c:pt idx="841">
                  <c:v>4.774007627038577E-4</c:v>
                </c:pt>
                <c:pt idx="842">
                  <c:v>6.0431691793649154E-3</c:v>
                </c:pt>
                <c:pt idx="843">
                  <c:v>5.0586361827479357E-3</c:v>
                </c:pt>
                <c:pt idx="844">
                  <c:v>-7.5496364711513985E-3</c:v>
                </c:pt>
                <c:pt idx="845">
                  <c:v>4.7550929858314252E-4</c:v>
                </c:pt>
                <c:pt idx="846">
                  <c:v>3.0096823469237454E-3</c:v>
                </c:pt>
                <c:pt idx="847">
                  <c:v>-4.5799849035312729E-3</c:v>
                </c:pt>
                <c:pt idx="848">
                  <c:v>-7.2981569333383893E-3</c:v>
                </c:pt>
                <c:pt idx="849">
                  <c:v>5.4339839800069747E-3</c:v>
                </c:pt>
                <c:pt idx="850">
                  <c:v>1.4306447474744213E-3</c:v>
                </c:pt>
                <c:pt idx="851">
                  <c:v>-1.4444572756805139E-2</c:v>
                </c:pt>
                <c:pt idx="852">
                  <c:v>-1.449409566387306E-3</c:v>
                </c:pt>
                <c:pt idx="853">
                  <c:v>-2.9032858445257811E-3</c:v>
                </c:pt>
                <c:pt idx="854">
                  <c:v>-1.9410946898548501E-3</c:v>
                </c:pt>
                <c:pt idx="855">
                  <c:v>4.3759734679843145E-3</c:v>
                </c:pt>
                <c:pt idx="856">
                  <c:v>1.5491364354332172E-2</c:v>
                </c:pt>
                <c:pt idx="857">
                  <c:v>0</c:v>
                </c:pt>
                <c:pt idx="858">
                  <c:v>1.6049635561815608E-2</c:v>
                </c:pt>
                <c:pt idx="859">
                  <c:v>-3.1284158178209744E-4</c:v>
                </c:pt>
                <c:pt idx="860">
                  <c:v>3.598238719808878E-3</c:v>
                </c:pt>
                <c:pt idx="861">
                  <c:v>-3.7411839738817777E-3</c:v>
                </c:pt>
                <c:pt idx="862">
                  <c:v>-5.0071239108153594E-3</c:v>
                </c:pt>
                <c:pt idx="863">
                  <c:v>-6.2893756842821366E-4</c:v>
                </c:pt>
                <c:pt idx="864">
                  <c:v>-1.0542866220882838E-2</c:v>
                </c:pt>
                <c:pt idx="865">
                  <c:v>1.7493787748252259E-3</c:v>
                </c:pt>
                <c:pt idx="866">
                  <c:v>7.1995938396570303E-4</c:v>
                </c:pt>
                <c:pt idx="867">
                  <c:v>1.11900369943846E-3</c:v>
                </c:pt>
                <c:pt idx="868">
                  <c:v>1.5976079272768669E-4</c:v>
                </c:pt>
                <c:pt idx="869">
                  <c:v>-7.1850974305647077E-3</c:v>
                </c:pt>
                <c:pt idx="870">
                  <c:v>9.4885495826158902E-3</c:v>
                </c:pt>
                <c:pt idx="871">
                  <c:v>1.9117548023322176E-2</c:v>
                </c:pt>
                <c:pt idx="872">
                  <c:v>-2.0323127196828568E-3</c:v>
                </c:pt>
                <c:pt idx="873">
                  <c:v>3.2895514895316239E-3</c:v>
                </c:pt>
                <c:pt idx="874">
                  <c:v>-2.18584388036239E-3</c:v>
                </c:pt>
                <c:pt idx="875">
                  <c:v>-4.0682547150488312E-3</c:v>
                </c:pt>
                <c:pt idx="876">
                  <c:v>-5.8130524146195392E-3</c:v>
                </c:pt>
                <c:pt idx="877">
                  <c:v>-2.0543472402766872E-3</c:v>
                </c:pt>
                <c:pt idx="878">
                  <c:v>2.8504868212065721E-3</c:v>
                </c:pt>
                <c:pt idx="879">
                  <c:v>6.7896762445808102E-3</c:v>
                </c:pt>
                <c:pt idx="880">
                  <c:v>-1.2547098641217811E-2</c:v>
                </c:pt>
                <c:pt idx="881">
                  <c:v>-4.2884755880122699E-3</c:v>
                </c:pt>
                <c:pt idx="882">
                  <c:v>2.2333276728493394E-3</c:v>
                </c:pt>
                <c:pt idx="883">
                  <c:v>4.2972850211327454E-3</c:v>
                </c:pt>
                <c:pt idx="884">
                  <c:v>9.5087520461425209E-3</c:v>
                </c:pt>
                <c:pt idx="885">
                  <c:v>-4.5526353547298845E-3</c:v>
                </c:pt>
                <c:pt idx="886">
                  <c:v>1.356253667407833E-2</c:v>
                </c:pt>
                <c:pt idx="887">
                  <c:v>1.4625895800163019E-2</c:v>
                </c:pt>
                <c:pt idx="888">
                  <c:v>-3.0683085396301289E-4</c:v>
                </c:pt>
                <c:pt idx="889">
                  <c:v>1.5340139792068227E-3</c:v>
                </c:pt>
                <c:pt idx="890">
                  <c:v>-7.9644717326154395E-3</c:v>
                </c:pt>
                <c:pt idx="891">
                  <c:v>2.9335878306342542E-3</c:v>
                </c:pt>
                <c:pt idx="892">
                  <c:v>1.3084854215159638E-2</c:v>
                </c:pt>
                <c:pt idx="893">
                  <c:v>3.9508608802358075E-3</c:v>
                </c:pt>
                <c:pt idx="894">
                  <c:v>1.4832680754396107E-2</c:v>
                </c:pt>
                <c:pt idx="895">
                  <c:v>-3.2810922380406087E-3</c:v>
                </c:pt>
                <c:pt idx="896">
                  <c:v>1.2718662181452681E-2</c:v>
                </c:pt>
                <c:pt idx="897">
                  <c:v>-1.3888807128347141E-2</c:v>
                </c:pt>
                <c:pt idx="898">
                  <c:v>1.8279907467718799E-2</c:v>
                </c:pt>
                <c:pt idx="899">
                  <c:v>2.0159042713972709E-2</c:v>
                </c:pt>
                <c:pt idx="900">
                  <c:v>-1.7741425699741124E-2</c:v>
                </c:pt>
                <c:pt idx="901">
                  <c:v>-7.3399781216422391E-4</c:v>
                </c:pt>
                <c:pt idx="902">
                  <c:v>6.0247721506851929E-3</c:v>
                </c:pt>
                <c:pt idx="903">
                  <c:v>3.9441188911035702E-3</c:v>
                </c:pt>
                <c:pt idx="904">
                  <c:v>-7.2761741699947516E-4</c:v>
                </c:pt>
                <c:pt idx="905">
                  <c:v>-7.4256862868853678E-3</c:v>
                </c:pt>
                <c:pt idx="906">
                  <c:v>4.2539373730354421E-3</c:v>
                </c:pt>
                <c:pt idx="907">
                  <c:v>1.7528899988208536E-3</c:v>
                </c:pt>
                <c:pt idx="908">
                  <c:v>1.0209623188569619E-3</c:v>
                </c:pt>
                <c:pt idx="909">
                  <c:v>7.7200371939776359E-3</c:v>
                </c:pt>
                <c:pt idx="910">
                  <c:v>-2.8909623763683596E-3</c:v>
                </c:pt>
                <c:pt idx="911">
                  <c:v>5.7988040594743077E-3</c:v>
                </c:pt>
                <c:pt idx="912">
                  <c:v>2.7384913076672884E-3</c:v>
                </c:pt>
                <c:pt idx="913">
                  <c:v>-3.449615546200417E-3</c:v>
                </c:pt>
                <c:pt idx="914">
                  <c:v>6.6348608331963802E-3</c:v>
                </c:pt>
                <c:pt idx="915">
                  <c:v>1.5045034285794753E-2</c:v>
                </c:pt>
                <c:pt idx="916">
                  <c:v>9.3167663437387985E-3</c:v>
                </c:pt>
                <c:pt idx="917">
                  <c:v>3.496586495741708E-3</c:v>
                </c:pt>
                <c:pt idx="918">
                  <c:v>4.1812835752077721E-3</c:v>
                </c:pt>
                <c:pt idx="919">
                  <c:v>5.8290907538570179E-3</c:v>
                </c:pt>
                <c:pt idx="920">
                  <c:v>7.4514261989503958E-3</c:v>
                </c:pt>
                <c:pt idx="921">
                  <c:v>-6.163466934598457E-3</c:v>
                </c:pt>
                <c:pt idx="922">
                  <c:v>-1.9156573119124869E-2</c:v>
                </c:pt>
                <c:pt idx="923">
                  <c:v>-4.2153588193956132E-4</c:v>
                </c:pt>
                <c:pt idx="924">
                  <c:v>9.9803323506780905E-3</c:v>
                </c:pt>
                <c:pt idx="925">
                  <c:v>-4.1753530734626922E-3</c:v>
                </c:pt>
                <c:pt idx="926">
                  <c:v>-6.5687653387289388E-3</c:v>
                </c:pt>
                <c:pt idx="927">
                  <c:v>2.1103479355586473E-3</c:v>
                </c:pt>
                <c:pt idx="928">
                  <c:v>9.3997698887646544E-3</c:v>
                </c:pt>
                <c:pt idx="929">
                  <c:v>9.6625569186742453E-3</c:v>
                </c:pt>
                <c:pt idx="930">
                  <c:v>-4.1607539893015943E-3</c:v>
                </c:pt>
                <c:pt idx="931">
                  <c:v>-6.9650333062885568E-4</c:v>
                </c:pt>
                <c:pt idx="932">
                  <c:v>-1.5749034622550166E-2</c:v>
                </c:pt>
                <c:pt idx="933">
                  <c:v>1.4443550411503352E-2</c:v>
                </c:pt>
                <c:pt idx="934">
                  <c:v>1.2561524793029198E-3</c:v>
                </c:pt>
                <c:pt idx="935">
                  <c:v>-5.576471907018537E-3</c:v>
                </c:pt>
                <c:pt idx="936">
                  <c:v>1.6822231440928243E-3</c:v>
                </c:pt>
                <c:pt idx="937">
                  <c:v>-6.9980455759009557E-4</c:v>
                </c:pt>
                <c:pt idx="938">
                  <c:v>5.4622537538308097E-3</c:v>
                </c:pt>
                <c:pt idx="939">
                  <c:v>9.7517450012323751E-4</c:v>
                </c:pt>
                <c:pt idx="940">
                  <c:v>-2.0876553117649042E-3</c:v>
                </c:pt>
                <c:pt idx="941">
                  <c:v>-9.7614116275449477E-3</c:v>
                </c:pt>
                <c:pt idx="942">
                  <c:v>-6.9004232645955904E-3</c:v>
                </c:pt>
                <c:pt idx="943">
                  <c:v>-4.9631213987919335E-3</c:v>
                </c:pt>
                <c:pt idx="944">
                  <c:v>-1.6531329505740898E-2</c:v>
                </c:pt>
                <c:pt idx="945">
                  <c:v>2.4635538639504041E-3</c:v>
                </c:pt>
                <c:pt idx="946">
                  <c:v>5.6374232746327036E-3</c:v>
                </c:pt>
                <c:pt idx="947">
                  <c:v>-4.5997558324246332E-3</c:v>
                </c:pt>
                <c:pt idx="948">
                  <c:v>4.6210113563627635E-3</c:v>
                </c:pt>
                <c:pt idx="949">
                  <c:v>1.1067966952287652E-2</c:v>
                </c:pt>
                <c:pt idx="950">
                  <c:v>0</c:v>
                </c:pt>
                <c:pt idx="951">
                  <c:v>3.2696971943796905E-3</c:v>
                </c:pt>
                <c:pt idx="952">
                  <c:v>-9.4940697810035612E-3</c:v>
                </c:pt>
                <c:pt idx="953">
                  <c:v>7.7254366631147519E-3</c:v>
                </c:pt>
                <c:pt idx="954">
                  <c:v>-1.405453443385675E-2</c:v>
                </c:pt>
                <c:pt idx="955">
                  <c:v>0</c:v>
                </c:pt>
                <c:pt idx="956">
                  <c:v>-2.073438146863325E-2</c:v>
                </c:pt>
                <c:pt idx="957">
                  <c:v>-1.0439438063313886E-2</c:v>
                </c:pt>
                <c:pt idx="958">
                  <c:v>-5.6464986346184262E-3</c:v>
                </c:pt>
                <c:pt idx="959">
                  <c:v>-3.7358809068814671E-3</c:v>
                </c:pt>
                <c:pt idx="960">
                  <c:v>-1.6649262539429454E-2</c:v>
                </c:pt>
                <c:pt idx="961">
                  <c:v>5.4913155068571293E-3</c:v>
                </c:pt>
                <c:pt idx="962">
                  <c:v>-9.2536994658540973E-3</c:v>
                </c:pt>
                <c:pt idx="963">
                  <c:v>-4.5933904569102121E-3</c:v>
                </c:pt>
                <c:pt idx="964">
                  <c:v>1.5381956856868231E-3</c:v>
                </c:pt>
                <c:pt idx="965">
                  <c:v>3.9932515956345111E-3</c:v>
                </c:pt>
                <c:pt idx="966">
                  <c:v>-2.5546904878618042E-2</c:v>
                </c:pt>
                <c:pt idx="967">
                  <c:v>-6.2803097938190133E-4</c:v>
                </c:pt>
                <c:pt idx="968">
                  <c:v>4.0842694554921377E-3</c:v>
                </c:pt>
                <c:pt idx="969">
                  <c:v>-8.7609339110985059E-3</c:v>
                </c:pt>
                <c:pt idx="970">
                  <c:v>-2.525292110439547E-3</c:v>
                </c:pt>
                <c:pt idx="971">
                  <c:v>-3.1645597359411014E-3</c:v>
                </c:pt>
                <c:pt idx="972">
                  <c:v>-7.1428791263579757E-3</c:v>
                </c:pt>
                <c:pt idx="973">
                  <c:v>-1.2949515948602691E-2</c:v>
                </c:pt>
                <c:pt idx="974">
                  <c:v>1.9435848305385994E-3</c:v>
                </c:pt>
                <c:pt idx="975">
                  <c:v>1.1800789576521009E-2</c:v>
                </c:pt>
                <c:pt idx="976">
                  <c:v>6.3908028478483368E-3</c:v>
                </c:pt>
                <c:pt idx="977">
                  <c:v>1.2224201470187943E-2</c:v>
                </c:pt>
                <c:pt idx="978">
                  <c:v>2.5093875509331859E-3</c:v>
                </c:pt>
                <c:pt idx="979">
                  <c:v>7.1965079581056725E-3</c:v>
                </c:pt>
                <c:pt idx="980">
                  <c:v>2.640662951886196E-3</c:v>
                </c:pt>
                <c:pt idx="981">
                  <c:v>-1.8591602723298066E-3</c:v>
                </c:pt>
                <c:pt idx="982">
                  <c:v>2.111234987098815E-3</c:v>
                </c:pt>
                <c:pt idx="983">
                  <c:v>-6.7103889129164086E-3</c:v>
                </c:pt>
                <c:pt idx="984">
                  <c:v>-2.0424133647946544E-3</c:v>
                </c:pt>
                <c:pt idx="985">
                  <c:v>-2.062346843227748E-2</c:v>
                </c:pt>
                <c:pt idx="986">
                  <c:v>1.1412995205303788E-2</c:v>
                </c:pt>
                <c:pt idx="987">
                  <c:v>-6.1983909537079987E-3</c:v>
                </c:pt>
                <c:pt idx="988">
                  <c:v>1.119512496741567E-3</c:v>
                </c:pt>
                <c:pt idx="989">
                  <c:v>4.9520280322364087E-3</c:v>
                </c:pt>
                <c:pt idx="990">
                  <c:v>-4.2918136105610516E-3</c:v>
                </c:pt>
                <c:pt idx="991">
                  <c:v>1.9157098451742911E-2</c:v>
                </c:pt>
                <c:pt idx="992">
                  <c:v>-1.127815224182923E-2</c:v>
                </c:pt>
                <c:pt idx="993">
                  <c:v>-9.0304195225299859E-3</c:v>
                </c:pt>
                <c:pt idx="994">
                  <c:v>1.3589077755836862E-2</c:v>
                </c:pt>
                <c:pt idx="995">
                  <c:v>-8.6751196554886445E-3</c:v>
                </c:pt>
                <c:pt idx="996">
                  <c:v>-6.3643216075686248E-3</c:v>
                </c:pt>
                <c:pt idx="997">
                  <c:v>1.6013342943187281E-3</c:v>
                </c:pt>
                <c:pt idx="998">
                  <c:v>-2.7178657796981423E-3</c:v>
                </c:pt>
                <c:pt idx="999">
                  <c:v>7.3741265928447203E-3</c:v>
                </c:pt>
                <c:pt idx="1000">
                  <c:v>-4.2965943786792988E-3</c:v>
                </c:pt>
                <c:pt idx="1001">
                  <c:v>-1.9178655680170821E-3</c:v>
                </c:pt>
                <c:pt idx="1002">
                  <c:v>-6.7253650685632146E-3</c:v>
                </c:pt>
                <c:pt idx="1003">
                  <c:v>3.7078672884238062E-3</c:v>
                </c:pt>
                <c:pt idx="1004">
                  <c:v>-6.7458889942493185E-3</c:v>
                </c:pt>
                <c:pt idx="1005">
                  <c:v>-1.4553789834319505E-3</c:v>
                </c:pt>
                <c:pt idx="1006">
                  <c:v>-1.5222695053142346E-2</c:v>
                </c:pt>
                <c:pt idx="1007">
                  <c:v>4.9340799810538183E-4</c:v>
                </c:pt>
                <c:pt idx="1008">
                  <c:v>1.4299709723535748E-2</c:v>
                </c:pt>
                <c:pt idx="1009">
                  <c:v>-1.0371016013112267E-2</c:v>
                </c:pt>
                <c:pt idx="1010">
                  <c:v>9.4972794177983714E-3</c:v>
                </c:pt>
                <c:pt idx="1011">
                  <c:v>6.3260150920816773E-3</c:v>
                </c:pt>
                <c:pt idx="1012">
                  <c:v>-4.3520618028100788E-3</c:v>
                </c:pt>
                <c:pt idx="1013">
                  <c:v>7.7707542615554279E-3</c:v>
                </c:pt>
                <c:pt idx="1014">
                  <c:v>7.3896529717216971E-3</c:v>
                </c:pt>
                <c:pt idx="1015">
                  <c:v>-4.6245778417062094E-3</c:v>
                </c:pt>
                <c:pt idx="1016">
                  <c:v>-1.0253050518937065E-2</c:v>
                </c:pt>
                <c:pt idx="1017">
                  <c:v>-4.0466244777243787E-3</c:v>
                </c:pt>
                <c:pt idx="1018">
                  <c:v>6.338416431795499E-3</c:v>
                </c:pt>
                <c:pt idx="1019">
                  <c:v>3.149215264874889E-2</c:v>
                </c:pt>
                <c:pt idx="1020">
                  <c:v>-2.3641736017534647E-2</c:v>
                </c:pt>
                <c:pt idx="1021">
                  <c:v>7.5368941096527432E-3</c:v>
                </c:pt>
                <c:pt idx="1022">
                  <c:v>1.9417509105071756E-2</c:v>
                </c:pt>
                <c:pt idx="1023">
                  <c:v>-8.8994214903896883E-3</c:v>
                </c:pt>
                <c:pt idx="1024">
                  <c:v>-2.047759441841521E-3</c:v>
                </c:pt>
                <c:pt idx="1025">
                  <c:v>-1.0734051672727252E-2</c:v>
                </c:pt>
                <c:pt idx="1026">
                  <c:v>7.1805199702876113E-3</c:v>
                </c:pt>
                <c:pt idx="1027">
                  <c:v>3.8023081015617645E-3</c:v>
                </c:pt>
                <c:pt idx="1028">
                  <c:v>7.5756866709593522E-3</c:v>
                </c:pt>
                <c:pt idx="1029">
                  <c:v>1.1121591552291516E-2</c:v>
                </c:pt>
                <c:pt idx="1030">
                  <c:v>4.7250181395441487E-2</c:v>
                </c:pt>
                <c:pt idx="1031">
                  <c:v>1.6420059800994001E-2</c:v>
                </c:pt>
                <c:pt idx="1032">
                  <c:v>1.1497661258185287E-2</c:v>
                </c:pt>
                <c:pt idx="1033">
                  <c:v>-9.0646425372319667E-3</c:v>
                </c:pt>
                <c:pt idx="1034">
                  <c:v>2.6134099005982589E-3</c:v>
                </c:pt>
                <c:pt idx="1035">
                  <c:v>1.4772009996868025E-2</c:v>
                </c:pt>
                <c:pt idx="1036">
                  <c:v>-4.2820234825291937E-4</c:v>
                </c:pt>
                <c:pt idx="1037">
                  <c:v>1.8703637331735242E-2</c:v>
                </c:pt>
                <c:pt idx="1038">
                  <c:v>-1.0651718740023042E-2</c:v>
                </c:pt>
                <c:pt idx="1039">
                  <c:v>1.2749660072858399E-2</c:v>
                </c:pt>
                <c:pt idx="1040">
                  <c:v>-9.6516031327414029E-3</c:v>
                </c:pt>
                <c:pt idx="1041">
                  <c:v>9.8857804624580877E-4</c:v>
                </c:pt>
                <c:pt idx="1042">
                  <c:v>4.797587640647567E-3</c:v>
                </c:pt>
                <c:pt idx="1043">
                  <c:v>1.5587532356602892E-2</c:v>
                </c:pt>
                <c:pt idx="1044">
                  <c:v>-2.9452374293713255E-2</c:v>
                </c:pt>
                <c:pt idx="1045">
                  <c:v>-1.5670927531132078E-3</c:v>
                </c:pt>
                <c:pt idx="1046">
                  <c:v>5.4224874356791353E-3</c:v>
                </c:pt>
                <c:pt idx="1047">
                  <c:v>1.376653025916662E-2</c:v>
                </c:pt>
                <c:pt idx="1048">
                  <c:v>2.7995973242244781E-4</c:v>
                </c:pt>
                <c:pt idx="1049">
                  <c:v>-5.7382278056319642E-3</c:v>
                </c:pt>
                <c:pt idx="1050">
                  <c:v>-1.548430694768275E-2</c:v>
                </c:pt>
                <c:pt idx="1051">
                  <c:v>-4.575233276254395E-3</c:v>
                </c:pt>
                <c:pt idx="1052">
                  <c:v>7.2351079523664587E-4</c:v>
                </c:pt>
                <c:pt idx="1053">
                  <c:v>1.3880845357857014E-2</c:v>
                </c:pt>
                <c:pt idx="1054">
                  <c:v>-1.055345657671204E-2</c:v>
                </c:pt>
                <c:pt idx="1055">
                  <c:v>-1.4412781153186414E-3</c:v>
                </c:pt>
                <c:pt idx="1056">
                  <c:v>6.2066099174531968E-3</c:v>
                </c:pt>
                <c:pt idx="1057">
                  <c:v>-1.4919006124368916E-2</c:v>
                </c:pt>
                <c:pt idx="1058">
                  <c:v>4.077531226971568E-3</c:v>
                </c:pt>
                <c:pt idx="1059">
                  <c:v>-2.0303731612148945E-3</c:v>
                </c:pt>
                <c:pt idx="1060">
                  <c:v>1.7584663636043926E-2</c:v>
                </c:pt>
                <c:pt idx="1061">
                  <c:v>1.0282685606801071E-2</c:v>
                </c:pt>
                <c:pt idx="1062">
                  <c:v>-5.2302607613389489E-3</c:v>
                </c:pt>
                <c:pt idx="1063">
                  <c:v>1.7763236474782815E-2</c:v>
                </c:pt>
                <c:pt idx="1064">
                  <c:v>3.490663965350283E-3</c:v>
                </c:pt>
                <c:pt idx="1065">
                  <c:v>-7.5135806521989361E-3</c:v>
                </c:pt>
                <c:pt idx="1066">
                  <c:v>2.5935756774561551E-2</c:v>
                </c:pt>
                <c:pt idx="1067">
                  <c:v>-4.4411176421891414E-2</c:v>
                </c:pt>
                <c:pt idx="1068">
                  <c:v>-2.2307772242099792E-2</c:v>
                </c:pt>
                <c:pt idx="1069">
                  <c:v>7.3122756823620048E-4</c:v>
                </c:pt>
                <c:pt idx="1070">
                  <c:v>2.2361812137531023E-2</c:v>
                </c:pt>
                <c:pt idx="1071">
                  <c:v>1.1579723162055021E-2</c:v>
                </c:pt>
                <c:pt idx="1072">
                  <c:v>9.468620752158121E-3</c:v>
                </c:pt>
                <c:pt idx="1073">
                  <c:v>1.4279670211879814E-2</c:v>
                </c:pt>
                <c:pt idx="1074">
                  <c:v>-8.1434802223310926E-3</c:v>
                </c:pt>
                <c:pt idx="1075">
                  <c:v>-2.5048755341829311E-3</c:v>
                </c:pt>
                <c:pt idx="1076">
                  <c:v>1.8415178814229594E-2</c:v>
                </c:pt>
                <c:pt idx="1077">
                  <c:v>-3.1508217182833987E-3</c:v>
                </c:pt>
                <c:pt idx="1078">
                  <c:v>1.5528540939665172E-2</c:v>
                </c:pt>
                <c:pt idx="1079">
                  <c:v>-8.1190605637206266E-3</c:v>
                </c:pt>
                <c:pt idx="1080">
                  <c:v>-1.0641292085172631E-2</c:v>
                </c:pt>
                <c:pt idx="1081">
                  <c:v>-8.41139421103353E-3</c:v>
                </c:pt>
                <c:pt idx="1082">
                  <c:v>-1.6687920064532831E-3</c:v>
                </c:pt>
                <c:pt idx="1083">
                  <c:v>7.8004241783387026E-3</c:v>
                </c:pt>
                <c:pt idx="1084">
                  <c:v>2.7644415993940629E-3</c:v>
                </c:pt>
                <c:pt idx="1085">
                  <c:v>-1.7367367507218828E-2</c:v>
                </c:pt>
                <c:pt idx="1086">
                  <c:v>5.0499162229912156E-3</c:v>
                </c:pt>
                <c:pt idx="1087">
                  <c:v>6.9775340162985379E-4</c:v>
                </c:pt>
                <c:pt idx="1088">
                  <c:v>2.7892850132668298E-4</c:v>
                </c:pt>
                <c:pt idx="1089">
                  <c:v>9.4812506862566575E-3</c:v>
                </c:pt>
                <c:pt idx="1090">
                  <c:v>-1.6988949547385064E-2</c:v>
                </c:pt>
                <c:pt idx="1091">
                  <c:v>-9.133068410149655E-3</c:v>
                </c:pt>
                <c:pt idx="1092">
                  <c:v>-1.4038489200639308E-2</c:v>
                </c:pt>
                <c:pt idx="1093">
                  <c:v>-8.1979539093019176E-3</c:v>
                </c:pt>
                <c:pt idx="1094">
                  <c:v>2.9003384595028764E-3</c:v>
                </c:pt>
                <c:pt idx="1095">
                  <c:v>3.5425044731553716E-2</c:v>
                </c:pt>
                <c:pt idx="1096">
                  <c:v>5.4461050206864531E-3</c:v>
                </c:pt>
                <c:pt idx="1097">
                  <c:v>-9.7212796396524176E-4</c:v>
                </c:pt>
                <c:pt idx="1098">
                  <c:v>-3.3365476460434722E-3</c:v>
                </c:pt>
                <c:pt idx="1099">
                  <c:v>2.2317391371030081E-3</c:v>
                </c:pt>
                <c:pt idx="1100">
                  <c:v>-9.8817782860235459E-3</c:v>
                </c:pt>
                <c:pt idx="1101">
                  <c:v>8.8559055975066161E-3</c:v>
                </c:pt>
                <c:pt idx="1102">
                  <c:v>1.3927390494724914E-4</c:v>
                </c:pt>
                <c:pt idx="1103">
                  <c:v>-8.7768359572087118E-3</c:v>
                </c:pt>
                <c:pt idx="1104">
                  <c:v>4.7786586924092184E-3</c:v>
                </c:pt>
                <c:pt idx="1105">
                  <c:v>8.532582336665092E-3</c:v>
                </c:pt>
                <c:pt idx="1106">
                  <c:v>-1.3869054068860194E-3</c:v>
                </c:pt>
                <c:pt idx="1107">
                  <c:v>-1.1666618477188874E-2</c:v>
                </c:pt>
                <c:pt idx="1108">
                  <c:v>2.9511385725778448E-3</c:v>
                </c:pt>
                <c:pt idx="1109">
                  <c:v>-6.4453463622599575E-3</c:v>
                </c:pt>
                <c:pt idx="1110">
                  <c:v>6.2050123683515795E-3</c:v>
                </c:pt>
                <c:pt idx="1111">
                  <c:v>5.8865601247513931E-3</c:v>
                </c:pt>
                <c:pt idx="1112">
                  <c:v>8.0812542647189355E-3</c:v>
                </c:pt>
                <c:pt idx="1113">
                  <c:v>-3.870024258373577E-3</c:v>
                </c:pt>
                <c:pt idx="1114">
                  <c:v>2.3587745537101256E-3</c:v>
                </c:pt>
                <c:pt idx="1115">
                  <c:v>-9.8982618976331069E-3</c:v>
                </c:pt>
                <c:pt idx="1116">
                  <c:v>-7.0402061252192796E-3</c:v>
                </c:pt>
                <c:pt idx="1117">
                  <c:v>-1.2762175769331318E-2</c:v>
                </c:pt>
                <c:pt idx="1118">
                  <c:v>-5.8891617916517983E-3</c:v>
                </c:pt>
                <c:pt idx="1119">
                  <c:v>-5.3461752804518162E-3</c:v>
                </c:pt>
                <c:pt idx="1120">
                  <c:v>1.3073854326912885E-2</c:v>
                </c:pt>
                <c:pt idx="1121">
                  <c:v>6.7392530294887489E-3</c:v>
                </c:pt>
                <c:pt idx="1122">
                  <c:v>-8.2608248827740708E-3</c:v>
                </c:pt>
                <c:pt idx="1123">
                  <c:v>-2.2978877267192037E-3</c:v>
                </c:pt>
                <c:pt idx="1124">
                  <c:v>1.2379356631853087E-2</c:v>
                </c:pt>
                <c:pt idx="1125">
                  <c:v>5.9718231221946244E-3</c:v>
                </c:pt>
                <c:pt idx="1126">
                  <c:v>1.3003664246231755E-2</c:v>
                </c:pt>
                <c:pt idx="1127">
                  <c:v>-1.0604150425177986E-2</c:v>
                </c:pt>
                <c:pt idx="1128">
                  <c:v>6.2049867423580839E-3</c:v>
                </c:pt>
                <c:pt idx="1129">
                  <c:v>-4.7651501251227048E-3</c:v>
                </c:pt>
                <c:pt idx="1130">
                  <c:v>-1.0843679947686202E-2</c:v>
                </c:pt>
                <c:pt idx="1131">
                  <c:v>-1.0819928746703376E-2</c:v>
                </c:pt>
                <c:pt idx="1132">
                  <c:v>4.1736972057733294E-3</c:v>
                </c:pt>
                <c:pt idx="1133">
                  <c:v>1.43342305820464E-3</c:v>
                </c:pt>
                <c:pt idx="1134">
                  <c:v>-5.7249311683039124E-3</c:v>
                </c:pt>
                <c:pt idx="1135">
                  <c:v>-1.5834851271763239E-3</c:v>
                </c:pt>
                <c:pt idx="1136">
                  <c:v>-1.2975726406268151E-3</c:v>
                </c:pt>
                <c:pt idx="1137">
                  <c:v>1.9055903433964589E-2</c:v>
                </c:pt>
                <c:pt idx="1138">
                  <c:v>-1.0483101832963521E-2</c:v>
                </c:pt>
                <c:pt idx="1139">
                  <c:v>3.1496305609811899E-3</c:v>
                </c:pt>
                <c:pt idx="1140">
                  <c:v>-5.8512310312570379E-3</c:v>
                </c:pt>
                <c:pt idx="1141">
                  <c:v>-7.1776537942049726E-3</c:v>
                </c:pt>
                <c:pt idx="1142">
                  <c:v>-8.6777375732218713E-4</c:v>
                </c:pt>
                <c:pt idx="1143">
                  <c:v>1.0131699772739811E-3</c:v>
                </c:pt>
                <c:pt idx="1144">
                  <c:v>-1.5613753211569124E-2</c:v>
                </c:pt>
                <c:pt idx="1145">
                  <c:v>1.8945436460787533E-2</c:v>
                </c:pt>
                <c:pt idx="1146">
                  <c:v>-9.0802789094255685E-3</c:v>
                </c:pt>
                <c:pt idx="1147">
                  <c:v>-1.2509226941373812E-2</c:v>
                </c:pt>
                <c:pt idx="1148">
                  <c:v>1.428791355158306E-2</c:v>
                </c:pt>
                <c:pt idx="1149">
                  <c:v>1.4521410141799934E-3</c:v>
                </c:pt>
                <c:pt idx="1150">
                  <c:v>1.3052114490834713E-3</c:v>
                </c:pt>
                <c:pt idx="1151">
                  <c:v>6.6617371127570329E-3</c:v>
                </c:pt>
                <c:pt idx="1152">
                  <c:v>1.3235638243782788E-2</c:v>
                </c:pt>
                <c:pt idx="1153">
                  <c:v>-1.2780791021804203E-3</c:v>
                </c:pt>
                <c:pt idx="1154">
                  <c:v>5.8288818846566814E-3</c:v>
                </c:pt>
                <c:pt idx="1155">
                  <c:v>-5.6529582611170785E-4</c:v>
                </c:pt>
                <c:pt idx="1156">
                  <c:v>-3.535589985428916E-3</c:v>
                </c:pt>
                <c:pt idx="1157">
                  <c:v>-1.2915003867656464E-2</c:v>
                </c:pt>
                <c:pt idx="1158">
                  <c:v>5.3197060993168139E-3</c:v>
                </c:pt>
                <c:pt idx="1159">
                  <c:v>-1.1298508564979345E-2</c:v>
                </c:pt>
                <c:pt idx="1160">
                  <c:v>1.4465478253233691E-2</c:v>
                </c:pt>
                <c:pt idx="1161">
                  <c:v>8.1277298270851766E-3</c:v>
                </c:pt>
                <c:pt idx="1162">
                  <c:v>-5.6569558875643516E-4</c:v>
                </c:pt>
                <c:pt idx="1163">
                  <c:v>-7.5007499763894356E-3</c:v>
                </c:pt>
                <c:pt idx="1164">
                  <c:v>-1.7111010162283329E-2</c:v>
                </c:pt>
                <c:pt idx="1165">
                  <c:v>-2.9014448820383152E-3</c:v>
                </c:pt>
                <c:pt idx="1166">
                  <c:v>1.4548875593594513E-3</c:v>
                </c:pt>
                <c:pt idx="1167">
                  <c:v>-6.8283524423269426E-3</c:v>
                </c:pt>
                <c:pt idx="1168">
                  <c:v>9.2157642184988366E-3</c:v>
                </c:pt>
                <c:pt idx="1169">
                  <c:v>1.0146731477674424E-3</c:v>
                </c:pt>
                <c:pt idx="1170">
                  <c:v>-1.0136446297802258E-3</c:v>
                </c:pt>
                <c:pt idx="1171">
                  <c:v>-1.0726111864964171E-2</c:v>
                </c:pt>
                <c:pt idx="1172">
                  <c:v>-4.2490290858513717E-3</c:v>
                </c:pt>
                <c:pt idx="1173">
                  <c:v>-7.79886270572733E-3</c:v>
                </c:pt>
                <c:pt idx="1174">
                  <c:v>6.3769964280234129E-3</c:v>
                </c:pt>
                <c:pt idx="1175">
                  <c:v>-5.8937045401198207E-4</c:v>
                </c:pt>
                <c:pt idx="1176">
                  <c:v>-2.9489325430400808E-3</c:v>
                </c:pt>
                <c:pt idx="1177">
                  <c:v>-9.0211151775888617E-3</c:v>
                </c:pt>
                <c:pt idx="1178">
                  <c:v>-4.3608145717403167E-3</c:v>
                </c:pt>
                <c:pt idx="1179">
                  <c:v>4.5301858443760499E-4</c:v>
                </c:pt>
                <c:pt idx="1180">
                  <c:v>1.2077383777494588E-2</c:v>
                </c:pt>
                <c:pt idx="1181">
                  <c:v>-8.6516057764022339E-3</c:v>
                </c:pt>
                <c:pt idx="1182">
                  <c:v>-4.5143010861908731E-4</c:v>
                </c:pt>
                <c:pt idx="1183">
                  <c:v>-3.3116741777078733E-3</c:v>
                </c:pt>
                <c:pt idx="1184">
                  <c:v>7.5517408956490917E-3</c:v>
                </c:pt>
                <c:pt idx="1185">
                  <c:v>-3.8975785190705297E-3</c:v>
                </c:pt>
                <c:pt idx="1186">
                  <c:v>-7.0728530573232152E-3</c:v>
                </c:pt>
                <c:pt idx="1187">
                  <c:v>-4.6985192503058368E-3</c:v>
                </c:pt>
                <c:pt idx="1188">
                  <c:v>5.6343040776319084E-3</c:v>
                </c:pt>
                <c:pt idx="1189">
                  <c:v>4.239833282552099E-3</c:v>
                </c:pt>
                <c:pt idx="1190">
                  <c:v>6.9361155181287791E-3</c:v>
                </c:pt>
                <c:pt idx="1191">
                  <c:v>-1.0182769366279857E-2</c:v>
                </c:pt>
                <c:pt idx="1192">
                  <c:v>8.3207511422769866E-3</c:v>
                </c:pt>
                <c:pt idx="1193">
                  <c:v>-8.2520875751598052E-3</c:v>
                </c:pt>
                <c:pt idx="1194">
                  <c:v>1.0438743617372308E-2</c:v>
                </c:pt>
                <c:pt idx="1195">
                  <c:v>-1.0031358852552611E-2</c:v>
                </c:pt>
                <c:pt idx="1196">
                  <c:v>3.7809518298449062E-3</c:v>
                </c:pt>
                <c:pt idx="1197">
                  <c:v>1.0094954340259671E-2</c:v>
                </c:pt>
                <c:pt idx="1198">
                  <c:v>-3.5799669003764591E-3</c:v>
                </c:pt>
                <c:pt idx="1199">
                  <c:v>1.0628738193308746E-2</c:v>
                </c:pt>
                <c:pt idx="1200">
                  <c:v>-6.3694434236759969E-3</c:v>
                </c:pt>
                <c:pt idx="1201">
                  <c:v>7.6028077015369757E-3</c:v>
                </c:pt>
                <c:pt idx="1202">
                  <c:v>1.2575924722915048E-2</c:v>
                </c:pt>
                <c:pt idx="1203">
                  <c:v>0</c:v>
                </c:pt>
                <c:pt idx="1204">
                  <c:v>4.061944319712555E-2</c:v>
                </c:pt>
                <c:pt idx="1205">
                  <c:v>-5.7568427840924107E-3</c:v>
                </c:pt>
                <c:pt idx="1206">
                  <c:v>-1.2286261783655897E-2</c:v>
                </c:pt>
                <c:pt idx="1207">
                  <c:v>-3.2886104140753777E-3</c:v>
                </c:pt>
                <c:pt idx="1208">
                  <c:v>5.0207752416432704E-3</c:v>
                </c:pt>
                <c:pt idx="1209">
                  <c:v>1.4274818494209925E-3</c:v>
                </c:pt>
                <c:pt idx="1210">
                  <c:v>-2.5798324812261932E-2</c:v>
                </c:pt>
                <c:pt idx="1211">
                  <c:v>9.2173306048535988E-3</c:v>
                </c:pt>
                <c:pt idx="1212">
                  <c:v>-1.1597983356509624E-3</c:v>
                </c:pt>
                <c:pt idx="1213">
                  <c:v>-1.3497739486023203E-2</c:v>
                </c:pt>
                <c:pt idx="1214">
                  <c:v>1.0151550397848482E-2</c:v>
                </c:pt>
                <c:pt idx="1215">
                  <c:v>-2.1847149402427521E-3</c:v>
                </c:pt>
                <c:pt idx="1216">
                  <c:v>8.0279364022709486E-3</c:v>
                </c:pt>
                <c:pt idx="1217">
                  <c:v>2.1575540926565911E-2</c:v>
                </c:pt>
                <c:pt idx="1218">
                  <c:v>-4.2536819232465151E-4</c:v>
                </c:pt>
                <c:pt idx="1219">
                  <c:v>1.5456718562388274E-2</c:v>
                </c:pt>
                <c:pt idx="1220">
                  <c:v>-1.3964766216759178E-3</c:v>
                </c:pt>
                <c:pt idx="1221">
                  <c:v>-6.1529393664355421E-3</c:v>
                </c:pt>
                <c:pt idx="1222">
                  <c:v>1.266335254529775E-3</c:v>
                </c:pt>
                <c:pt idx="1223">
                  <c:v>-6.7453902379277508E-3</c:v>
                </c:pt>
                <c:pt idx="1224">
                  <c:v>7.6400451195833283E-3</c:v>
                </c:pt>
                <c:pt idx="1225">
                  <c:v>-1.5444714352071899E-3</c:v>
                </c:pt>
                <c:pt idx="1226">
                  <c:v>1.4062957666016375E-3</c:v>
                </c:pt>
                <c:pt idx="1227">
                  <c:v>2.4434708519803228E-2</c:v>
                </c:pt>
                <c:pt idx="1228">
                  <c:v>-4.9349073950521868E-3</c:v>
                </c:pt>
                <c:pt idx="1229">
                  <c:v>2.7560939417273336E-4</c:v>
                </c:pt>
                <c:pt idx="1230">
                  <c:v>3.71843189720887E-3</c:v>
                </c:pt>
                <c:pt idx="1231">
                  <c:v>3.2930981772949213E-3</c:v>
                </c:pt>
                <c:pt idx="1232">
                  <c:v>-9.0897074309528557E-3</c:v>
                </c:pt>
                <c:pt idx="1233">
                  <c:v>-1.7790115824710639E-2</c:v>
                </c:pt>
                <c:pt idx="1234">
                  <c:v>1.9810300449380112E-3</c:v>
                </c:pt>
                <c:pt idx="1235">
                  <c:v>-5.0840364745627685E-3</c:v>
                </c:pt>
                <c:pt idx="1236">
                  <c:v>-6.3874658301646776E-3</c:v>
                </c:pt>
                <c:pt idx="1237">
                  <c:v>3.5714285714285713E-3</c:v>
                </c:pt>
                <c:pt idx="1238">
                  <c:v>-2.2776322008456005E-3</c:v>
                </c:pt>
                <c:pt idx="1239">
                  <c:v>1.7121237387927989E-3</c:v>
                </c:pt>
                <c:pt idx="1240">
                  <c:v>-1.5667262333925392E-2</c:v>
                </c:pt>
                <c:pt idx="1241">
                  <c:v>2.0402199685463571E-2</c:v>
                </c:pt>
                <c:pt idx="1242">
                  <c:v>6.3812336792125361E-3</c:v>
                </c:pt>
                <c:pt idx="1243">
                  <c:v>-8.4542548090877651E-3</c:v>
                </c:pt>
                <c:pt idx="1244">
                  <c:v>4.2631151151669771E-3</c:v>
                </c:pt>
                <c:pt idx="1245">
                  <c:v>-4.3865511055017356E-3</c:v>
                </c:pt>
                <c:pt idx="1246">
                  <c:v>-4.2638295786722241E-3</c:v>
                </c:pt>
                <c:pt idx="1247">
                  <c:v>2.1410438353705991E-3</c:v>
                </c:pt>
                <c:pt idx="1248">
                  <c:v>-4.8425629158822909E-3</c:v>
                </c:pt>
                <c:pt idx="1249">
                  <c:v>3.4349199131989928E-3</c:v>
                </c:pt>
                <c:pt idx="1250">
                  <c:v>-3.423161627159763E-3</c:v>
                </c:pt>
                <c:pt idx="1251">
                  <c:v>4.1505782757606628E-3</c:v>
                </c:pt>
                <c:pt idx="1252">
                  <c:v>-1.2828386913797591E-3</c:v>
                </c:pt>
                <c:pt idx="1253">
                  <c:v>-2.2833742459216662E-3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887-4293-A767-24C1CDBFED8F}"/>
            </c:ext>
          </c:extLst>
        </c:ser>
        <c:ser>
          <c:idx val="1"/>
          <c:order val="1"/>
          <c:tx>
            <c:v>Predicted Y</c:v>
          </c:tx>
          <c:spPr>
            <a:ln w="38100">
              <a:noFill/>
            </a:ln>
          </c:spPr>
          <c:xVal>
            <c:numRef>
              <c:f>'S&amp;P^500'!$I$3:$I$1256</c:f>
              <c:numCache>
                <c:formatCode>General</c:formatCode>
                <c:ptCount val="1254"/>
                <c:pt idx="0">
                  <c:v>7.0825951370959645E-3</c:v>
                </c:pt>
                <c:pt idx="1">
                  <c:v>5.7098429747956345E-3</c:v>
                </c:pt>
                <c:pt idx="2">
                  <c:v>1.484740366919916E-2</c:v>
                </c:pt>
                <c:pt idx="3">
                  <c:v>5.4918627962682954E-3</c:v>
                </c:pt>
                <c:pt idx="4">
                  <c:v>-6.5547511022420466E-3</c:v>
                </c:pt>
                <c:pt idx="5">
                  <c:v>4.1578845079120086E-4</c:v>
                </c:pt>
                <c:pt idx="6">
                  <c:v>2.2756418737981273E-3</c:v>
                </c:pt>
                <c:pt idx="7">
                  <c:v>-3.7534512393423963E-3</c:v>
                </c:pt>
                <c:pt idx="8">
                  <c:v>-7.1900279590226658E-3</c:v>
                </c:pt>
                <c:pt idx="9">
                  <c:v>8.1363794864990589E-3</c:v>
                </c:pt>
                <c:pt idx="10">
                  <c:v>1.3935625541625061E-2</c:v>
                </c:pt>
                <c:pt idx="11">
                  <c:v>3.1672312498182348E-4</c:v>
                </c:pt>
                <c:pt idx="12">
                  <c:v>-3.010611485199704E-3</c:v>
                </c:pt>
                <c:pt idx="13">
                  <c:v>3.6158387557001116E-3</c:v>
                </c:pt>
                <c:pt idx="14">
                  <c:v>-1.4888336862692018E-3</c:v>
                </c:pt>
                <c:pt idx="15">
                  <c:v>-2.5677883530241332E-2</c:v>
                </c:pt>
                <c:pt idx="16">
                  <c:v>9.7606258994253486E-3</c:v>
                </c:pt>
                <c:pt idx="17">
                  <c:v>-1.9311475283558196E-2</c:v>
                </c:pt>
                <c:pt idx="18">
                  <c:v>1.6051767564970926E-2</c:v>
                </c:pt>
                <c:pt idx="19">
                  <c:v>1.3898223705407727E-2</c:v>
                </c:pt>
                <c:pt idx="20">
                  <c:v>1.0087690073419982E-3</c:v>
                </c:pt>
                <c:pt idx="21">
                  <c:v>1.0853322136239154E-2</c:v>
                </c:pt>
                <c:pt idx="22">
                  <c:v>3.8974951931108172E-3</c:v>
                </c:pt>
                <c:pt idx="23">
                  <c:v>7.399348420911331E-3</c:v>
                </c:pt>
                <c:pt idx="24">
                  <c:v>-1.1135251397642865E-3</c:v>
                </c:pt>
                <c:pt idx="25">
                  <c:v>-3.4518476461463539E-4</c:v>
                </c:pt>
                <c:pt idx="26">
                  <c:v>1.6624551634595573E-3</c:v>
                </c:pt>
                <c:pt idx="27">
                  <c:v>4.7110330333600819E-3</c:v>
                </c:pt>
                <c:pt idx="28">
                  <c:v>-5.6927235880502856E-4</c:v>
                </c:pt>
                <c:pt idx="29">
                  <c:v>-3.2040206881586529E-4</c:v>
                </c:pt>
                <c:pt idx="30">
                  <c:v>-4.4158355201839583E-3</c:v>
                </c:pt>
                <c:pt idx="31">
                  <c:v>-1.8548967043160705E-3</c:v>
                </c:pt>
                <c:pt idx="32">
                  <c:v>-7.7328394740282134E-3</c:v>
                </c:pt>
                <c:pt idx="33">
                  <c:v>1.2563180704243354E-3</c:v>
                </c:pt>
                <c:pt idx="34">
                  <c:v>1.135161390742476E-2</c:v>
                </c:pt>
                <c:pt idx="35">
                  <c:v>-2.4478807586572428E-2</c:v>
                </c:pt>
                <c:pt idx="36">
                  <c:v>-4.7502142880968927E-3</c:v>
                </c:pt>
                <c:pt idx="37">
                  <c:v>2.3790763504846227E-2</c:v>
                </c:pt>
                <c:pt idx="38">
                  <c:v>-8.0808516155286766E-3</c:v>
                </c:pt>
                <c:pt idx="39">
                  <c:v>-1.306622177935435E-2</c:v>
                </c:pt>
                <c:pt idx="40">
                  <c:v>-1.3417213929057419E-2</c:v>
                </c:pt>
                <c:pt idx="41">
                  <c:v>1.9495968009665243E-2</c:v>
                </c:pt>
                <c:pt idx="42">
                  <c:v>-5.3592308355140421E-3</c:v>
                </c:pt>
                <c:pt idx="43">
                  <c:v>1.4154642106283193E-2</c:v>
                </c:pt>
                <c:pt idx="44">
                  <c:v>6.0303135529870978E-3</c:v>
                </c:pt>
                <c:pt idx="45">
                  <c:v>1.0395486927207606E-2</c:v>
                </c:pt>
                <c:pt idx="46">
                  <c:v>1.0153984958508108E-3</c:v>
                </c:pt>
                <c:pt idx="47">
                  <c:v>6.4919211705587402E-3</c:v>
                </c:pt>
                <c:pt idx="48">
                  <c:v>-1.5696836164344641E-3</c:v>
                </c:pt>
                <c:pt idx="49">
                  <c:v>2.8793820673972651E-3</c:v>
                </c:pt>
                <c:pt idx="50">
                  <c:v>-1.4760539257248604E-2</c:v>
                </c:pt>
                <c:pt idx="51">
                  <c:v>-6.0270390286341435E-4</c:v>
                </c:pt>
                <c:pt idx="52">
                  <c:v>7.0251180167995881E-3</c:v>
                </c:pt>
                <c:pt idx="53">
                  <c:v>-7.6308540925305174E-3</c:v>
                </c:pt>
                <c:pt idx="54">
                  <c:v>-5.4673360296464872E-3</c:v>
                </c:pt>
                <c:pt idx="55">
                  <c:v>5.2402658584438586E-3</c:v>
                </c:pt>
                <c:pt idx="56">
                  <c:v>1.6631202466639381E-2</c:v>
                </c:pt>
                <c:pt idx="57">
                  <c:v>-8.680126420032413E-4</c:v>
                </c:pt>
                <c:pt idx="58">
                  <c:v>-3.1578329179420971E-3</c:v>
                </c:pt>
                <c:pt idx="59">
                  <c:v>3.6224991025748388E-3</c:v>
                </c:pt>
                <c:pt idx="60">
                  <c:v>1.1825201620305743E-2</c:v>
                </c:pt>
                <c:pt idx="61">
                  <c:v>1.4438226437851883E-2</c:v>
                </c:pt>
                <c:pt idx="62">
                  <c:v>-9.7353082477806021E-4</c:v>
                </c:pt>
                <c:pt idx="63">
                  <c:v>1.4752328426630493E-3</c:v>
                </c:pt>
                <c:pt idx="64">
                  <c:v>4.2206329015823723E-3</c:v>
                </c:pt>
                <c:pt idx="65">
                  <c:v>7.719934394265918E-3</c:v>
                </c:pt>
                <c:pt idx="66">
                  <c:v>-1.9607901526719291E-4</c:v>
                </c:pt>
                <c:pt idx="67">
                  <c:v>3.2944869607460926E-3</c:v>
                </c:pt>
                <c:pt idx="68">
                  <c:v>-4.087726848308393E-3</c:v>
                </c:pt>
                <c:pt idx="69">
                  <c:v>1.1094190616755416E-2</c:v>
                </c:pt>
                <c:pt idx="70">
                  <c:v>3.6088195628949035E-3</c:v>
                </c:pt>
                <c:pt idx="71">
                  <c:v>-5.3065600420238931E-3</c:v>
                </c:pt>
                <c:pt idx="72">
                  <c:v>-6.8023199588167355E-3</c:v>
                </c:pt>
                <c:pt idx="73">
                  <c:v>9.3060556015462596E-3</c:v>
                </c:pt>
                <c:pt idx="74">
                  <c:v>-9.2106576185553499E-3</c:v>
                </c:pt>
                <c:pt idx="75">
                  <c:v>1.0928696685007885E-2</c:v>
                </c:pt>
                <c:pt idx="76">
                  <c:v>1.7822708499935351E-3</c:v>
                </c:pt>
                <c:pt idx="77">
                  <c:v>-2.1489580593685712E-4</c:v>
                </c:pt>
                <c:pt idx="78">
                  <c:v>-8.4553990193023522E-4</c:v>
                </c:pt>
                <c:pt idx="79">
                  <c:v>6.7628067187513932E-3</c:v>
                </c:pt>
                <c:pt idx="80">
                  <c:v>-7.1947067064797553E-3</c:v>
                </c:pt>
                <c:pt idx="81">
                  <c:v>2.7480906574836577E-3</c:v>
                </c:pt>
                <c:pt idx="82">
                  <c:v>-6.6783376086253917E-3</c:v>
                </c:pt>
                <c:pt idx="83">
                  <c:v>7.0346388186786051E-4</c:v>
                </c:pt>
                <c:pt idx="84">
                  <c:v>8.1654563605852541E-3</c:v>
                </c:pt>
                <c:pt idx="85">
                  <c:v>7.3733417437365847E-3</c:v>
                </c:pt>
                <c:pt idx="86">
                  <c:v>-1.0435647350873364E-2</c:v>
                </c:pt>
                <c:pt idx="87">
                  <c:v>-8.6739127724210045E-3</c:v>
                </c:pt>
                <c:pt idx="88">
                  <c:v>-2.1449400760569021E-2</c:v>
                </c:pt>
                <c:pt idx="89">
                  <c:v>1.2173141422493381E-2</c:v>
                </c:pt>
                <c:pt idx="90">
                  <c:v>1.4917956960486296E-2</c:v>
                </c:pt>
                <c:pt idx="91">
                  <c:v>-2.5300522903444855E-3</c:v>
                </c:pt>
                <c:pt idx="92">
                  <c:v>-8.5172929745047903E-3</c:v>
                </c:pt>
                <c:pt idx="93">
                  <c:v>-2.9434113736307027E-3</c:v>
                </c:pt>
                <c:pt idx="94">
                  <c:v>1.0554741656874688E-2</c:v>
                </c:pt>
                <c:pt idx="95">
                  <c:v>-7.8388070271756321E-4</c:v>
                </c:pt>
                <c:pt idx="96">
                  <c:v>9.9112923336799191E-3</c:v>
                </c:pt>
                <c:pt idx="97">
                  <c:v>-2.1252838099213461E-3</c:v>
                </c:pt>
                <c:pt idx="98">
                  <c:v>1.8768164358765817E-3</c:v>
                </c:pt>
                <c:pt idx="99">
                  <c:v>1.1653146759921023E-3</c:v>
                </c:pt>
                <c:pt idx="100">
                  <c:v>7.6888177952220418E-4</c:v>
                </c:pt>
                <c:pt idx="101">
                  <c:v>-4.9233347068676351E-4</c:v>
                </c:pt>
                <c:pt idx="102">
                  <c:v>1.4469348087047004E-3</c:v>
                </c:pt>
                <c:pt idx="103">
                  <c:v>-3.6287032155552183E-3</c:v>
                </c:pt>
                <c:pt idx="104">
                  <c:v>8.8340956948755756E-3</c:v>
                </c:pt>
                <c:pt idx="105">
                  <c:v>-7.9673866007087531E-4</c:v>
                </c:pt>
                <c:pt idx="106">
                  <c:v>1.7502484230518222E-4</c:v>
                </c:pt>
                <c:pt idx="107">
                  <c:v>-1.8238673341089576E-3</c:v>
                </c:pt>
                <c:pt idx="108">
                  <c:v>4.6522429896997501E-3</c:v>
                </c:pt>
                <c:pt idx="109">
                  <c:v>1.9484345220243803E-3</c:v>
                </c:pt>
                <c:pt idx="110">
                  <c:v>1.8152018879836768E-3</c:v>
                </c:pt>
                <c:pt idx="111">
                  <c:v>-2.0116936411515465E-3</c:v>
                </c:pt>
                <c:pt idx="112">
                  <c:v>-5.3901247449975615E-3</c:v>
                </c:pt>
                <c:pt idx="113">
                  <c:v>-4.3571558468549667E-4</c:v>
                </c:pt>
                <c:pt idx="114">
                  <c:v>-1.312446878817667E-2</c:v>
                </c:pt>
                <c:pt idx="115">
                  <c:v>1.4002290023774082E-2</c:v>
                </c:pt>
                <c:pt idx="116">
                  <c:v>5.124491820929329E-3</c:v>
                </c:pt>
                <c:pt idx="117">
                  <c:v>-1.0832831887212014E-3</c:v>
                </c:pt>
                <c:pt idx="118">
                  <c:v>5.8112495772011021E-3</c:v>
                </c:pt>
                <c:pt idx="119">
                  <c:v>3.3305973342585356E-3</c:v>
                </c:pt>
                <c:pt idx="120">
                  <c:v>2.3149642695309866E-3</c:v>
                </c:pt>
                <c:pt idx="121">
                  <c:v>2.7733633166264265E-4</c:v>
                </c:pt>
                <c:pt idx="122">
                  <c:v>1.3281595738364944E-3</c:v>
                </c:pt>
                <c:pt idx="123">
                  <c:v>5.2216267597439527E-3</c:v>
                </c:pt>
                <c:pt idx="124">
                  <c:v>7.5000818165310811E-3</c:v>
                </c:pt>
                <c:pt idx="125">
                  <c:v>-2.0218561315083856E-3</c:v>
                </c:pt>
                <c:pt idx="126">
                  <c:v>3.3589753677873658E-3</c:v>
                </c:pt>
                <c:pt idx="127">
                  <c:v>-8.5610250271651797E-3</c:v>
                </c:pt>
                <c:pt idx="128">
                  <c:v>1.1277947932318016E-2</c:v>
                </c:pt>
                <c:pt idx="129">
                  <c:v>3.4511743023832998E-3</c:v>
                </c:pt>
                <c:pt idx="130">
                  <c:v>-3.5168126869238973E-3</c:v>
                </c:pt>
                <c:pt idx="131">
                  <c:v>1.1649346324467205E-3</c:v>
                </c:pt>
                <c:pt idx="132">
                  <c:v>-3.2622409610993577E-3</c:v>
                </c:pt>
                <c:pt idx="133">
                  <c:v>-7.5388542328501101E-3</c:v>
                </c:pt>
                <c:pt idx="134">
                  <c:v>-1.586951245721353E-2</c:v>
                </c:pt>
                <c:pt idx="135">
                  <c:v>1.5162609622647897E-2</c:v>
                </c:pt>
                <c:pt idx="136">
                  <c:v>8.2418198021151443E-3</c:v>
                </c:pt>
                <c:pt idx="137">
                  <c:v>2.0166699441767967E-3</c:v>
                </c:pt>
                <c:pt idx="138">
                  <c:v>1.014545211492884E-2</c:v>
                </c:pt>
                <c:pt idx="139">
                  <c:v>2.3821999476614751E-3</c:v>
                </c:pt>
                <c:pt idx="140">
                  <c:v>-4.7124448632898793E-3</c:v>
                </c:pt>
                <c:pt idx="141">
                  <c:v>-1.8626183295166954E-4</c:v>
                </c:pt>
                <c:pt idx="142">
                  <c:v>4.206152837713798E-3</c:v>
                </c:pt>
                <c:pt idx="143">
                  <c:v>-5.4060478892530633E-3</c:v>
                </c:pt>
                <c:pt idx="144">
                  <c:v>-1.8428057569328683E-3</c:v>
                </c:pt>
                <c:pt idx="145">
                  <c:v>8.2034265265606126E-3</c:v>
                </c:pt>
                <c:pt idx="146">
                  <c:v>-4.6323878805770114E-3</c:v>
                </c:pt>
                <c:pt idx="147">
                  <c:v>6.0054469486969806E-3</c:v>
                </c:pt>
                <c:pt idx="148">
                  <c:v>1.6752662698570698E-3</c:v>
                </c:pt>
                <c:pt idx="149">
                  <c:v>-9.3990830227337564E-4</c:v>
                </c:pt>
                <c:pt idx="150">
                  <c:v>9.9267925653830232E-4</c:v>
                </c:pt>
                <c:pt idx="151">
                  <c:v>1.2757437313348544E-3</c:v>
                </c:pt>
                <c:pt idx="152">
                  <c:v>4.1463803100489855E-3</c:v>
                </c:pt>
                <c:pt idx="153">
                  <c:v>1.6073066838750011E-3</c:v>
                </c:pt>
                <c:pt idx="154">
                  <c:v>2.6208507162040211E-3</c:v>
                </c:pt>
                <c:pt idx="155">
                  <c:v>-7.0606988567043106E-3</c:v>
                </c:pt>
                <c:pt idx="156">
                  <c:v>-1.07484706124034E-2</c:v>
                </c:pt>
                <c:pt idx="157">
                  <c:v>1.2566921972665031E-3</c:v>
                </c:pt>
                <c:pt idx="158">
                  <c:v>8.1415676126029499E-3</c:v>
                </c:pt>
                <c:pt idx="159">
                  <c:v>8.5237903006876517E-3</c:v>
                </c:pt>
                <c:pt idx="160">
                  <c:v>1.4957362316099321E-3</c:v>
                </c:pt>
                <c:pt idx="161">
                  <c:v>2.2201182383430923E-3</c:v>
                </c:pt>
                <c:pt idx="162">
                  <c:v>-5.8249187297845159E-3</c:v>
                </c:pt>
                <c:pt idx="163">
                  <c:v>8.8076324384788341E-3</c:v>
                </c:pt>
                <c:pt idx="164">
                  <c:v>4.3065708726787218E-3</c:v>
                </c:pt>
                <c:pt idx="165">
                  <c:v>-1.3491159774211353E-3</c:v>
                </c:pt>
                <c:pt idx="166">
                  <c:v>3.116886326565308E-4</c:v>
                </c:pt>
                <c:pt idx="167">
                  <c:v>2.8426382860314088E-3</c:v>
                </c:pt>
                <c:pt idx="168">
                  <c:v>-3.3503100864445398E-4</c:v>
                </c:pt>
                <c:pt idx="169">
                  <c:v>-3.3955744885003224E-3</c:v>
                </c:pt>
                <c:pt idx="170">
                  <c:v>-1.3185667536479667E-3</c:v>
                </c:pt>
                <c:pt idx="171">
                  <c:v>-4.6056086437710432E-3</c:v>
                </c:pt>
                <c:pt idx="172">
                  <c:v>-7.7225787532391029E-3</c:v>
                </c:pt>
                <c:pt idx="173">
                  <c:v>2.2764875414221755E-3</c:v>
                </c:pt>
                <c:pt idx="174">
                  <c:v>-5.7466383323524096E-3</c:v>
                </c:pt>
                <c:pt idx="175">
                  <c:v>8.4739968383047877E-3</c:v>
                </c:pt>
                <c:pt idx="176">
                  <c:v>-1.5511403792996573E-3</c:v>
                </c:pt>
                <c:pt idx="177">
                  <c:v>-9.1108725342274668E-3</c:v>
                </c:pt>
                <c:pt idx="178">
                  <c:v>-1.6977311030999174E-2</c:v>
                </c:pt>
                <c:pt idx="179">
                  <c:v>-8.123585023045493E-4</c:v>
                </c:pt>
                <c:pt idx="180">
                  <c:v>9.5196113540423725E-3</c:v>
                </c:pt>
                <c:pt idx="181">
                  <c:v>1.2134715613094727E-2</c:v>
                </c:pt>
                <c:pt idx="182">
                  <c:v>1.4610090468422381E-3</c:v>
                </c:pt>
                <c:pt idx="183">
                  <c:v>-2.77638257954879E-3</c:v>
                </c:pt>
                <c:pt idx="184">
                  <c:v>-2.0364110451886901E-2</c:v>
                </c:pt>
                <c:pt idx="185">
                  <c:v>1.5691841906145269E-3</c:v>
                </c:pt>
                <c:pt idx="186">
                  <c:v>-1.1909714153697473E-2</c:v>
                </c:pt>
                <c:pt idx="187">
                  <c:v>1.149147763034873E-2</c:v>
                </c:pt>
                <c:pt idx="188">
                  <c:v>-1.2985898108245698E-2</c:v>
                </c:pt>
                <c:pt idx="189">
                  <c:v>1.05245146822565E-2</c:v>
                </c:pt>
                <c:pt idx="190">
                  <c:v>4.1027928899926586E-3</c:v>
                </c:pt>
                <c:pt idx="191">
                  <c:v>8.2982806701344565E-3</c:v>
                </c:pt>
                <c:pt idx="192">
                  <c:v>-1.9137231230365412E-3</c:v>
                </c:pt>
                <c:pt idx="193">
                  <c:v>-6.8657639971078602E-3</c:v>
                </c:pt>
                <c:pt idx="194">
                  <c:v>-2.4167805444361692E-3</c:v>
                </c:pt>
                <c:pt idx="195">
                  <c:v>3.0225146348720248E-3</c:v>
                </c:pt>
                <c:pt idx="196">
                  <c:v>1.7063101958684029E-2</c:v>
                </c:pt>
                <c:pt idx="197">
                  <c:v>7.4602102503434822E-3</c:v>
                </c:pt>
                <c:pt idx="198">
                  <c:v>3.3747696131501371E-3</c:v>
                </c:pt>
                <c:pt idx="199">
                  <c:v>7.3933395791649292E-3</c:v>
                </c:pt>
                <c:pt idx="200">
                  <c:v>3.6640296724934343E-3</c:v>
                </c:pt>
                <c:pt idx="201">
                  <c:v>2.9958719050032136E-3</c:v>
                </c:pt>
                <c:pt idx="202">
                  <c:v>-1.0725536686606051E-3</c:v>
                </c:pt>
                <c:pt idx="203">
                  <c:v>4.7481965423492745E-3</c:v>
                </c:pt>
                <c:pt idx="204">
                  <c:v>1.8197953426701248E-3</c:v>
                </c:pt>
                <c:pt idx="205">
                  <c:v>-5.0515680070537519E-3</c:v>
                </c:pt>
                <c:pt idx="206">
                  <c:v>9.8292815553919968E-3</c:v>
                </c:pt>
                <c:pt idx="207">
                  <c:v>1.9493347326936345E-3</c:v>
                </c:pt>
                <c:pt idx="208">
                  <c:v>1.8000771294897399E-3</c:v>
                </c:pt>
                <c:pt idx="209">
                  <c:v>3.6803629837132653E-3</c:v>
                </c:pt>
                <c:pt idx="210">
                  <c:v>6.4612792228316554E-3</c:v>
                </c:pt>
                <c:pt idx="211">
                  <c:v>4.1819424954505757E-3</c:v>
                </c:pt>
                <c:pt idx="212">
                  <c:v>3.7327995324342384E-3</c:v>
                </c:pt>
                <c:pt idx="213">
                  <c:v>8.8778787807103376E-4</c:v>
                </c:pt>
                <c:pt idx="214">
                  <c:v>-3.4987758295380524E-3</c:v>
                </c:pt>
                <c:pt idx="215">
                  <c:v>-8.2258233818900666E-3</c:v>
                </c:pt>
                <c:pt idx="216">
                  <c:v>5.5094013215523032E-4</c:v>
                </c:pt>
                <c:pt idx="217">
                  <c:v>7.2226559988012827E-3</c:v>
                </c:pt>
                <c:pt idx="218">
                  <c:v>-1.0739827017251226E-5</c:v>
                </c:pt>
                <c:pt idx="219">
                  <c:v>3.8652297244640508E-3</c:v>
                </c:pt>
                <c:pt idx="220">
                  <c:v>-2.6016252749387022E-3</c:v>
                </c:pt>
                <c:pt idx="221">
                  <c:v>3.3847801751910977E-3</c:v>
                </c:pt>
                <c:pt idx="222">
                  <c:v>-1.3986655327519611E-3</c:v>
                </c:pt>
                <c:pt idx="223">
                  <c:v>-3.1971366560567273E-3</c:v>
                </c:pt>
                <c:pt idx="224">
                  <c:v>1.6571329331085936E-3</c:v>
                </c:pt>
                <c:pt idx="225">
                  <c:v>2.2938507158203098E-3</c:v>
                </c:pt>
                <c:pt idx="226">
                  <c:v>-2.272482269045515E-2</c:v>
                </c:pt>
                <c:pt idx="227">
                  <c:v>1.3200199680403641E-2</c:v>
                </c:pt>
                <c:pt idx="228">
                  <c:v>-1.8961310433288237E-2</c:v>
                </c:pt>
                <c:pt idx="229">
                  <c:v>-1.1815187431574243E-2</c:v>
                </c:pt>
                <c:pt idx="230">
                  <c:v>1.419443622179649E-2</c:v>
                </c:pt>
                <c:pt idx="231">
                  <c:v>-8.4485637569729297E-3</c:v>
                </c:pt>
                <c:pt idx="232">
                  <c:v>1.1730872556229054E-2</c:v>
                </c:pt>
                <c:pt idx="233">
                  <c:v>2.0707080346617293E-2</c:v>
                </c:pt>
                <c:pt idx="234">
                  <c:v>3.085285325652012E-3</c:v>
                </c:pt>
                <c:pt idx="235">
                  <c:v>-7.1810802495658249E-3</c:v>
                </c:pt>
                <c:pt idx="236">
                  <c:v>9.5490735065036029E-3</c:v>
                </c:pt>
                <c:pt idx="237">
                  <c:v>-9.1361676769785138E-3</c:v>
                </c:pt>
                <c:pt idx="238">
                  <c:v>-7.4706775571067108E-3</c:v>
                </c:pt>
                <c:pt idx="239">
                  <c:v>1.6348464650095335E-2</c:v>
                </c:pt>
                <c:pt idx="240">
                  <c:v>-8.7434154257874739E-3</c:v>
                </c:pt>
                <c:pt idx="241">
                  <c:v>-1.0287680603349307E-2</c:v>
                </c:pt>
                <c:pt idx="242">
                  <c:v>-1.138805781013809E-2</c:v>
                </c:pt>
                <c:pt idx="243">
                  <c:v>1.7777934344517198E-2</c:v>
                </c:pt>
                <c:pt idx="244">
                  <c:v>1.0180197409808559E-2</c:v>
                </c:pt>
                <c:pt idx="245">
                  <c:v>6.2236998213164056E-3</c:v>
                </c:pt>
                <c:pt idx="246">
                  <c:v>1.3838935174919055E-2</c:v>
                </c:pt>
                <c:pt idx="247">
                  <c:v>-1.0101546921743602E-3</c:v>
                </c:pt>
                <c:pt idx="248">
                  <c:v>1.4018951523843328E-3</c:v>
                </c:pt>
                <c:pt idx="249">
                  <c:v>-2.98975577681162E-3</c:v>
                </c:pt>
                <c:pt idx="250">
                  <c:v>-2.6261797700484891E-3</c:v>
                </c:pt>
                <c:pt idx="251">
                  <c:v>6.3740525700177637E-3</c:v>
                </c:pt>
                <c:pt idx="252">
                  <c:v>-6.2962205473344015E-4</c:v>
                </c:pt>
                <c:pt idx="253">
                  <c:v>-1.939275780397846E-2</c:v>
                </c:pt>
                <c:pt idx="254">
                  <c:v>-9.6376892315976558E-4</c:v>
                </c:pt>
                <c:pt idx="255">
                  <c:v>-4.0502168396401696E-3</c:v>
                </c:pt>
                <c:pt idx="256">
                  <c:v>-1.4410312334581993E-3</c:v>
                </c:pt>
                <c:pt idx="257">
                  <c:v>9.1599846353781697E-3</c:v>
                </c:pt>
                <c:pt idx="258">
                  <c:v>2.8177545625090519E-3</c:v>
                </c:pt>
                <c:pt idx="259">
                  <c:v>-1.4243615391184712E-2</c:v>
                </c:pt>
                <c:pt idx="260">
                  <c:v>8.1998037709479234E-4</c:v>
                </c:pt>
                <c:pt idx="261">
                  <c:v>-1.8387945826690011E-2</c:v>
                </c:pt>
                <c:pt idx="262">
                  <c:v>-9.6895417255575614E-3</c:v>
                </c:pt>
                <c:pt idx="263">
                  <c:v>-1.1037378679380039E-2</c:v>
                </c:pt>
                <c:pt idx="264">
                  <c:v>-1.8914821855944227E-2</c:v>
                </c:pt>
                <c:pt idx="265">
                  <c:v>2.7717390786442244E-3</c:v>
                </c:pt>
                <c:pt idx="266">
                  <c:v>-1.2171906366504458E-2</c:v>
                </c:pt>
                <c:pt idx="267">
                  <c:v>-1.4966357259136535E-3</c:v>
                </c:pt>
                <c:pt idx="268">
                  <c:v>-5.3840887215196812E-3</c:v>
                </c:pt>
                <c:pt idx="269">
                  <c:v>2.4347646878742711E-2</c:v>
                </c:pt>
                <c:pt idx="270">
                  <c:v>1.8885951724263342E-2</c:v>
                </c:pt>
                <c:pt idx="271">
                  <c:v>6.8630034742803115E-3</c:v>
                </c:pt>
                <c:pt idx="272">
                  <c:v>9.4225155024526483E-3</c:v>
                </c:pt>
                <c:pt idx="273">
                  <c:v>-2.4391082205822267E-2</c:v>
                </c:pt>
                <c:pt idx="274">
                  <c:v>5.1569299207267884E-3</c:v>
                </c:pt>
                <c:pt idx="275">
                  <c:v>-3.7017126418149747E-3</c:v>
                </c:pt>
                <c:pt idx="276">
                  <c:v>8.401207219892369E-3</c:v>
                </c:pt>
                <c:pt idx="277">
                  <c:v>1.4517207949908283E-2</c:v>
                </c:pt>
                <c:pt idx="278">
                  <c:v>-1.811572574253292E-2</c:v>
                </c:pt>
                <c:pt idx="279">
                  <c:v>-1.8969454254893832E-2</c:v>
                </c:pt>
                <c:pt idx="280">
                  <c:v>-3.8405967614104164E-3</c:v>
                </c:pt>
                <c:pt idx="281">
                  <c:v>1.5766721092177367E-2</c:v>
                </c:pt>
                <c:pt idx="282">
                  <c:v>8.8120788873637893E-4</c:v>
                </c:pt>
                <c:pt idx="283">
                  <c:v>-2.1173138150420743E-2</c:v>
                </c:pt>
                <c:pt idx="284">
                  <c:v>-7.1661615239464165E-3</c:v>
                </c:pt>
                <c:pt idx="285">
                  <c:v>-1.0142945135926271E-2</c:v>
                </c:pt>
                <c:pt idx="286">
                  <c:v>-1.8412122930996592E-2</c:v>
                </c:pt>
                <c:pt idx="287">
                  <c:v>1.4956855993373647E-2</c:v>
                </c:pt>
                <c:pt idx="288">
                  <c:v>2.2372677649946979E-2</c:v>
                </c:pt>
                <c:pt idx="289">
                  <c:v>-2.442603455093477E-3</c:v>
                </c:pt>
                <c:pt idx="290">
                  <c:v>-1.5473503503234206E-2</c:v>
                </c:pt>
                <c:pt idx="291">
                  <c:v>1.8642691654101273E-2</c:v>
                </c:pt>
                <c:pt idx="292">
                  <c:v>-5.2546665014039685E-3</c:v>
                </c:pt>
                <c:pt idx="293">
                  <c:v>-7.9340425080459756E-3</c:v>
                </c:pt>
                <c:pt idx="294">
                  <c:v>-2.9518158213662177E-2</c:v>
                </c:pt>
                <c:pt idx="295">
                  <c:v>-7.2337536516630932E-3</c:v>
                </c:pt>
                <c:pt idx="296">
                  <c:v>2.5698248013244992E-2</c:v>
                </c:pt>
                <c:pt idx="297">
                  <c:v>-4.2918135857344924E-3</c:v>
                </c:pt>
                <c:pt idx="298">
                  <c:v>-1.2961545136721665E-2</c:v>
                </c:pt>
                <c:pt idx="299">
                  <c:v>-7.4210026287694127E-3</c:v>
                </c:pt>
                <c:pt idx="300">
                  <c:v>2.1408574164825594E-2</c:v>
                </c:pt>
                <c:pt idx="301">
                  <c:v>2.2383761366154643E-2</c:v>
                </c:pt>
                <c:pt idx="302">
                  <c:v>1.2347817665471444E-2</c:v>
                </c:pt>
                <c:pt idx="303">
                  <c:v>1.1662294756783563E-2</c:v>
                </c:pt>
                <c:pt idx="304">
                  <c:v>-4.346602710985348E-4</c:v>
                </c:pt>
                <c:pt idx="305">
                  <c:v>1.1304113488017936E-2</c:v>
                </c:pt>
                <c:pt idx="306">
                  <c:v>-1.2272698810703839E-2</c:v>
                </c:pt>
                <c:pt idx="307">
                  <c:v>1.4343912949824161E-2</c:v>
                </c:pt>
                <c:pt idx="308">
                  <c:v>5.0661707129123351E-3</c:v>
                </c:pt>
                <c:pt idx="309">
                  <c:v>7.144955289705001E-3</c:v>
                </c:pt>
                <c:pt idx="310">
                  <c:v>1.2256547398955531E-2</c:v>
                </c:pt>
                <c:pt idx="311">
                  <c:v>-6.2937003159203968E-3</c:v>
                </c:pt>
                <c:pt idx="312">
                  <c:v>-1.5652540700660515E-2</c:v>
                </c:pt>
                <c:pt idx="313">
                  <c:v>3.41022257764861E-3</c:v>
                </c:pt>
                <c:pt idx="314">
                  <c:v>8.0909388121189977E-3</c:v>
                </c:pt>
                <c:pt idx="315">
                  <c:v>-1.2551720903325193E-2</c:v>
                </c:pt>
                <c:pt idx="316">
                  <c:v>-9.7169166482040312E-3</c:v>
                </c:pt>
                <c:pt idx="317">
                  <c:v>4.2533857194763077E-3</c:v>
                </c:pt>
                <c:pt idx="318">
                  <c:v>-2.6510265306263223E-3</c:v>
                </c:pt>
                <c:pt idx="319">
                  <c:v>-1.6877290104141761E-2</c:v>
                </c:pt>
                <c:pt idx="320">
                  <c:v>-3.4174477532732104E-3</c:v>
                </c:pt>
                <c:pt idx="321">
                  <c:v>1.1174577725945054E-2</c:v>
                </c:pt>
                <c:pt idx="322">
                  <c:v>-1.2144137843715184E-2</c:v>
                </c:pt>
                <c:pt idx="323">
                  <c:v>-2.0486843342081213E-4</c:v>
                </c:pt>
                <c:pt idx="324">
                  <c:v>1.6057604463748262E-2</c:v>
                </c:pt>
                <c:pt idx="325">
                  <c:v>-6.1847515561117667E-4</c:v>
                </c:pt>
                <c:pt idx="326">
                  <c:v>-1.4752948485390681E-2</c:v>
                </c:pt>
                <c:pt idx="327">
                  <c:v>-2.7740054230994602E-2</c:v>
                </c:pt>
                <c:pt idx="328">
                  <c:v>5.6979369782753616E-3</c:v>
                </c:pt>
                <c:pt idx="329">
                  <c:v>-2.8146308461328349E-2</c:v>
                </c:pt>
                <c:pt idx="330">
                  <c:v>2.0980469416746654E-3</c:v>
                </c:pt>
                <c:pt idx="331">
                  <c:v>2.4746900057631895E-2</c:v>
                </c:pt>
                <c:pt idx="332">
                  <c:v>-3.6284507055393621E-2</c:v>
                </c:pt>
                <c:pt idx="333">
                  <c:v>5.6752428044901607E-3</c:v>
                </c:pt>
                <c:pt idx="334">
                  <c:v>4.8371262233403997E-3</c:v>
                </c:pt>
                <c:pt idx="335">
                  <c:v>2.9862421229954018E-2</c:v>
                </c:pt>
                <c:pt idx="336">
                  <c:v>-3.5649708681442113E-2</c:v>
                </c:pt>
                <c:pt idx="337">
                  <c:v>-5.6742247372394148E-3</c:v>
                </c:pt>
                <c:pt idx="338">
                  <c:v>-3.2037100747885877E-2</c:v>
                </c:pt>
                <c:pt idx="339">
                  <c:v>2.4578975517831263E-3</c:v>
                </c:pt>
                <c:pt idx="340">
                  <c:v>-1.6463207456368395E-2</c:v>
                </c:pt>
                <c:pt idx="341">
                  <c:v>-1.2959646288417926E-3</c:v>
                </c:pt>
                <c:pt idx="342">
                  <c:v>2.3869695562981876E-2</c:v>
                </c:pt>
                <c:pt idx="343">
                  <c:v>-3.9464009757386427E-3</c:v>
                </c:pt>
                <c:pt idx="344">
                  <c:v>2.0169632260973302E-2</c:v>
                </c:pt>
                <c:pt idx="345">
                  <c:v>-4.0395260780235108E-2</c:v>
                </c:pt>
                <c:pt idx="346">
                  <c:v>-5.8337819079785297E-3</c:v>
                </c:pt>
                <c:pt idx="347">
                  <c:v>1.4614167753210672E-4</c:v>
                </c:pt>
                <c:pt idx="348">
                  <c:v>1.8555040041065358E-2</c:v>
                </c:pt>
                <c:pt idx="349">
                  <c:v>-8.1207977351368185E-3</c:v>
                </c:pt>
                <c:pt idx="350">
                  <c:v>9.4507647353317265E-3</c:v>
                </c:pt>
                <c:pt idx="351">
                  <c:v>1.9883256314870569E-2</c:v>
                </c:pt>
                <c:pt idx="352">
                  <c:v>2.4742262835075021E-2</c:v>
                </c:pt>
                <c:pt idx="353">
                  <c:v>-6.2743686107097013E-3</c:v>
                </c:pt>
                <c:pt idx="354">
                  <c:v>-7.4827687120049792E-3</c:v>
                </c:pt>
                <c:pt idx="355">
                  <c:v>1.843101810155013E-2</c:v>
                </c:pt>
                <c:pt idx="356">
                  <c:v>-1.6347313955862829E-2</c:v>
                </c:pt>
                <c:pt idx="357">
                  <c:v>3.1374008474155733E-3</c:v>
                </c:pt>
                <c:pt idx="358">
                  <c:v>9.5233931727295631E-3</c:v>
                </c:pt>
                <c:pt idx="359">
                  <c:v>-1.0793945725281797E-2</c:v>
                </c:pt>
                <c:pt idx="360">
                  <c:v>-2.3798694174850893E-2</c:v>
                </c:pt>
                <c:pt idx="361">
                  <c:v>-2.9110303353684187E-2</c:v>
                </c:pt>
                <c:pt idx="362">
                  <c:v>-3.8768430513214484E-2</c:v>
                </c:pt>
                <c:pt idx="363">
                  <c:v>-3.7736799208243333E-3</c:v>
                </c:pt>
                <c:pt idx="364">
                  <c:v>1.4592504923557363E-2</c:v>
                </c:pt>
                <c:pt idx="365">
                  <c:v>-3.2511951304652419E-2</c:v>
                </c:pt>
                <c:pt idx="366">
                  <c:v>2.2008655999647317E-3</c:v>
                </c:pt>
                <c:pt idx="367">
                  <c:v>2.4477242232587744E-2</c:v>
                </c:pt>
                <c:pt idx="368">
                  <c:v>-1.3015721857629866E-3</c:v>
                </c:pt>
                <c:pt idx="369">
                  <c:v>9.5322171712330078E-3</c:v>
                </c:pt>
                <c:pt idx="370">
                  <c:v>3.056329365135714E-2</c:v>
                </c:pt>
                <c:pt idx="371">
                  <c:v>-2.9730715818870324E-3</c:v>
                </c:pt>
                <c:pt idx="372">
                  <c:v>-2.0143035925831627E-2</c:v>
                </c:pt>
                <c:pt idx="373">
                  <c:v>-7.1174548681149222E-4</c:v>
                </c:pt>
                <c:pt idx="374">
                  <c:v>-8.7592781864540177E-3</c:v>
                </c:pt>
                <c:pt idx="375">
                  <c:v>1.0553813945970054E-2</c:v>
                </c:pt>
                <c:pt idx="376">
                  <c:v>1.5841286572499723E-3</c:v>
                </c:pt>
                <c:pt idx="377">
                  <c:v>3.5731641473012387E-3</c:v>
                </c:pt>
                <c:pt idx="378">
                  <c:v>1.4964587949473643E-2</c:v>
                </c:pt>
                <c:pt idx="379">
                  <c:v>-8.30271433769651E-4</c:v>
                </c:pt>
                <c:pt idx="380">
                  <c:v>-1.1527461378145509E-2</c:v>
                </c:pt>
                <c:pt idx="381">
                  <c:v>-9.2438787651050406E-3</c:v>
                </c:pt>
                <c:pt idx="382">
                  <c:v>-4.4569026347574371E-3</c:v>
                </c:pt>
                <c:pt idx="383">
                  <c:v>-2.9986337749789756E-3</c:v>
                </c:pt>
                <c:pt idx="384">
                  <c:v>1.9201249280163514E-2</c:v>
                </c:pt>
                <c:pt idx="385">
                  <c:v>-8.3635714637743386E-3</c:v>
                </c:pt>
                <c:pt idx="386">
                  <c:v>2.762829144770159E-2</c:v>
                </c:pt>
                <c:pt idx="387">
                  <c:v>5.8958062097479325E-3</c:v>
                </c:pt>
                <c:pt idx="388">
                  <c:v>9.8613727534570244E-3</c:v>
                </c:pt>
                <c:pt idx="389">
                  <c:v>-9.3324668868805232E-3</c:v>
                </c:pt>
                <c:pt idx="390">
                  <c:v>1.3151670281864793E-3</c:v>
                </c:pt>
                <c:pt idx="391">
                  <c:v>-1.1543202645984751E-2</c:v>
                </c:pt>
                <c:pt idx="392">
                  <c:v>2.6156273630364983E-2</c:v>
                </c:pt>
                <c:pt idx="393">
                  <c:v>1.2133338892619507E-2</c:v>
                </c:pt>
                <c:pt idx="394">
                  <c:v>1.4207759977735187E-2</c:v>
                </c:pt>
                <c:pt idx="395">
                  <c:v>-2.8230840667121545E-3</c:v>
                </c:pt>
                <c:pt idx="396">
                  <c:v>-6.6623956945634395E-3</c:v>
                </c:pt>
                <c:pt idx="397">
                  <c:v>1.5638477294545136E-2</c:v>
                </c:pt>
                <c:pt idx="398">
                  <c:v>-7.7734029188527784E-4</c:v>
                </c:pt>
                <c:pt idx="399">
                  <c:v>-1.625746059894656E-3</c:v>
                </c:pt>
                <c:pt idx="400">
                  <c:v>-1.2375505279648826E-3</c:v>
                </c:pt>
                <c:pt idx="401">
                  <c:v>-4.2486929535627983E-3</c:v>
                </c:pt>
                <c:pt idx="402">
                  <c:v>2.1290637511616219E-2</c:v>
                </c:pt>
                <c:pt idx="403">
                  <c:v>-7.0547375800882669E-4</c:v>
                </c:pt>
                <c:pt idx="404">
                  <c:v>1.7322368579518979E-2</c:v>
                </c:pt>
                <c:pt idx="405">
                  <c:v>3.969542046193552E-3</c:v>
                </c:pt>
                <c:pt idx="406">
                  <c:v>1.8756795782850742E-3</c:v>
                </c:pt>
                <c:pt idx="407">
                  <c:v>-7.2377948965506615E-3</c:v>
                </c:pt>
                <c:pt idx="408">
                  <c:v>2.2695610971087206E-3</c:v>
                </c:pt>
                <c:pt idx="409">
                  <c:v>-1.2900001162862249E-2</c:v>
                </c:pt>
                <c:pt idx="410">
                  <c:v>-2.1400064899917109E-2</c:v>
                </c:pt>
                <c:pt idx="411">
                  <c:v>-2.2378627005720008E-3</c:v>
                </c:pt>
                <c:pt idx="412">
                  <c:v>2.9161606736994371E-3</c:v>
                </c:pt>
                <c:pt idx="413">
                  <c:v>1.409160535798133E-2</c:v>
                </c:pt>
                <c:pt idx="414">
                  <c:v>-3.3688058702417992E-2</c:v>
                </c:pt>
                <c:pt idx="415">
                  <c:v>-6.6663558766972648E-3</c:v>
                </c:pt>
                <c:pt idx="416">
                  <c:v>-1.1028155495070784E-2</c:v>
                </c:pt>
                <c:pt idx="417">
                  <c:v>-7.8170250787470349E-3</c:v>
                </c:pt>
                <c:pt idx="418">
                  <c:v>2.9962321112515524E-3</c:v>
                </c:pt>
                <c:pt idx="419">
                  <c:v>-1.073650048472286E-2</c:v>
                </c:pt>
                <c:pt idx="420">
                  <c:v>-4.0950571468376983E-3</c:v>
                </c:pt>
                <c:pt idx="421">
                  <c:v>1.8341016450612639E-2</c:v>
                </c:pt>
                <c:pt idx="422">
                  <c:v>6.6107220151777812E-3</c:v>
                </c:pt>
                <c:pt idx="423">
                  <c:v>1.5271449619951808E-2</c:v>
                </c:pt>
                <c:pt idx="424">
                  <c:v>1.0584272812704741E-2</c:v>
                </c:pt>
                <c:pt idx="425">
                  <c:v>-4.3236613441259661E-2</c:v>
                </c:pt>
                <c:pt idx="426">
                  <c:v>3.3870122485712317E-3</c:v>
                </c:pt>
                <c:pt idx="427">
                  <c:v>-1.1317739155963286E-2</c:v>
                </c:pt>
                <c:pt idx="428">
                  <c:v>-7.1821342089663266E-3</c:v>
                </c:pt>
                <c:pt idx="429">
                  <c:v>6.8571008576976929E-3</c:v>
                </c:pt>
                <c:pt idx="430">
                  <c:v>-1.1272103112168563E-2</c:v>
                </c:pt>
                <c:pt idx="431">
                  <c:v>-1.7116493599189188E-2</c:v>
                </c:pt>
                <c:pt idx="432">
                  <c:v>-8.4275811355554037E-3</c:v>
                </c:pt>
                <c:pt idx="433">
                  <c:v>-1.7232619078902858E-2</c:v>
                </c:pt>
                <c:pt idx="434">
                  <c:v>-1.0340526099595912E-2</c:v>
                </c:pt>
                <c:pt idx="435">
                  <c:v>-2.1203598092786858E-3</c:v>
                </c:pt>
                <c:pt idx="436">
                  <c:v>1.9672139926571932E-2</c:v>
                </c:pt>
                <c:pt idx="437">
                  <c:v>-2.1126437783962775E-2</c:v>
                </c:pt>
                <c:pt idx="438">
                  <c:v>-1.5066695903807539E-2</c:v>
                </c:pt>
                <c:pt idx="439">
                  <c:v>2.5883895106448632E-2</c:v>
                </c:pt>
                <c:pt idx="440">
                  <c:v>3.0583700676563547E-2</c:v>
                </c:pt>
                <c:pt idx="441">
                  <c:v>-2.0179489300041209E-3</c:v>
                </c:pt>
                <c:pt idx="442">
                  <c:v>-1.0245080645073255E-2</c:v>
                </c:pt>
                <c:pt idx="443">
                  <c:v>-2.8003617937660232E-2</c:v>
                </c:pt>
                <c:pt idx="444">
                  <c:v>-7.4924634881656073E-3</c:v>
                </c:pt>
                <c:pt idx="445">
                  <c:v>-6.5191758635008744E-3</c:v>
                </c:pt>
                <c:pt idx="446">
                  <c:v>-3.290773261112745E-3</c:v>
                </c:pt>
                <c:pt idx="447">
                  <c:v>2.5965642515437787E-2</c:v>
                </c:pt>
                <c:pt idx="448">
                  <c:v>-2.3662663684481222E-2</c:v>
                </c:pt>
                <c:pt idx="449">
                  <c:v>2.6480052357156433E-2</c:v>
                </c:pt>
                <c:pt idx="450">
                  <c:v>1.1427569586305121E-2</c:v>
                </c:pt>
                <c:pt idx="451">
                  <c:v>-6.6720971976843785E-3</c:v>
                </c:pt>
                <c:pt idx="452">
                  <c:v>-7.9509097575423317E-3</c:v>
                </c:pt>
                <c:pt idx="453">
                  <c:v>2.3724819905171671E-2</c:v>
                </c:pt>
                <c:pt idx="454">
                  <c:v>1.1881976683765219E-2</c:v>
                </c:pt>
                <c:pt idx="455">
                  <c:v>1.6266654439300789E-2</c:v>
                </c:pt>
                <c:pt idx="456">
                  <c:v>-7.3877158747779883E-3</c:v>
                </c:pt>
                <c:pt idx="457">
                  <c:v>-6.0826106625343551E-3</c:v>
                </c:pt>
                <c:pt idx="458">
                  <c:v>2.4626377956375237E-2</c:v>
                </c:pt>
                <c:pt idx="459">
                  <c:v>-7.4544043311792147E-3</c:v>
                </c:pt>
                <c:pt idx="460">
                  <c:v>-4.1012303994402829E-3</c:v>
                </c:pt>
                <c:pt idx="461">
                  <c:v>-2.5001985049611077E-2</c:v>
                </c:pt>
                <c:pt idx="462">
                  <c:v>-1.0585992096309428E-2</c:v>
                </c:pt>
                <c:pt idx="463">
                  <c:v>1.3618724601319783E-2</c:v>
                </c:pt>
                <c:pt idx="464">
                  <c:v>9.6139819201217034E-3</c:v>
                </c:pt>
                <c:pt idx="465">
                  <c:v>5.5978926462391734E-3</c:v>
                </c:pt>
                <c:pt idx="466">
                  <c:v>-2.077788694075303E-2</c:v>
                </c:pt>
                <c:pt idx="467">
                  <c:v>5.5434484411510256E-2</c:v>
                </c:pt>
                <c:pt idx="468">
                  <c:v>9.2407469268123762E-3</c:v>
                </c:pt>
                <c:pt idx="469">
                  <c:v>-8.935777137999628E-3</c:v>
                </c:pt>
                <c:pt idx="470">
                  <c:v>8.7131164318655814E-3</c:v>
                </c:pt>
                <c:pt idx="471">
                  <c:v>-8.2520463971864372E-3</c:v>
                </c:pt>
                <c:pt idx="472">
                  <c:v>-3.0893227171727932E-3</c:v>
                </c:pt>
                <c:pt idx="473">
                  <c:v>4.7585818331011527E-3</c:v>
                </c:pt>
                <c:pt idx="474">
                  <c:v>-3.8836888282556391E-3</c:v>
                </c:pt>
                <c:pt idx="475">
                  <c:v>1.3579988000126371E-2</c:v>
                </c:pt>
                <c:pt idx="476">
                  <c:v>5.9146892377957344E-3</c:v>
                </c:pt>
                <c:pt idx="477">
                  <c:v>-2.8304430237173316E-4</c:v>
                </c:pt>
                <c:pt idx="478">
                  <c:v>-1.5444192968175134E-2</c:v>
                </c:pt>
                <c:pt idx="479">
                  <c:v>-1.5918651881512012E-3</c:v>
                </c:pt>
                <c:pt idx="480">
                  <c:v>3.0947872241948074E-2</c:v>
                </c:pt>
                <c:pt idx="481">
                  <c:v>-8.6763320282130286E-4</c:v>
                </c:pt>
                <c:pt idx="482">
                  <c:v>-1.1946604421763951E-3</c:v>
                </c:pt>
                <c:pt idx="483">
                  <c:v>-1.7894212215245852E-2</c:v>
                </c:pt>
                <c:pt idx="484">
                  <c:v>-1.4399194949753129E-2</c:v>
                </c:pt>
                <c:pt idx="485">
                  <c:v>-1.8623709121895573E-3</c:v>
                </c:pt>
                <c:pt idx="486">
                  <c:v>7.521781985068054E-3</c:v>
                </c:pt>
                <c:pt idx="487">
                  <c:v>-7.3495782592964617E-3</c:v>
                </c:pt>
                <c:pt idx="488">
                  <c:v>1.4279296273028409E-2</c:v>
                </c:pt>
                <c:pt idx="489">
                  <c:v>7.2896642501077569E-3</c:v>
                </c:pt>
                <c:pt idx="490">
                  <c:v>-6.052724638505127E-3</c:v>
                </c:pt>
                <c:pt idx="491">
                  <c:v>-2.4921674936006652E-2</c:v>
                </c:pt>
                <c:pt idx="492">
                  <c:v>-1.1137750882371823E-2</c:v>
                </c:pt>
                <c:pt idx="493">
                  <c:v>-9.0075159217195937E-3</c:v>
                </c:pt>
                <c:pt idx="494">
                  <c:v>1.0373383411004734E-3</c:v>
                </c:pt>
                <c:pt idx="495">
                  <c:v>1.4867993746224084E-2</c:v>
                </c:pt>
                <c:pt idx="496">
                  <c:v>-1.4451699356609957E-2</c:v>
                </c:pt>
                <c:pt idx="497">
                  <c:v>5.8681023202464717E-3</c:v>
                </c:pt>
                <c:pt idx="498">
                  <c:v>-4.0496220173182867E-3</c:v>
                </c:pt>
                <c:pt idx="499">
                  <c:v>-1.2020638245087161E-2</c:v>
                </c:pt>
                <c:pt idx="500">
                  <c:v>1.7461331486505843E-2</c:v>
                </c:pt>
                <c:pt idx="501">
                  <c:v>-2.540742405415684E-3</c:v>
                </c:pt>
                <c:pt idx="502">
                  <c:v>-4.000548769371004E-3</c:v>
                </c:pt>
                <c:pt idx="503">
                  <c:v>7.5389705415256254E-3</c:v>
                </c:pt>
                <c:pt idx="504">
                  <c:v>-1.1645528861558858E-2</c:v>
                </c:pt>
                <c:pt idx="505">
                  <c:v>2.2840780904283906E-2</c:v>
                </c:pt>
                <c:pt idx="506">
                  <c:v>-7.6763248511576155E-4</c:v>
                </c:pt>
                <c:pt idx="507">
                  <c:v>6.9782331307640787E-3</c:v>
                </c:pt>
                <c:pt idx="508">
                  <c:v>1.2849424507239898E-2</c:v>
                </c:pt>
                <c:pt idx="509">
                  <c:v>3.415906004493673E-3</c:v>
                </c:pt>
                <c:pt idx="510">
                  <c:v>3.996858359486247E-3</c:v>
                </c:pt>
                <c:pt idx="511">
                  <c:v>-2.0304911420639987E-3</c:v>
                </c:pt>
                <c:pt idx="512">
                  <c:v>-1.5562598679347471E-2</c:v>
                </c:pt>
                <c:pt idx="513">
                  <c:v>-7.6383501022425386E-3</c:v>
                </c:pt>
                <c:pt idx="514">
                  <c:v>1.8918400847941521E-2</c:v>
                </c:pt>
                <c:pt idx="515">
                  <c:v>1.188134519338571E-2</c:v>
                </c:pt>
                <c:pt idx="516">
                  <c:v>-7.1150326956278078E-4</c:v>
                </c:pt>
                <c:pt idx="517">
                  <c:v>-1.8172494278111275E-4</c:v>
                </c:pt>
                <c:pt idx="518">
                  <c:v>1.1007853483929608E-2</c:v>
                </c:pt>
                <c:pt idx="519">
                  <c:v>2.4948409822725891E-3</c:v>
                </c:pt>
                <c:pt idx="520">
                  <c:v>-1.2968740968034929E-2</c:v>
                </c:pt>
                <c:pt idx="521">
                  <c:v>1.4642470252690063E-2</c:v>
                </c:pt>
                <c:pt idx="522">
                  <c:v>1.0452303874717631E-2</c:v>
                </c:pt>
                <c:pt idx="523">
                  <c:v>1.4699373319951187E-2</c:v>
                </c:pt>
                <c:pt idx="524">
                  <c:v>-1.0354610892247164E-2</c:v>
                </c:pt>
                <c:pt idx="525">
                  <c:v>-6.14046293534826E-3</c:v>
                </c:pt>
                <c:pt idx="526">
                  <c:v>1.2872510628823622E-2</c:v>
                </c:pt>
                <c:pt idx="527">
                  <c:v>-1.1080724543708051E-2</c:v>
                </c:pt>
                <c:pt idx="528">
                  <c:v>-8.8297961100381617E-3</c:v>
                </c:pt>
                <c:pt idx="529">
                  <c:v>2.1952617910082129E-3</c:v>
                </c:pt>
                <c:pt idx="530">
                  <c:v>1.144860931203243E-2</c:v>
                </c:pt>
                <c:pt idx="531">
                  <c:v>-2.8041447156584631E-4</c:v>
                </c:pt>
                <c:pt idx="532">
                  <c:v>2.7731757281472878E-3</c:v>
                </c:pt>
                <c:pt idx="533">
                  <c:v>-1.3788741597237713E-2</c:v>
                </c:pt>
                <c:pt idx="534">
                  <c:v>-2.7674057719230738E-3</c:v>
                </c:pt>
                <c:pt idx="535">
                  <c:v>-2.004123425479001E-2</c:v>
                </c:pt>
                <c:pt idx="536">
                  <c:v>-1.5735561302083485E-3</c:v>
                </c:pt>
                <c:pt idx="537">
                  <c:v>5.3294292827346223E-3</c:v>
                </c:pt>
                <c:pt idx="538">
                  <c:v>-1.0537551412511096E-2</c:v>
                </c:pt>
                <c:pt idx="539">
                  <c:v>3.0730045239223984E-3</c:v>
                </c:pt>
                <c:pt idx="540">
                  <c:v>-3.0360018558298701E-3</c:v>
                </c:pt>
                <c:pt idx="541">
                  <c:v>-4.7252646532438365E-3</c:v>
                </c:pt>
                <c:pt idx="542">
                  <c:v>7.582194066213313E-3</c:v>
                </c:pt>
                <c:pt idx="543">
                  <c:v>1.6147737178977457E-2</c:v>
                </c:pt>
                <c:pt idx="544">
                  <c:v>6.8716669637606154E-4</c:v>
                </c:pt>
                <c:pt idx="545">
                  <c:v>-1.5326919192055123E-2</c:v>
                </c:pt>
                <c:pt idx="546">
                  <c:v>1.4147941195797474E-3</c:v>
                </c:pt>
                <c:pt idx="547">
                  <c:v>-1.8459358021499544E-2</c:v>
                </c:pt>
                <c:pt idx="548">
                  <c:v>-1.4478138338748918E-2</c:v>
                </c:pt>
                <c:pt idx="549">
                  <c:v>-1.5097609707765435E-3</c:v>
                </c:pt>
                <c:pt idx="550">
                  <c:v>1.6476655402627098E-2</c:v>
                </c:pt>
                <c:pt idx="551">
                  <c:v>-6.9808834579083243E-3</c:v>
                </c:pt>
                <c:pt idx="552">
                  <c:v>1.7562006046926953E-2</c:v>
                </c:pt>
                <c:pt idx="553">
                  <c:v>-1.1019457129403913E-2</c:v>
                </c:pt>
                <c:pt idx="554">
                  <c:v>8.9184035178799023E-3</c:v>
                </c:pt>
                <c:pt idx="555">
                  <c:v>1.2982193942461036E-2</c:v>
                </c:pt>
                <c:pt idx="556">
                  <c:v>-1.646322365547789E-2</c:v>
                </c:pt>
                <c:pt idx="557">
                  <c:v>2.9845287331504516E-3</c:v>
                </c:pt>
                <c:pt idx="558">
                  <c:v>5.6398071181432098E-3</c:v>
                </c:pt>
                <c:pt idx="559">
                  <c:v>1.646954290106377E-3</c:v>
                </c:pt>
                <c:pt idx="560">
                  <c:v>-1.5738433033462037E-3</c:v>
                </c:pt>
                <c:pt idx="561">
                  <c:v>1.4237268862417968E-2</c:v>
                </c:pt>
                <c:pt idx="562">
                  <c:v>5.7152692561960872E-3</c:v>
                </c:pt>
                <c:pt idx="563">
                  <c:v>1.4436542603355383E-2</c:v>
                </c:pt>
                <c:pt idx="564">
                  <c:v>3.6988464685720518E-3</c:v>
                </c:pt>
                <c:pt idx="565">
                  <c:v>-5.7969720903796344E-3</c:v>
                </c:pt>
                <c:pt idx="566">
                  <c:v>-2.4923705691234236E-3</c:v>
                </c:pt>
                <c:pt idx="567">
                  <c:v>3.5791631630220071E-3</c:v>
                </c:pt>
                <c:pt idx="568">
                  <c:v>9.9630281462055972E-4</c:v>
                </c:pt>
                <c:pt idx="569">
                  <c:v>-4.1352508369290667E-5</c:v>
                </c:pt>
                <c:pt idx="570">
                  <c:v>-4.1348839953753852E-3</c:v>
                </c:pt>
                <c:pt idx="571">
                  <c:v>1.3262690074383127E-2</c:v>
                </c:pt>
                <c:pt idx="572">
                  <c:v>-2.0693734425777377E-3</c:v>
                </c:pt>
                <c:pt idx="573">
                  <c:v>3.3061567818989451E-3</c:v>
                </c:pt>
                <c:pt idx="574">
                  <c:v>8.5522030354658551E-4</c:v>
                </c:pt>
                <c:pt idx="575">
                  <c:v>-8.4261839754751574E-5</c:v>
                </c:pt>
                <c:pt idx="576">
                  <c:v>-5.9525482801740109E-3</c:v>
                </c:pt>
                <c:pt idx="577">
                  <c:v>9.0318901560978299E-4</c:v>
                </c:pt>
                <c:pt idx="578">
                  <c:v>8.5157903747143393E-4</c:v>
                </c:pt>
                <c:pt idx="579">
                  <c:v>-1.5810858822582541E-2</c:v>
                </c:pt>
                <c:pt idx="580">
                  <c:v>-3.8411873007662637E-3</c:v>
                </c:pt>
                <c:pt idx="581">
                  <c:v>1.9566149866163712E-2</c:v>
                </c:pt>
                <c:pt idx="582">
                  <c:v>8.2532025562978544E-3</c:v>
                </c:pt>
                <c:pt idx="583">
                  <c:v>-3.8610642279656115E-4</c:v>
                </c:pt>
                <c:pt idx="584">
                  <c:v>-1.1586262921925989E-2</c:v>
                </c:pt>
                <c:pt idx="585">
                  <c:v>-6.9983050345258898E-3</c:v>
                </c:pt>
                <c:pt idx="586">
                  <c:v>-7.2187322618101849E-3</c:v>
                </c:pt>
                <c:pt idx="587">
                  <c:v>1.8474751315064881E-2</c:v>
                </c:pt>
                <c:pt idx="588">
                  <c:v>4.5212861891819674E-4</c:v>
                </c:pt>
                <c:pt idx="589">
                  <c:v>-4.579421201948727E-3</c:v>
                </c:pt>
                <c:pt idx="590">
                  <c:v>4.4839653012013524E-3</c:v>
                </c:pt>
                <c:pt idx="591">
                  <c:v>-1.6966241063897363E-3</c:v>
                </c:pt>
                <c:pt idx="592">
                  <c:v>-1.5833068194976868E-3</c:v>
                </c:pt>
                <c:pt idx="593">
                  <c:v>2.9581644316460732E-3</c:v>
                </c:pt>
                <c:pt idx="594">
                  <c:v>-6.3776834187244443E-3</c:v>
                </c:pt>
                <c:pt idx="595">
                  <c:v>1.1890829257476115E-2</c:v>
                </c:pt>
                <c:pt idx="596">
                  <c:v>9.4450486107908703E-3</c:v>
                </c:pt>
                <c:pt idx="597">
                  <c:v>-1.4458677914612266E-3</c:v>
                </c:pt>
                <c:pt idx="598">
                  <c:v>1.5503485300508044E-4</c:v>
                </c:pt>
                <c:pt idx="599">
                  <c:v>-1.1222026821583778E-2</c:v>
                </c:pt>
                <c:pt idx="600">
                  <c:v>-7.3186003958792866E-3</c:v>
                </c:pt>
                <c:pt idx="601">
                  <c:v>8.7575813198563918E-3</c:v>
                </c:pt>
                <c:pt idx="602">
                  <c:v>1.3049086740849637E-2</c:v>
                </c:pt>
                <c:pt idx="603">
                  <c:v>1.6603454270508214E-5</c:v>
                </c:pt>
                <c:pt idx="604">
                  <c:v>-6.1086243503365783E-3</c:v>
                </c:pt>
                <c:pt idx="605">
                  <c:v>9.854453705378588E-3</c:v>
                </c:pt>
                <c:pt idx="606">
                  <c:v>1.4534424548879647E-2</c:v>
                </c:pt>
                <c:pt idx="607">
                  <c:v>-2.0035816068160643E-3</c:v>
                </c:pt>
                <c:pt idx="608">
                  <c:v>2.3538964030047089E-3</c:v>
                </c:pt>
                <c:pt idx="609">
                  <c:v>-3.8120096703719809E-3</c:v>
                </c:pt>
                <c:pt idx="610">
                  <c:v>6.1886425549797222E-3</c:v>
                </c:pt>
                <c:pt idx="611">
                  <c:v>1.1480594229392124E-3</c:v>
                </c:pt>
                <c:pt idx="612">
                  <c:v>9.3211489271568682E-3</c:v>
                </c:pt>
                <c:pt idx="613">
                  <c:v>6.9324899871355478E-3</c:v>
                </c:pt>
                <c:pt idx="614">
                  <c:v>8.1942549725121344E-4</c:v>
                </c:pt>
                <c:pt idx="615">
                  <c:v>1.2178137419650467E-2</c:v>
                </c:pt>
                <c:pt idx="616">
                  <c:v>-3.67161952821897E-3</c:v>
                </c:pt>
                <c:pt idx="617">
                  <c:v>-4.7351077398754366E-3</c:v>
                </c:pt>
                <c:pt idx="618">
                  <c:v>-5.2452816897370566E-3</c:v>
                </c:pt>
                <c:pt idx="619">
                  <c:v>3.7107985722618429E-3</c:v>
                </c:pt>
                <c:pt idx="620">
                  <c:v>-7.6588088589041601E-3</c:v>
                </c:pt>
                <c:pt idx="621">
                  <c:v>-4.4868383149453735E-3</c:v>
                </c:pt>
                <c:pt idx="622">
                  <c:v>1.1455854948052872E-2</c:v>
                </c:pt>
                <c:pt idx="623">
                  <c:v>-3.540766955959523E-4</c:v>
                </c:pt>
                <c:pt idx="624">
                  <c:v>4.4735446445341122E-3</c:v>
                </c:pt>
                <c:pt idx="625">
                  <c:v>1.2269004631900185E-2</c:v>
                </c:pt>
                <c:pt idx="626">
                  <c:v>1.1706778155954728E-3</c:v>
                </c:pt>
                <c:pt idx="627">
                  <c:v>-1.9683185183236385E-3</c:v>
                </c:pt>
                <c:pt idx="628">
                  <c:v>-7.9225112314782343E-3</c:v>
                </c:pt>
                <c:pt idx="629">
                  <c:v>-2.8651006659629382E-3</c:v>
                </c:pt>
                <c:pt idx="630">
                  <c:v>2.4050260928219873E-3</c:v>
                </c:pt>
                <c:pt idx="631">
                  <c:v>6.7422111766051738E-3</c:v>
                </c:pt>
                <c:pt idx="632">
                  <c:v>7.4112333438970434E-3</c:v>
                </c:pt>
                <c:pt idx="633">
                  <c:v>8.4701535004688046E-3</c:v>
                </c:pt>
                <c:pt idx="634">
                  <c:v>-1.0244070917438679E-3</c:v>
                </c:pt>
                <c:pt idx="635">
                  <c:v>3.8553824728261125E-3</c:v>
                </c:pt>
                <c:pt idx="636">
                  <c:v>7.1172751161176842E-3</c:v>
                </c:pt>
                <c:pt idx="637">
                  <c:v>2.3579104731872415E-3</c:v>
                </c:pt>
                <c:pt idx="638">
                  <c:v>-6.7568962939617812E-3</c:v>
                </c:pt>
                <c:pt idx="639">
                  <c:v>3.2409461838611096E-4</c:v>
                </c:pt>
                <c:pt idx="640">
                  <c:v>4.0341538838200497E-3</c:v>
                </c:pt>
                <c:pt idx="641">
                  <c:v>2.8146733033541618E-3</c:v>
                </c:pt>
                <c:pt idx="642">
                  <c:v>-1.5543891048015396E-4</c:v>
                </c:pt>
                <c:pt idx="643">
                  <c:v>-6.4246661192314198E-3</c:v>
                </c:pt>
                <c:pt idx="644">
                  <c:v>9.8778427470862639E-3</c:v>
                </c:pt>
                <c:pt idx="645">
                  <c:v>1.4687130566064467E-3</c:v>
                </c:pt>
                <c:pt idx="646">
                  <c:v>-2.6650877549462015E-3</c:v>
                </c:pt>
                <c:pt idx="647">
                  <c:v>-1.3839541173892838E-2</c:v>
                </c:pt>
                <c:pt idx="648">
                  <c:v>-2.5479738402680876E-3</c:v>
                </c:pt>
                <c:pt idx="649">
                  <c:v>-5.3000742519009637E-3</c:v>
                </c:pt>
                <c:pt idx="650">
                  <c:v>9.0240927238495177E-3</c:v>
                </c:pt>
                <c:pt idx="651">
                  <c:v>-4.2182829137664152E-3</c:v>
                </c:pt>
                <c:pt idx="652">
                  <c:v>-7.0387304080854482E-3</c:v>
                </c:pt>
                <c:pt idx="653">
                  <c:v>2.5071390259847519E-4</c:v>
                </c:pt>
                <c:pt idx="654">
                  <c:v>-1.0696922721527356E-3</c:v>
                </c:pt>
                <c:pt idx="655">
                  <c:v>5.7504757162987414E-3</c:v>
                </c:pt>
                <c:pt idx="656">
                  <c:v>-1.1550909525884698E-2</c:v>
                </c:pt>
                <c:pt idx="657">
                  <c:v>-7.5553951758480127E-3</c:v>
                </c:pt>
                <c:pt idx="658">
                  <c:v>-7.7129130647324478E-3</c:v>
                </c:pt>
                <c:pt idx="659">
                  <c:v>-1.4870674735558066E-4</c:v>
                </c:pt>
                <c:pt idx="660">
                  <c:v>6.8791886116673015E-3</c:v>
                </c:pt>
                <c:pt idx="661">
                  <c:v>-2.7774667640469717E-3</c:v>
                </c:pt>
                <c:pt idx="662">
                  <c:v>1.1044879979430907E-2</c:v>
                </c:pt>
                <c:pt idx="663">
                  <c:v>-1.345797465496377E-2</c:v>
                </c:pt>
                <c:pt idx="664">
                  <c:v>6.7179659584534019E-3</c:v>
                </c:pt>
                <c:pt idx="665">
                  <c:v>6.2646198329715241E-3</c:v>
                </c:pt>
                <c:pt idx="666">
                  <c:v>1.4508307143874242E-2</c:v>
                </c:pt>
                <c:pt idx="667">
                  <c:v>3.8331820199712027E-3</c:v>
                </c:pt>
                <c:pt idx="668">
                  <c:v>-1.5969365260038277E-3</c:v>
                </c:pt>
                <c:pt idx="669">
                  <c:v>1.7991294195515693E-3</c:v>
                </c:pt>
                <c:pt idx="670">
                  <c:v>-4.1941777185544038E-3</c:v>
                </c:pt>
                <c:pt idx="671">
                  <c:v>-6.9715994280893723E-3</c:v>
                </c:pt>
                <c:pt idx="672">
                  <c:v>-3.2112657685680066E-3</c:v>
                </c:pt>
                <c:pt idx="673">
                  <c:v>1.4266225741163517E-3</c:v>
                </c:pt>
                <c:pt idx="674">
                  <c:v>6.7234532049901723E-3</c:v>
                </c:pt>
                <c:pt idx="675">
                  <c:v>-5.6958856952795123E-3</c:v>
                </c:pt>
                <c:pt idx="676">
                  <c:v>1.2416322915528113E-3</c:v>
                </c:pt>
                <c:pt idx="677">
                  <c:v>8.4299190358159207E-3</c:v>
                </c:pt>
                <c:pt idx="678">
                  <c:v>-1.2159613062608522E-2</c:v>
                </c:pt>
                <c:pt idx="679">
                  <c:v>7.2128771120867792E-4</c:v>
                </c:pt>
                <c:pt idx="680">
                  <c:v>-2.1510106505326474E-3</c:v>
                </c:pt>
                <c:pt idx="681">
                  <c:v>-9.3947947587202877E-3</c:v>
                </c:pt>
                <c:pt idx="682">
                  <c:v>-1.6400934033396531E-2</c:v>
                </c:pt>
                <c:pt idx="683">
                  <c:v>-2.29559838337174E-3</c:v>
                </c:pt>
                <c:pt idx="684">
                  <c:v>4.023064902487104E-3</c:v>
                </c:pt>
                <c:pt idx="685">
                  <c:v>-1.4734533934610605E-2</c:v>
                </c:pt>
                <c:pt idx="686">
                  <c:v>2.2931418506549786E-4</c:v>
                </c:pt>
                <c:pt idx="687">
                  <c:v>5.8931738091624287E-3</c:v>
                </c:pt>
                <c:pt idx="688">
                  <c:v>-2.7095819409801193E-3</c:v>
                </c:pt>
                <c:pt idx="689">
                  <c:v>7.9367548297557978E-5</c:v>
                </c:pt>
                <c:pt idx="690">
                  <c:v>-1.3744071811813321E-2</c:v>
                </c:pt>
                <c:pt idx="691">
                  <c:v>8.1097550316465306E-3</c:v>
                </c:pt>
                <c:pt idx="692">
                  <c:v>-1.3040302550572536E-3</c:v>
                </c:pt>
                <c:pt idx="693">
                  <c:v>1.1814893111176126E-2</c:v>
                </c:pt>
                <c:pt idx="694">
                  <c:v>6.303854241615392E-3</c:v>
                </c:pt>
                <c:pt idx="695">
                  <c:v>5.2079907528619403E-3</c:v>
                </c:pt>
                <c:pt idx="696">
                  <c:v>4.2930081857439151E-3</c:v>
                </c:pt>
                <c:pt idx="697">
                  <c:v>-6.2464343394249356E-3</c:v>
                </c:pt>
                <c:pt idx="698">
                  <c:v>-5.01885886035383E-3</c:v>
                </c:pt>
                <c:pt idx="699">
                  <c:v>1.0594369463741069E-2</c:v>
                </c:pt>
                <c:pt idx="700">
                  <c:v>-9.8245167399607284E-5</c:v>
                </c:pt>
                <c:pt idx="701">
                  <c:v>-1.3399820357412303E-2</c:v>
                </c:pt>
                <c:pt idx="702">
                  <c:v>-8.4828482753165433E-3</c:v>
                </c:pt>
                <c:pt idx="703">
                  <c:v>-1.2585283777466125E-2</c:v>
                </c:pt>
                <c:pt idx="704">
                  <c:v>-1.6855698498756168E-3</c:v>
                </c:pt>
                <c:pt idx="705">
                  <c:v>7.2657922895285583E-3</c:v>
                </c:pt>
                <c:pt idx="706">
                  <c:v>-1.4339628568118429E-2</c:v>
                </c:pt>
                <c:pt idx="707">
                  <c:v>-1.1832520000704472E-2</c:v>
                </c:pt>
                <c:pt idx="708">
                  <c:v>-4.8002801623321109E-3</c:v>
                </c:pt>
                <c:pt idx="709">
                  <c:v>1.2010022318816902E-2</c:v>
                </c:pt>
                <c:pt idx="710">
                  <c:v>6.4749574350684708E-3</c:v>
                </c:pt>
                <c:pt idx="711">
                  <c:v>1.0505999343952955E-2</c:v>
                </c:pt>
                <c:pt idx="712">
                  <c:v>1.8858557050875292E-2</c:v>
                </c:pt>
                <c:pt idx="713">
                  <c:v>9.3937303474592015E-3</c:v>
                </c:pt>
                <c:pt idx="714">
                  <c:v>1.7529922570214292E-3</c:v>
                </c:pt>
                <c:pt idx="715">
                  <c:v>2.8401190698999815E-3</c:v>
                </c:pt>
                <c:pt idx="716">
                  <c:v>1.0049155435515487E-3</c:v>
                </c:pt>
                <c:pt idx="717">
                  <c:v>-8.0838391929381036E-3</c:v>
                </c:pt>
                <c:pt idx="718">
                  <c:v>1.5616440928287066E-2</c:v>
                </c:pt>
                <c:pt idx="719">
                  <c:v>-8.3583877760075287E-4</c:v>
                </c:pt>
                <c:pt idx="720">
                  <c:v>1.907501756063722E-2</c:v>
                </c:pt>
                <c:pt idx="721">
                  <c:v>1.5970121868856648E-3</c:v>
                </c:pt>
                <c:pt idx="722">
                  <c:v>1.1904272686103683E-3</c:v>
                </c:pt>
                <c:pt idx="723">
                  <c:v>1.2820492476000689E-3</c:v>
                </c:pt>
                <c:pt idx="724">
                  <c:v>7.3902780342564095E-3</c:v>
                </c:pt>
                <c:pt idx="725">
                  <c:v>-2.0209312255516205E-3</c:v>
                </c:pt>
                <c:pt idx="726">
                  <c:v>4.0611292695121592E-3</c:v>
                </c:pt>
                <c:pt idx="727">
                  <c:v>5.9687376392270205E-4</c:v>
                </c:pt>
                <c:pt idx="728">
                  <c:v>-1.9541574668370428E-3</c:v>
                </c:pt>
                <c:pt idx="729">
                  <c:v>9.8011854429133345E-4</c:v>
                </c:pt>
                <c:pt idx="730">
                  <c:v>-9.4624872836979353E-4</c:v>
                </c:pt>
                <c:pt idx="731">
                  <c:v>3.7840729544018573E-3</c:v>
                </c:pt>
                <c:pt idx="732">
                  <c:v>5.8737420958403759E-3</c:v>
                </c:pt>
                <c:pt idx="733">
                  <c:v>-5.4085092015669313E-3</c:v>
                </c:pt>
                <c:pt idx="734">
                  <c:v>-5.6886964412003352E-4</c:v>
                </c:pt>
                <c:pt idx="735">
                  <c:v>-3.9062028018401005E-3</c:v>
                </c:pt>
                <c:pt idx="736">
                  <c:v>7.9681890654550967E-3</c:v>
                </c:pt>
                <c:pt idx="737">
                  <c:v>4.0954977743099487E-3</c:v>
                </c:pt>
                <c:pt idx="738">
                  <c:v>3.924494239349448E-3</c:v>
                </c:pt>
                <c:pt idx="739">
                  <c:v>4.5993575409010844E-3</c:v>
                </c:pt>
                <c:pt idx="740">
                  <c:v>1.3650676473096415E-2</c:v>
                </c:pt>
                <c:pt idx="741">
                  <c:v>2.6470624978365224E-3</c:v>
                </c:pt>
                <c:pt idx="742">
                  <c:v>-7.6249645595172599E-5</c:v>
                </c:pt>
                <c:pt idx="743">
                  <c:v>4.5283445394597504E-3</c:v>
                </c:pt>
                <c:pt idx="744">
                  <c:v>5.8664076931590299E-3</c:v>
                </c:pt>
                <c:pt idx="745">
                  <c:v>-1.4684266800173073E-2</c:v>
                </c:pt>
                <c:pt idx="746">
                  <c:v>1.0301467747284956E-2</c:v>
                </c:pt>
                <c:pt idx="747">
                  <c:v>1.6600585663874459E-3</c:v>
                </c:pt>
                <c:pt idx="748">
                  <c:v>4.2316894259086524E-3</c:v>
                </c:pt>
                <c:pt idx="749">
                  <c:v>1.4304577202994832E-3</c:v>
                </c:pt>
                <c:pt idx="750">
                  <c:v>3.7017470608591811E-4</c:v>
                </c:pt>
                <c:pt idx="751">
                  <c:v>-2.826475111167983E-3</c:v>
                </c:pt>
                <c:pt idx="752">
                  <c:v>-5.6605790056406284E-3</c:v>
                </c:pt>
                <c:pt idx="753">
                  <c:v>-8.0163148109308243E-3</c:v>
                </c:pt>
                <c:pt idx="754">
                  <c:v>-3.4283813369139281E-3</c:v>
                </c:pt>
                <c:pt idx="755">
                  <c:v>1.8256860520827357E-3</c:v>
                </c:pt>
                <c:pt idx="756">
                  <c:v>1.4114629377501957E-2</c:v>
                </c:pt>
                <c:pt idx="757">
                  <c:v>-1.4779006668071029E-3</c:v>
                </c:pt>
                <c:pt idx="758">
                  <c:v>5.6659718280248818E-3</c:v>
                </c:pt>
                <c:pt idx="759">
                  <c:v>-6.7105559149664685E-4</c:v>
                </c:pt>
                <c:pt idx="760">
                  <c:v>7.5097564646791444E-4</c:v>
                </c:pt>
                <c:pt idx="761">
                  <c:v>-3.7313403086972874E-3</c:v>
                </c:pt>
                <c:pt idx="762">
                  <c:v>-5.6168970730759351E-3</c:v>
                </c:pt>
                <c:pt idx="763">
                  <c:v>8.8052608648709896E-3</c:v>
                </c:pt>
                <c:pt idx="764">
                  <c:v>1.2313502935928375E-2</c:v>
                </c:pt>
                <c:pt idx="765">
                  <c:v>2.1943251637015289E-3</c:v>
                </c:pt>
                <c:pt idx="766">
                  <c:v>2.9213742876071126E-3</c:v>
                </c:pt>
                <c:pt idx="767">
                  <c:v>8.1192840530172649E-4</c:v>
                </c:pt>
                <c:pt idx="768">
                  <c:v>5.2603654118313506E-3</c:v>
                </c:pt>
                <c:pt idx="769">
                  <c:v>-6.5178516810262621E-4</c:v>
                </c:pt>
                <c:pt idx="770">
                  <c:v>7.5567749087180986E-3</c:v>
                </c:pt>
                <c:pt idx="771">
                  <c:v>-6.0064994719591716E-4</c:v>
                </c:pt>
                <c:pt idx="772">
                  <c:v>-1.6105744712610441E-2</c:v>
                </c:pt>
                <c:pt idx="773">
                  <c:v>1.2493688199597777E-2</c:v>
                </c:pt>
                <c:pt idx="774">
                  <c:v>1.0684446103877421E-2</c:v>
                </c:pt>
                <c:pt idx="775">
                  <c:v>-3.1863373882050688E-3</c:v>
                </c:pt>
                <c:pt idx="776">
                  <c:v>2.3104106497489232E-3</c:v>
                </c:pt>
                <c:pt idx="777">
                  <c:v>8.2414581407866533E-3</c:v>
                </c:pt>
                <c:pt idx="778">
                  <c:v>5.7058312939887524E-4</c:v>
                </c:pt>
                <c:pt idx="779">
                  <c:v>5.7423415195940871E-3</c:v>
                </c:pt>
                <c:pt idx="780">
                  <c:v>-9.4895349549820301E-4</c:v>
                </c:pt>
                <c:pt idx="781">
                  <c:v>-1.3674255677835997E-2</c:v>
                </c:pt>
                <c:pt idx="782">
                  <c:v>9.5797632116850183E-3</c:v>
                </c:pt>
                <c:pt idx="783">
                  <c:v>5.8212506287047107E-3</c:v>
                </c:pt>
                <c:pt idx="784">
                  <c:v>-4.8034697878552744E-3</c:v>
                </c:pt>
                <c:pt idx="785">
                  <c:v>-6.0053218828098852E-3</c:v>
                </c:pt>
                <c:pt idx="786">
                  <c:v>1.2641999103252335E-3</c:v>
                </c:pt>
                <c:pt idx="787">
                  <c:v>2.1122884121996564E-2</c:v>
                </c:pt>
                <c:pt idx="788">
                  <c:v>3.4794763836829619E-4</c:v>
                </c:pt>
                <c:pt idx="789">
                  <c:v>-3.7867514420720926E-3</c:v>
                </c:pt>
                <c:pt idx="790">
                  <c:v>1.7063497734238339E-3</c:v>
                </c:pt>
                <c:pt idx="791">
                  <c:v>-1.6581550295902143E-3</c:v>
                </c:pt>
                <c:pt idx="792">
                  <c:v>5.2290947152543645E-3</c:v>
                </c:pt>
                <c:pt idx="793">
                  <c:v>8.0078288316442117E-3</c:v>
                </c:pt>
                <c:pt idx="794">
                  <c:v>-1.1932621074472588E-3</c:v>
                </c:pt>
                <c:pt idx="795">
                  <c:v>-1.0193100890155928E-2</c:v>
                </c:pt>
                <c:pt idx="796">
                  <c:v>5.1411033451464749E-3</c:v>
                </c:pt>
                <c:pt idx="797">
                  <c:v>1.0304127796637932E-2</c:v>
                </c:pt>
                <c:pt idx="798">
                  <c:v>-6.528519028031231E-3</c:v>
                </c:pt>
                <c:pt idx="799">
                  <c:v>-1.1222380874354317E-3</c:v>
                </c:pt>
                <c:pt idx="800">
                  <c:v>1.1201788153222937E-2</c:v>
                </c:pt>
                <c:pt idx="801">
                  <c:v>-1.9245297272430177E-3</c:v>
                </c:pt>
                <c:pt idx="802">
                  <c:v>-2.8710917313009062E-3</c:v>
                </c:pt>
                <c:pt idx="803">
                  <c:v>-6.4829173455014542E-3</c:v>
                </c:pt>
                <c:pt idx="804">
                  <c:v>6.3180594802157543E-3</c:v>
                </c:pt>
                <c:pt idx="805">
                  <c:v>5.6491496985357111E-3</c:v>
                </c:pt>
                <c:pt idx="806">
                  <c:v>8.9041738035799747E-3</c:v>
                </c:pt>
                <c:pt idx="807">
                  <c:v>3.2365354076133164E-3</c:v>
                </c:pt>
                <c:pt idx="808">
                  <c:v>-1.4021877775134829E-3</c:v>
                </c:pt>
                <c:pt idx="809">
                  <c:v>-3.0549645717813387E-3</c:v>
                </c:pt>
                <c:pt idx="810">
                  <c:v>-2.7997951713501414E-3</c:v>
                </c:pt>
                <c:pt idx="811">
                  <c:v>8.6306264776963258E-3</c:v>
                </c:pt>
                <c:pt idx="812">
                  <c:v>1.1164856442028802E-3</c:v>
                </c:pt>
                <c:pt idx="813">
                  <c:v>-2.0135845161949003E-3</c:v>
                </c:pt>
                <c:pt idx="814">
                  <c:v>-7.2390590844408484E-3</c:v>
                </c:pt>
                <c:pt idx="815">
                  <c:v>1.0911222145301685E-3</c:v>
                </c:pt>
                <c:pt idx="816">
                  <c:v>-1.2334336267318103E-2</c:v>
                </c:pt>
                <c:pt idx="817">
                  <c:v>1.1099194210624609E-2</c:v>
                </c:pt>
                <c:pt idx="818">
                  <c:v>-3.7463099229531448E-4</c:v>
                </c:pt>
                <c:pt idx="819">
                  <c:v>1.4454930910537346E-3</c:v>
                </c:pt>
                <c:pt idx="820">
                  <c:v>-9.4569805475930736E-3</c:v>
                </c:pt>
                <c:pt idx="821">
                  <c:v>7.4447977344016926E-3</c:v>
                </c:pt>
                <c:pt idx="822">
                  <c:v>-1.4550688420889512E-2</c:v>
                </c:pt>
                <c:pt idx="823">
                  <c:v>-1.2021354942249086E-2</c:v>
                </c:pt>
                <c:pt idx="824">
                  <c:v>-2.0565070195987752E-3</c:v>
                </c:pt>
                <c:pt idx="825">
                  <c:v>-5.7806026630636467E-3</c:v>
                </c:pt>
                <c:pt idx="826">
                  <c:v>-2.2081601697494574E-3</c:v>
                </c:pt>
                <c:pt idx="827">
                  <c:v>-8.7585481838890668E-3</c:v>
                </c:pt>
                <c:pt idx="828">
                  <c:v>8.731248235862802E-3</c:v>
                </c:pt>
                <c:pt idx="829">
                  <c:v>1.1964576263814971E-2</c:v>
                </c:pt>
                <c:pt idx="830">
                  <c:v>2.1301003668969143E-4</c:v>
                </c:pt>
                <c:pt idx="831">
                  <c:v>-4.5764303656697985E-3</c:v>
                </c:pt>
                <c:pt idx="832">
                  <c:v>1.0209142622110015E-2</c:v>
                </c:pt>
                <c:pt idx="833">
                  <c:v>3.1784486788053192E-3</c:v>
                </c:pt>
                <c:pt idx="834">
                  <c:v>-1.573051369031531E-2</c:v>
                </c:pt>
                <c:pt idx="835">
                  <c:v>-3.4354386792455841E-3</c:v>
                </c:pt>
                <c:pt idx="836">
                  <c:v>9.1284369587465615E-3</c:v>
                </c:pt>
                <c:pt idx="837">
                  <c:v>1.2556739771619569E-2</c:v>
                </c:pt>
                <c:pt idx="838">
                  <c:v>1.0326123846195067E-2</c:v>
                </c:pt>
                <c:pt idx="839">
                  <c:v>1.3434298354362301E-3</c:v>
                </c:pt>
                <c:pt idx="840">
                  <c:v>-5.8355338324069504E-6</c:v>
                </c:pt>
                <c:pt idx="841">
                  <c:v>5.0909476503119572E-3</c:v>
                </c:pt>
                <c:pt idx="842">
                  <c:v>1.649398910516673E-3</c:v>
                </c:pt>
                <c:pt idx="843">
                  <c:v>-2.4130407329767237E-4</c:v>
                </c:pt>
                <c:pt idx="844">
                  <c:v>4.8378131575987429E-3</c:v>
                </c:pt>
                <c:pt idx="845">
                  <c:v>1.1715927774897073E-2</c:v>
                </c:pt>
                <c:pt idx="846">
                  <c:v>-2.0816676627457122E-3</c:v>
                </c:pt>
                <c:pt idx="847">
                  <c:v>1.164773533792497E-3</c:v>
                </c:pt>
                <c:pt idx="848">
                  <c:v>9.1638988429249869E-4</c:v>
                </c:pt>
                <c:pt idx="849">
                  <c:v>2.501874161469215E-3</c:v>
                </c:pt>
                <c:pt idx="850">
                  <c:v>-2.7061229219031446E-3</c:v>
                </c:pt>
                <c:pt idx="851">
                  <c:v>-7.3807895080478057E-3</c:v>
                </c:pt>
                <c:pt idx="852">
                  <c:v>7.0010425700406309E-3</c:v>
                </c:pt>
                <c:pt idx="853">
                  <c:v>2.4880181168992214E-4</c:v>
                </c:pt>
                <c:pt idx="854">
                  <c:v>-7.3670465568833375E-3</c:v>
                </c:pt>
                <c:pt idx="855">
                  <c:v>-5.9750356154640418E-3</c:v>
                </c:pt>
                <c:pt idx="856">
                  <c:v>8.0278763667433715E-3</c:v>
                </c:pt>
                <c:pt idx="857">
                  <c:v>1.1160824444033789E-3</c:v>
                </c:pt>
                <c:pt idx="858">
                  <c:v>1.5028092037845469E-3</c:v>
                </c:pt>
                <c:pt idx="859">
                  <c:v>1.1847649715995001E-2</c:v>
                </c:pt>
                <c:pt idx="860">
                  <c:v>-1.998165947820093E-4</c:v>
                </c:pt>
                <c:pt idx="861">
                  <c:v>-1.1152198117477558E-3</c:v>
                </c:pt>
                <c:pt idx="862">
                  <c:v>2.5808547231396645E-3</c:v>
                </c:pt>
                <c:pt idx="863">
                  <c:v>2.7103812860221812E-3</c:v>
                </c:pt>
                <c:pt idx="864">
                  <c:v>8.5036728039718529E-3</c:v>
                </c:pt>
                <c:pt idx="865">
                  <c:v>2.344655813397298E-3</c:v>
                </c:pt>
                <c:pt idx="866">
                  <c:v>-3.9386056525277465E-4</c:v>
                </c:pt>
                <c:pt idx="867">
                  <c:v>7.6643864144801373E-3</c:v>
                </c:pt>
                <c:pt idx="868">
                  <c:v>2.5213274520577795E-3</c:v>
                </c:pt>
                <c:pt idx="869">
                  <c:v>-2.5259317960854987E-3</c:v>
                </c:pt>
                <c:pt idx="870">
                  <c:v>-1.5621303781621658E-3</c:v>
                </c:pt>
                <c:pt idx="871">
                  <c:v>-3.0651718950951553E-3</c:v>
                </c:pt>
                <c:pt idx="872">
                  <c:v>3.9335901076511031E-3</c:v>
                </c:pt>
                <c:pt idx="873">
                  <c:v>1.5724310801427095E-3</c:v>
                </c:pt>
                <c:pt idx="874">
                  <c:v>9.0732125247225447E-4</c:v>
                </c:pt>
                <c:pt idx="875">
                  <c:v>-4.0836526348815424E-3</c:v>
                </c:pt>
                <c:pt idx="876">
                  <c:v>2.67556406277677E-3</c:v>
                </c:pt>
                <c:pt idx="877">
                  <c:v>6.1953178790612818E-3</c:v>
                </c:pt>
                <c:pt idx="878">
                  <c:v>5.0844444264504509E-3</c:v>
                </c:pt>
                <c:pt idx="879">
                  <c:v>5.4487650199971111E-3</c:v>
                </c:pt>
                <c:pt idx="880">
                  <c:v>1.016699099543127E-3</c:v>
                </c:pt>
                <c:pt idx="881">
                  <c:v>7.4107179044387425E-4</c:v>
                </c:pt>
                <c:pt idx="882">
                  <c:v>1.0208065333596526E-2</c:v>
                </c:pt>
                <c:pt idx="883">
                  <c:v>-8.763028808228563E-3</c:v>
                </c:pt>
                <c:pt idx="884">
                  <c:v>5.5170271472378017E-3</c:v>
                </c:pt>
                <c:pt idx="885">
                  <c:v>2.8262025916519075E-3</c:v>
                </c:pt>
                <c:pt idx="886">
                  <c:v>6.3893754153246281E-3</c:v>
                </c:pt>
                <c:pt idx="887">
                  <c:v>-1.3927543104907097E-2</c:v>
                </c:pt>
                <c:pt idx="888">
                  <c:v>-7.8164039754113103E-3</c:v>
                </c:pt>
                <c:pt idx="889">
                  <c:v>-7.1402655766939511E-3</c:v>
                </c:pt>
                <c:pt idx="890">
                  <c:v>1.0792035603996351E-2</c:v>
                </c:pt>
                <c:pt idx="891">
                  <c:v>-1.5581026123049945E-3</c:v>
                </c:pt>
                <c:pt idx="892">
                  <c:v>-2.3149093655050877E-2</c:v>
                </c:pt>
                <c:pt idx="893">
                  <c:v>-5.1426202434225639E-3</c:v>
                </c:pt>
                <c:pt idx="894">
                  <c:v>1.1090468737252571E-2</c:v>
                </c:pt>
                <c:pt idx="895">
                  <c:v>8.1331005482518349E-4</c:v>
                </c:pt>
                <c:pt idx="896">
                  <c:v>-4.960171941004201E-3</c:v>
                </c:pt>
                <c:pt idx="897">
                  <c:v>1.5793398792557364E-2</c:v>
                </c:pt>
                <c:pt idx="898">
                  <c:v>-1.3693503009657732E-2</c:v>
                </c:pt>
                <c:pt idx="899">
                  <c:v>-1.8381860833533818E-2</c:v>
                </c:pt>
                <c:pt idx="900">
                  <c:v>-2.9968798485725642E-2</c:v>
                </c:pt>
                <c:pt idx="901">
                  <c:v>1.0354085874285103E-2</c:v>
                </c:pt>
                <c:pt idx="902">
                  <c:v>-7.7346478289149114E-3</c:v>
                </c:pt>
                <c:pt idx="903">
                  <c:v>2.3042611597269037E-2</c:v>
                </c:pt>
                <c:pt idx="904">
                  <c:v>4.6716767258104192E-3</c:v>
                </c:pt>
                <c:pt idx="905">
                  <c:v>4.3034077064887879E-5</c:v>
                </c:pt>
                <c:pt idx="906">
                  <c:v>1.6847579740977191E-2</c:v>
                </c:pt>
                <c:pt idx="907">
                  <c:v>3.8237283996708986E-3</c:v>
                </c:pt>
                <c:pt idx="908">
                  <c:v>1.6133247781331496E-2</c:v>
                </c:pt>
                <c:pt idx="909">
                  <c:v>1.9897793290176401E-3</c:v>
                </c:pt>
                <c:pt idx="910">
                  <c:v>9.722284736913174E-3</c:v>
                </c:pt>
                <c:pt idx="911">
                  <c:v>-1.9845554317299706E-3</c:v>
                </c:pt>
                <c:pt idx="912">
                  <c:v>4.2396769238389198E-3</c:v>
                </c:pt>
                <c:pt idx="913">
                  <c:v>-8.9328055586939022E-3</c:v>
                </c:pt>
                <c:pt idx="914">
                  <c:v>1.1483370748563461E-2</c:v>
                </c:pt>
                <c:pt idx="915">
                  <c:v>-3.1537265990122009E-3</c:v>
                </c:pt>
                <c:pt idx="916">
                  <c:v>1.5951960976011703E-3</c:v>
                </c:pt>
                <c:pt idx="917">
                  <c:v>-5.9759732243084692E-3</c:v>
                </c:pt>
                <c:pt idx="918">
                  <c:v>-3.9379096000049961E-5</c:v>
                </c:pt>
                <c:pt idx="919">
                  <c:v>1.0093051701662666E-2</c:v>
                </c:pt>
                <c:pt idx="920">
                  <c:v>-2.1151074299413205E-2</c:v>
                </c:pt>
                <c:pt idx="921">
                  <c:v>-1.6025436599761635E-3</c:v>
                </c:pt>
                <c:pt idx="922">
                  <c:v>-3.0180176213655515E-3</c:v>
                </c:pt>
                <c:pt idx="923">
                  <c:v>-1.726024979192917E-2</c:v>
                </c:pt>
                <c:pt idx="924">
                  <c:v>1.1580070316884615E-2</c:v>
                </c:pt>
                <c:pt idx="925">
                  <c:v>4.4726726811437391E-3</c:v>
                </c:pt>
                <c:pt idx="926">
                  <c:v>1.0665025836808738E-2</c:v>
                </c:pt>
                <c:pt idx="927">
                  <c:v>7.495302392445064E-3</c:v>
                </c:pt>
                <c:pt idx="928">
                  <c:v>5.4077114217558073E-3</c:v>
                </c:pt>
                <c:pt idx="929">
                  <c:v>1.2566297266749067E-3</c:v>
                </c:pt>
                <c:pt idx="930">
                  <c:v>2.6455001451595398E-4</c:v>
                </c:pt>
                <c:pt idx="931">
                  <c:v>-2.8964557738245405E-3</c:v>
                </c:pt>
                <c:pt idx="932">
                  <c:v>1.6976853148943594E-2</c:v>
                </c:pt>
                <c:pt idx="933">
                  <c:v>-1.9410273895590058E-3</c:v>
                </c:pt>
                <c:pt idx="934">
                  <c:v>2.8092729652188461E-3</c:v>
                </c:pt>
                <c:pt idx="935">
                  <c:v>2.5111789209482762E-3</c:v>
                </c:pt>
                <c:pt idx="936">
                  <c:v>-1.8612489028158226E-3</c:v>
                </c:pt>
                <c:pt idx="937">
                  <c:v>4.0386756185581147E-3</c:v>
                </c:pt>
                <c:pt idx="938">
                  <c:v>-1.2532169126399117E-3</c:v>
                </c:pt>
                <c:pt idx="939">
                  <c:v>4.2365524776106526E-3</c:v>
                </c:pt>
                <c:pt idx="940">
                  <c:v>-9.3241070140776556E-3</c:v>
                </c:pt>
                <c:pt idx="941">
                  <c:v>1.3839089117590253E-4</c:v>
                </c:pt>
                <c:pt idx="942">
                  <c:v>-1.6814135524798265E-3</c:v>
                </c:pt>
                <c:pt idx="943">
                  <c:v>8.9702494288089411E-3</c:v>
                </c:pt>
                <c:pt idx="944">
                  <c:v>-9.5860221988500263E-3</c:v>
                </c:pt>
                <c:pt idx="945">
                  <c:v>9.6893476005139607E-3</c:v>
                </c:pt>
                <c:pt idx="946">
                  <c:v>7.1134119437867033E-3</c:v>
                </c:pt>
                <c:pt idx="947">
                  <c:v>-2.0701227752684707E-3</c:v>
                </c:pt>
                <c:pt idx="948">
                  <c:v>6.0518475065285482E-3</c:v>
                </c:pt>
                <c:pt idx="949">
                  <c:v>7.7076669694134976E-3</c:v>
                </c:pt>
                <c:pt idx="950">
                  <c:v>-7.6094663266588845E-3</c:v>
                </c:pt>
                <c:pt idx="951">
                  <c:v>4.6791459186554512E-3</c:v>
                </c:pt>
                <c:pt idx="952">
                  <c:v>-1.7116047890712268E-4</c:v>
                </c:pt>
                <c:pt idx="953">
                  <c:v>3.971552733492755E-3</c:v>
                </c:pt>
                <c:pt idx="954">
                  <c:v>-1.8227695918399504E-3</c:v>
                </c:pt>
                <c:pt idx="955">
                  <c:v>-4.7485386173112939E-4</c:v>
                </c:pt>
                <c:pt idx="956">
                  <c:v>-9.1913233537893515E-3</c:v>
                </c:pt>
                <c:pt idx="957">
                  <c:v>2.1457719412031292E-3</c:v>
                </c:pt>
                <c:pt idx="958">
                  <c:v>-2.9944715380810318E-4</c:v>
                </c:pt>
                <c:pt idx="959">
                  <c:v>2.6514436151079241E-3</c:v>
                </c:pt>
                <c:pt idx="960">
                  <c:v>1.6141271890055442E-3</c:v>
                </c:pt>
                <c:pt idx="961">
                  <c:v>-3.300233889272996E-3</c:v>
                </c:pt>
                <c:pt idx="962">
                  <c:v>-1.8614700946552928E-2</c:v>
                </c:pt>
                <c:pt idx="963">
                  <c:v>4.0925096533945471E-3</c:v>
                </c:pt>
                <c:pt idx="964">
                  <c:v>-2.8120836036091886E-3</c:v>
                </c:pt>
                <c:pt idx="965">
                  <c:v>1.2265644682920573E-2</c:v>
                </c:pt>
                <c:pt idx="966">
                  <c:v>2.5295927709129789E-2</c:v>
                </c:pt>
                <c:pt idx="967">
                  <c:v>7.4312297960852838E-3</c:v>
                </c:pt>
                <c:pt idx="968">
                  <c:v>3.7568332410023082E-3</c:v>
                </c:pt>
                <c:pt idx="969">
                  <c:v>9.6906349756752162E-4</c:v>
                </c:pt>
                <c:pt idx="970">
                  <c:v>-2.8926597709714244E-3</c:v>
                </c:pt>
                <c:pt idx="971">
                  <c:v>2.3222781883967488E-4</c:v>
                </c:pt>
                <c:pt idx="972">
                  <c:v>-6.0497348051115453E-3</c:v>
                </c:pt>
                <c:pt idx="973">
                  <c:v>-1.3203489903612078E-2</c:v>
                </c:pt>
                <c:pt idx="974">
                  <c:v>3.9178143946662731E-3</c:v>
                </c:pt>
                <c:pt idx="975">
                  <c:v>3.9635847808749559E-3</c:v>
                </c:pt>
                <c:pt idx="976">
                  <c:v>2.1950893942285862E-5</c:v>
                </c:pt>
                <c:pt idx="977">
                  <c:v>5.340461598929736E-3</c:v>
                </c:pt>
                <c:pt idx="978">
                  <c:v>3.4679591264746351E-3</c:v>
                </c:pt>
                <c:pt idx="979">
                  <c:v>3.0204802325207178E-3</c:v>
                </c:pt>
                <c:pt idx="980">
                  <c:v>5.7220057104412367E-3</c:v>
                </c:pt>
                <c:pt idx="981">
                  <c:v>-3.8012381107349002E-3</c:v>
                </c:pt>
                <c:pt idx="982">
                  <c:v>5.607785582935401E-3</c:v>
                </c:pt>
                <c:pt idx="983">
                  <c:v>2.4484563781575265E-3</c:v>
                </c:pt>
                <c:pt idx="984">
                  <c:v>4.5144920239146034E-4</c:v>
                </c:pt>
                <c:pt idx="985">
                  <c:v>6.0514178311001461E-3</c:v>
                </c:pt>
                <c:pt idx="986">
                  <c:v>-1.8697756116370359E-3</c:v>
                </c:pt>
                <c:pt idx="987">
                  <c:v>2.4954539657516405E-3</c:v>
                </c:pt>
                <c:pt idx="988">
                  <c:v>-6.1442139473481087E-3</c:v>
                </c:pt>
                <c:pt idx="989">
                  <c:v>-2.9638834118703421E-3</c:v>
                </c:pt>
                <c:pt idx="990">
                  <c:v>8.1657860226808845E-3</c:v>
                </c:pt>
                <c:pt idx="991">
                  <c:v>-5.4140224614002792E-3</c:v>
                </c:pt>
                <c:pt idx="992">
                  <c:v>-2.6466597810355774E-5</c:v>
                </c:pt>
                <c:pt idx="993">
                  <c:v>3.7993542638928091E-3</c:v>
                </c:pt>
                <c:pt idx="994">
                  <c:v>-3.8639949916050944E-3</c:v>
                </c:pt>
                <c:pt idx="995">
                  <c:v>-2.9492846347809513E-2</c:v>
                </c:pt>
                <c:pt idx="996">
                  <c:v>-8.6511230365699139E-4</c:v>
                </c:pt>
                <c:pt idx="997">
                  <c:v>1.0869123849037045E-2</c:v>
                </c:pt>
                <c:pt idx="998">
                  <c:v>7.2872733732681615E-3</c:v>
                </c:pt>
                <c:pt idx="999">
                  <c:v>1.1042759281951151E-2</c:v>
                </c:pt>
                <c:pt idx="1000">
                  <c:v>-4.056587347401107E-4</c:v>
                </c:pt>
                <c:pt idx="1001">
                  <c:v>-1.1055736100777766E-2</c:v>
                </c:pt>
                <c:pt idx="1002">
                  <c:v>-1.0701995811227867E-2</c:v>
                </c:pt>
                <c:pt idx="1003">
                  <c:v>-4.284800294704745E-3</c:v>
                </c:pt>
                <c:pt idx="1004">
                  <c:v>-2.2238866198986832E-3</c:v>
                </c:pt>
                <c:pt idx="1005">
                  <c:v>1.2596026694196323E-2</c:v>
                </c:pt>
                <c:pt idx="1006">
                  <c:v>5.5380450905632896E-3</c:v>
                </c:pt>
                <c:pt idx="1007">
                  <c:v>-1.1103912939287159E-2</c:v>
                </c:pt>
                <c:pt idx="1008">
                  <c:v>1.560360217409241E-3</c:v>
                </c:pt>
                <c:pt idx="1009">
                  <c:v>-1.5411643813627265E-2</c:v>
                </c:pt>
                <c:pt idx="1010">
                  <c:v>1.575444125758108E-3</c:v>
                </c:pt>
                <c:pt idx="1011">
                  <c:v>1.1462797416049242E-3</c:v>
                </c:pt>
                <c:pt idx="1012">
                  <c:v>1.8312792280422666E-2</c:v>
                </c:pt>
                <c:pt idx="1013">
                  <c:v>-2.1126893802461363E-3</c:v>
                </c:pt>
                <c:pt idx="1014">
                  <c:v>9.9910588847202646E-3</c:v>
                </c:pt>
                <c:pt idx="1015">
                  <c:v>8.7682270851034624E-3</c:v>
                </c:pt>
                <c:pt idx="1016">
                  <c:v>6.1379415536037905E-3</c:v>
                </c:pt>
                <c:pt idx="1017">
                  <c:v>5.3134862616504219E-3</c:v>
                </c:pt>
                <c:pt idx="1018">
                  <c:v>-2.8551323908715819E-3</c:v>
                </c:pt>
                <c:pt idx="1019">
                  <c:v>-1.4580715655852367E-2</c:v>
                </c:pt>
                <c:pt idx="1020">
                  <c:v>9.217869424218858E-3</c:v>
                </c:pt>
                <c:pt idx="1021">
                  <c:v>-4.6788956421074434E-3</c:v>
                </c:pt>
                <c:pt idx="1022">
                  <c:v>5.2754143583870058E-3</c:v>
                </c:pt>
                <c:pt idx="1023">
                  <c:v>-5.0468258002415904E-3</c:v>
                </c:pt>
                <c:pt idx="1024">
                  <c:v>-7.608597695210201E-3</c:v>
                </c:pt>
                <c:pt idx="1025">
                  <c:v>7.2248818967129702E-3</c:v>
                </c:pt>
                <c:pt idx="1026">
                  <c:v>3.9086728218042065E-3</c:v>
                </c:pt>
                <c:pt idx="1027">
                  <c:v>3.6442987641444103E-3</c:v>
                </c:pt>
                <c:pt idx="1028">
                  <c:v>-9.4647701375672223E-3</c:v>
                </c:pt>
                <c:pt idx="1029">
                  <c:v>6.712541081094584E-3</c:v>
                </c:pt>
                <c:pt idx="1030">
                  <c:v>3.3958285584885923E-4</c:v>
                </c:pt>
                <c:pt idx="1031">
                  <c:v>-2.7238666886380027E-3</c:v>
                </c:pt>
                <c:pt idx="1032">
                  <c:v>1.0426292059998163E-2</c:v>
                </c:pt>
                <c:pt idx="1033">
                  <c:v>-7.1943741063085624E-5</c:v>
                </c:pt>
                <c:pt idx="1034">
                  <c:v>2.4449877238792721E-3</c:v>
                </c:pt>
                <c:pt idx="1035">
                  <c:v>2.3769693542781958E-3</c:v>
                </c:pt>
                <c:pt idx="1036">
                  <c:v>-4.3341849441745897E-3</c:v>
                </c:pt>
                <c:pt idx="1037">
                  <c:v>-1.7064126747230544E-2</c:v>
                </c:pt>
                <c:pt idx="1038">
                  <c:v>-4.9691065354291481E-3</c:v>
                </c:pt>
                <c:pt idx="1039">
                  <c:v>-4.6797309154723602E-3</c:v>
                </c:pt>
                <c:pt idx="1040">
                  <c:v>1.3602434826419797E-4</c:v>
                </c:pt>
                <c:pt idx="1041">
                  <c:v>-1.5864553759362989E-2</c:v>
                </c:pt>
                <c:pt idx="1042">
                  <c:v>1.5854144672899806E-2</c:v>
                </c:pt>
                <c:pt idx="1043">
                  <c:v>-1.7596739440759044E-2</c:v>
                </c:pt>
                <c:pt idx="1044">
                  <c:v>-1.2234826687347844E-2</c:v>
                </c:pt>
                <c:pt idx="1045">
                  <c:v>1.1159277985792812E-2</c:v>
                </c:pt>
                <c:pt idx="1046">
                  <c:v>-1.7819007037040428E-2</c:v>
                </c:pt>
                <c:pt idx="1047">
                  <c:v>5.5206176661557445E-3</c:v>
                </c:pt>
                <c:pt idx="1048">
                  <c:v>-2.6973091182324216E-2</c:v>
                </c:pt>
                <c:pt idx="1049">
                  <c:v>-7.5678654344233827E-3</c:v>
                </c:pt>
                <c:pt idx="1050">
                  <c:v>4.8868700249796969E-3</c:v>
                </c:pt>
                <c:pt idx="1051">
                  <c:v>-1.3890984178154705E-2</c:v>
                </c:pt>
                <c:pt idx="1052">
                  <c:v>2.1265868922811532E-2</c:v>
                </c:pt>
                <c:pt idx="1053">
                  <c:v>6.4161307583610527E-3</c:v>
                </c:pt>
                <c:pt idx="1054">
                  <c:v>-1.0653512129001598E-2</c:v>
                </c:pt>
                <c:pt idx="1055">
                  <c:v>1.0798495601770224E-2</c:v>
                </c:pt>
                <c:pt idx="1056">
                  <c:v>-2.1848930917696329E-3</c:v>
                </c:pt>
                <c:pt idx="1057">
                  <c:v>8.2465346969877863E-4</c:v>
                </c:pt>
                <c:pt idx="1058">
                  <c:v>1.7646000035091959E-2</c:v>
                </c:pt>
                <c:pt idx="1059">
                  <c:v>1.57433343281185E-3</c:v>
                </c:pt>
                <c:pt idx="1060">
                  <c:v>-1.1156934917881365E-2</c:v>
                </c:pt>
                <c:pt idx="1061">
                  <c:v>-3.3069807351175972E-3</c:v>
                </c:pt>
                <c:pt idx="1062">
                  <c:v>-1.9737220849647165E-2</c:v>
                </c:pt>
                <c:pt idx="1063">
                  <c:v>5.5385217054426377E-3</c:v>
                </c:pt>
                <c:pt idx="1064">
                  <c:v>3.7812353554423587E-3</c:v>
                </c:pt>
                <c:pt idx="1065">
                  <c:v>6.7281947826251772E-3</c:v>
                </c:pt>
                <c:pt idx="1066">
                  <c:v>-4.8395633303462929E-2</c:v>
                </c:pt>
                <c:pt idx="1067">
                  <c:v>-5.974960545036577E-2</c:v>
                </c:pt>
                <c:pt idx="1068">
                  <c:v>-2.3314724675498034E-3</c:v>
                </c:pt>
                <c:pt idx="1069">
                  <c:v>-1.5700524470344229E-2</c:v>
                </c:pt>
                <c:pt idx="1070">
                  <c:v>9.5153876277035199E-2</c:v>
                </c:pt>
                <c:pt idx="1071">
                  <c:v>-3.4607579466646492E-2</c:v>
                </c:pt>
                <c:pt idx="1072">
                  <c:v>1.80920950879279E-2</c:v>
                </c:pt>
                <c:pt idx="1073">
                  <c:v>7.9447124728577265E-3</c:v>
                </c:pt>
                <c:pt idx="1074">
                  <c:v>-1.7277808845642467E-3</c:v>
                </c:pt>
                <c:pt idx="1075">
                  <c:v>-2.2408371635961471E-2</c:v>
                </c:pt>
                <c:pt idx="1076">
                  <c:v>1.3268380956586937E-3</c:v>
                </c:pt>
                <c:pt idx="1077">
                  <c:v>-2.3567493025221733E-2</c:v>
                </c:pt>
                <c:pt idx="1078">
                  <c:v>2.5117204858699706E-2</c:v>
                </c:pt>
                <c:pt idx="1079">
                  <c:v>1.6661138345671119E-2</c:v>
                </c:pt>
                <c:pt idx="1080">
                  <c:v>2.025911384885374E-2</c:v>
                </c:pt>
                <c:pt idx="1081">
                  <c:v>7.3731333952995236E-3</c:v>
                </c:pt>
                <c:pt idx="1082">
                  <c:v>6.4070669259412669E-4</c:v>
                </c:pt>
                <c:pt idx="1083">
                  <c:v>5.8024106714899314E-3</c:v>
                </c:pt>
                <c:pt idx="1084">
                  <c:v>1.4799914553332999E-3</c:v>
                </c:pt>
                <c:pt idx="1085">
                  <c:v>6.2991021156807306E-3</c:v>
                </c:pt>
                <c:pt idx="1086">
                  <c:v>1.4726574101014439E-2</c:v>
                </c:pt>
                <c:pt idx="1087">
                  <c:v>-6.3815975778030104E-3</c:v>
                </c:pt>
                <c:pt idx="1088">
                  <c:v>-7.6932397290286215E-3</c:v>
                </c:pt>
                <c:pt idx="1089">
                  <c:v>4.3463562500500683E-3</c:v>
                </c:pt>
                <c:pt idx="1090">
                  <c:v>5.7997750506015603E-3</c:v>
                </c:pt>
                <c:pt idx="1091">
                  <c:v>-7.1148088468046843E-4</c:v>
                </c:pt>
                <c:pt idx="1092">
                  <c:v>3.2558782722840046E-2</c:v>
                </c:pt>
                <c:pt idx="1093">
                  <c:v>7.2482011070214838E-3</c:v>
                </c:pt>
                <c:pt idx="1094">
                  <c:v>1.0244155234834214E-3</c:v>
                </c:pt>
                <c:pt idx="1095">
                  <c:v>4.132332132559589E-3</c:v>
                </c:pt>
                <c:pt idx="1096">
                  <c:v>7.0052722893581372E-3</c:v>
                </c:pt>
                <c:pt idx="1097">
                  <c:v>8.7611315533845107E-4</c:v>
                </c:pt>
                <c:pt idx="1098">
                  <c:v>-3.8802294955627191E-3</c:v>
                </c:pt>
                <c:pt idx="1099">
                  <c:v>-1.6135130718710335E-2</c:v>
                </c:pt>
                <c:pt idx="1100">
                  <c:v>-4.4487092568141714E-4</c:v>
                </c:pt>
                <c:pt idx="1101">
                  <c:v>-6.708297926525577E-3</c:v>
                </c:pt>
                <c:pt idx="1102">
                  <c:v>2.0459055872971092E-2</c:v>
                </c:pt>
                <c:pt idx="1103">
                  <c:v>-5.5712253539996334E-3</c:v>
                </c:pt>
                <c:pt idx="1104">
                  <c:v>4.0111942298500089E-3</c:v>
                </c:pt>
                <c:pt idx="1105">
                  <c:v>-8.118525115699596E-5</c:v>
                </c:pt>
                <c:pt idx="1106">
                  <c:v>4.1020419274387654E-3</c:v>
                </c:pt>
                <c:pt idx="1107">
                  <c:v>5.8002904918543477E-3</c:v>
                </c:pt>
                <c:pt idx="1108">
                  <c:v>7.368755895841116E-5</c:v>
                </c:pt>
                <c:pt idx="1109">
                  <c:v>-5.2773834184365424E-3</c:v>
                </c:pt>
                <c:pt idx="1110">
                  <c:v>1.0280682909557221E-2</c:v>
                </c:pt>
                <c:pt idx="1111">
                  <c:v>9.1994815744935788E-4</c:v>
                </c:pt>
                <c:pt idx="1112">
                  <c:v>5.4829894439300357E-3</c:v>
                </c:pt>
                <c:pt idx="1113">
                  <c:v>-2.7438890837948263E-3</c:v>
                </c:pt>
                <c:pt idx="1114">
                  <c:v>3.8224200804939617E-3</c:v>
                </c:pt>
                <c:pt idx="1115">
                  <c:v>-1.1296379914735304E-2</c:v>
                </c:pt>
                <c:pt idx="1116">
                  <c:v>9.3926598227157803E-3</c:v>
                </c:pt>
                <c:pt idx="1117">
                  <c:v>-8.3521847180390713E-3</c:v>
                </c:pt>
                <c:pt idx="1118">
                  <c:v>-3.0924026755610012E-4</c:v>
                </c:pt>
                <c:pt idx="1119">
                  <c:v>-2.1786584134243464E-3</c:v>
                </c:pt>
                <c:pt idx="1120">
                  <c:v>9.6065041118083925E-3</c:v>
                </c:pt>
                <c:pt idx="1121">
                  <c:v>1.1121720195030842E-2</c:v>
                </c:pt>
                <c:pt idx="1122">
                  <c:v>-3.2861798931685627E-6</c:v>
                </c:pt>
                <c:pt idx="1123">
                  <c:v>8.0201213935387587E-3</c:v>
                </c:pt>
                <c:pt idx="1124">
                  <c:v>5.2189707728717387E-3</c:v>
                </c:pt>
                <c:pt idx="1125">
                  <c:v>5.164427409528714E-3</c:v>
                </c:pt>
                <c:pt idx="1126">
                  <c:v>-1.1185309763796132E-3</c:v>
                </c:pt>
                <c:pt idx="1127">
                  <c:v>4.7450967504654804E-3</c:v>
                </c:pt>
                <c:pt idx="1128">
                  <c:v>8.3389552415668693E-3</c:v>
                </c:pt>
                <c:pt idx="1129">
                  <c:v>-7.8622974080907546E-3</c:v>
                </c:pt>
                <c:pt idx="1130">
                  <c:v>-7.1588673066653053E-4</c:v>
                </c:pt>
                <c:pt idx="1131">
                  <c:v>6.0621033871480819E-3</c:v>
                </c:pt>
                <c:pt idx="1132">
                  <c:v>2.746204954386597E-3</c:v>
                </c:pt>
                <c:pt idx="1133">
                  <c:v>-3.2975229726171272E-3</c:v>
                </c:pt>
                <c:pt idx="1134">
                  <c:v>1.407413874356063E-3</c:v>
                </c:pt>
                <c:pt idx="1135">
                  <c:v>-3.9562982194600738E-3</c:v>
                </c:pt>
                <c:pt idx="1136">
                  <c:v>3.1936573070258998E-3</c:v>
                </c:pt>
                <c:pt idx="1137">
                  <c:v>5.373767414166496E-3</c:v>
                </c:pt>
                <c:pt idx="1138">
                  <c:v>-9.0486173951600304E-5</c:v>
                </c:pt>
                <c:pt idx="1139">
                  <c:v>1.3991349473991021E-3</c:v>
                </c:pt>
                <c:pt idx="1140">
                  <c:v>6.375315493406513E-4</c:v>
                </c:pt>
                <c:pt idx="1141">
                  <c:v>7.8118869418457451E-3</c:v>
                </c:pt>
                <c:pt idx="1142">
                  <c:v>6.9822373505476108E-4</c:v>
                </c:pt>
                <c:pt idx="1143">
                  <c:v>3.9743277692593226E-3</c:v>
                </c:pt>
                <c:pt idx="1144">
                  <c:v>1.7685813815930209E-4</c:v>
                </c:pt>
                <c:pt idx="1145">
                  <c:v>-2.959442505882278E-3</c:v>
                </c:pt>
                <c:pt idx="1146">
                  <c:v>-1.2494327565151101E-3</c:v>
                </c:pt>
                <c:pt idx="1147">
                  <c:v>-3.6948192431268878E-3</c:v>
                </c:pt>
                <c:pt idx="1148">
                  <c:v>-1.5992133124650473E-2</c:v>
                </c:pt>
                <c:pt idx="1149">
                  <c:v>1.4737100204789822E-2</c:v>
                </c:pt>
                <c:pt idx="1150">
                  <c:v>-4.8578659966151492E-3</c:v>
                </c:pt>
                <c:pt idx="1151">
                  <c:v>7.2819074245471672E-3</c:v>
                </c:pt>
                <c:pt idx="1152">
                  <c:v>-7.9748007945536215E-4</c:v>
                </c:pt>
                <c:pt idx="1153">
                  <c:v>7.7997152996845979E-3</c:v>
                </c:pt>
                <c:pt idx="1154">
                  <c:v>-2.5041278219087829E-3</c:v>
                </c:pt>
                <c:pt idx="1155">
                  <c:v>1.1345435955038443E-2</c:v>
                </c:pt>
                <c:pt idx="1156">
                  <c:v>3.2300788046465074E-3</c:v>
                </c:pt>
                <c:pt idx="1157">
                  <c:v>3.0309081096335197E-4</c:v>
                </c:pt>
                <c:pt idx="1158">
                  <c:v>-2.8971350392843695E-3</c:v>
                </c:pt>
                <c:pt idx="1159">
                  <c:v>-1.0076328252788926E-4</c:v>
                </c:pt>
                <c:pt idx="1160">
                  <c:v>-5.8581030948409978E-3</c:v>
                </c:pt>
                <c:pt idx="1161">
                  <c:v>-2.431669318023349E-3</c:v>
                </c:pt>
                <c:pt idx="1162">
                  <c:v>-4.0041814854323782E-3</c:v>
                </c:pt>
                <c:pt idx="1163">
                  <c:v>1.5186444817727402E-2</c:v>
                </c:pt>
                <c:pt idx="1164">
                  <c:v>-4.2663855433960913E-3</c:v>
                </c:pt>
                <c:pt idx="1165">
                  <c:v>4.1339951621572821E-3</c:v>
                </c:pt>
                <c:pt idx="1166">
                  <c:v>2.3909843179906638E-3</c:v>
                </c:pt>
                <c:pt idx="1167">
                  <c:v>3.156719429345214E-3</c:v>
                </c:pt>
                <c:pt idx="1168">
                  <c:v>-6.3981841929156864E-3</c:v>
                </c:pt>
                <c:pt idx="1169">
                  <c:v>-6.9222800041814437E-3</c:v>
                </c:pt>
                <c:pt idx="1170">
                  <c:v>5.1000736962277249E-3</c:v>
                </c:pt>
                <c:pt idx="1171">
                  <c:v>8.3464863316736037E-3</c:v>
                </c:pt>
                <c:pt idx="1172">
                  <c:v>-3.1651529592250523E-3</c:v>
                </c:pt>
                <c:pt idx="1173">
                  <c:v>2.1059788629175518E-3</c:v>
                </c:pt>
                <c:pt idx="1174">
                  <c:v>2.6881536628774738E-3</c:v>
                </c:pt>
                <c:pt idx="1175">
                  <c:v>2.9834699772804058E-3</c:v>
                </c:pt>
                <c:pt idx="1176">
                  <c:v>8.485890421529892E-3</c:v>
                </c:pt>
                <c:pt idx="1177">
                  <c:v>-4.8276134786286038E-4</c:v>
                </c:pt>
                <c:pt idx="1178">
                  <c:v>4.7066192127687475E-3</c:v>
                </c:pt>
                <c:pt idx="1179">
                  <c:v>-1.2879302579640768E-3</c:v>
                </c:pt>
                <c:pt idx="1180">
                  <c:v>-9.7016816518529327E-4</c:v>
                </c:pt>
                <c:pt idx="1181">
                  <c:v>4.7891191422676071E-3</c:v>
                </c:pt>
                <c:pt idx="1182">
                  <c:v>4.8854188189511767E-3</c:v>
                </c:pt>
                <c:pt idx="1183">
                  <c:v>4.4100465167212898E-3</c:v>
                </c:pt>
                <c:pt idx="1184">
                  <c:v>-5.5021591783379958E-3</c:v>
                </c:pt>
                <c:pt idx="1185">
                  <c:v>-2.8466178385854047E-3</c:v>
                </c:pt>
                <c:pt idx="1186">
                  <c:v>-5.0090613430087529E-3</c:v>
                </c:pt>
                <c:pt idx="1187">
                  <c:v>5.9018366760597244E-3</c:v>
                </c:pt>
                <c:pt idx="1188">
                  <c:v>2.6355442729304578E-3</c:v>
                </c:pt>
                <c:pt idx="1189">
                  <c:v>4.0908483833332213E-3</c:v>
                </c:pt>
                <c:pt idx="1190">
                  <c:v>3.399920778863549E-3</c:v>
                </c:pt>
                <c:pt idx="1191">
                  <c:v>6.1835482170406926E-4</c:v>
                </c:pt>
                <c:pt idx="1192">
                  <c:v>6.5512742236859708E-5</c:v>
                </c:pt>
                <c:pt idx="1193">
                  <c:v>3.6465919657675712E-3</c:v>
                </c:pt>
                <c:pt idx="1194">
                  <c:v>-3.8114057308378684E-3</c:v>
                </c:pt>
                <c:pt idx="1195">
                  <c:v>5.8276636263890607E-3</c:v>
                </c:pt>
                <c:pt idx="1196">
                  <c:v>-2.7555704719107324E-3</c:v>
                </c:pt>
                <c:pt idx="1197">
                  <c:v>-2.7111673115108554E-2</c:v>
                </c:pt>
                <c:pt idx="1198">
                  <c:v>1.5598671753280703E-2</c:v>
                </c:pt>
                <c:pt idx="1199">
                  <c:v>-1.5643266228586162E-3</c:v>
                </c:pt>
                <c:pt idx="1200">
                  <c:v>4.0260011592574592E-3</c:v>
                </c:pt>
                <c:pt idx="1201">
                  <c:v>-6.2943871931344288E-3</c:v>
                </c:pt>
                <c:pt idx="1202">
                  <c:v>5.2707156399986613E-3</c:v>
                </c:pt>
                <c:pt idx="1203">
                  <c:v>1.06722708245202E-2</c:v>
                </c:pt>
                <c:pt idx="1204">
                  <c:v>3.2696474132758798E-5</c:v>
                </c:pt>
                <c:pt idx="1205">
                  <c:v>-5.3375393226663681E-3</c:v>
                </c:pt>
                <c:pt idx="1206">
                  <c:v>5.8273934339021522E-3</c:v>
                </c:pt>
                <c:pt idx="1207">
                  <c:v>7.9024225883502618E-3</c:v>
                </c:pt>
                <c:pt idx="1208">
                  <c:v>1.2290050889412398E-2</c:v>
                </c:pt>
                <c:pt idx="1209">
                  <c:v>2.287943937752889E-3</c:v>
                </c:pt>
                <c:pt idx="1210">
                  <c:v>-4.3578259706658551E-5</c:v>
                </c:pt>
                <c:pt idx="1211">
                  <c:v>-9.9048124391598897E-3</c:v>
                </c:pt>
                <c:pt idx="1212">
                  <c:v>2.6179216234306761E-3</c:v>
                </c:pt>
                <c:pt idx="1213">
                  <c:v>1.7207127955996806E-3</c:v>
                </c:pt>
                <c:pt idx="1214">
                  <c:v>-1.1736830061512552E-2</c:v>
                </c:pt>
                <c:pt idx="1215">
                  <c:v>3.653555642717566E-3</c:v>
                </c:pt>
                <c:pt idx="1216">
                  <c:v>-1.1178189065512345E-2</c:v>
                </c:pt>
                <c:pt idx="1217">
                  <c:v>1.2618418798634094E-3</c:v>
                </c:pt>
                <c:pt idx="1218">
                  <c:v>1.5401018607062007E-2</c:v>
                </c:pt>
                <c:pt idx="1219">
                  <c:v>2.0753504440935585E-3</c:v>
                </c:pt>
                <c:pt idx="1220">
                  <c:v>6.2951724813363518E-4</c:v>
                </c:pt>
                <c:pt idx="1221">
                  <c:v>-1.6556855034277857E-2</c:v>
                </c:pt>
                <c:pt idx="1222">
                  <c:v>-5.0172555099843065E-4</c:v>
                </c:pt>
                <c:pt idx="1223">
                  <c:v>-9.1622661725499332E-3</c:v>
                </c:pt>
                <c:pt idx="1224">
                  <c:v>-8.256436686593845E-3</c:v>
                </c:pt>
                <c:pt idx="1225">
                  <c:v>3.7538357916308807E-3</c:v>
                </c:pt>
                <c:pt idx="1226">
                  <c:v>-1.5567283469760374E-2</c:v>
                </c:pt>
                <c:pt idx="1227">
                  <c:v>9.8230353000553633E-3</c:v>
                </c:pt>
                <c:pt idx="1228">
                  <c:v>1.5467217030568232E-2</c:v>
                </c:pt>
                <c:pt idx="1229">
                  <c:v>9.0616968734013228E-3</c:v>
                </c:pt>
                <c:pt idx="1230">
                  <c:v>6.9067114415398015E-3</c:v>
                </c:pt>
                <c:pt idx="1231">
                  <c:v>5.3547732416216898E-3</c:v>
                </c:pt>
                <c:pt idx="1232">
                  <c:v>-5.3233293518467201E-3</c:v>
                </c:pt>
                <c:pt idx="1233">
                  <c:v>2.457235206887399E-3</c:v>
                </c:pt>
                <c:pt idx="1234">
                  <c:v>2.9797913499143114E-3</c:v>
                </c:pt>
                <c:pt idx="1235">
                  <c:v>1.0803217894645222E-3</c:v>
                </c:pt>
                <c:pt idx="1236">
                  <c:v>1.9366417349284592E-3</c:v>
                </c:pt>
                <c:pt idx="1237">
                  <c:v>-3.4772555223525595E-3</c:v>
                </c:pt>
                <c:pt idx="1238">
                  <c:v>-8.7635893397774783E-4</c:v>
                </c:pt>
                <c:pt idx="1239">
                  <c:v>6.749556915989603E-3</c:v>
                </c:pt>
                <c:pt idx="1240">
                  <c:v>2.0793508096839711E-3</c:v>
                </c:pt>
                <c:pt idx="1241">
                  <c:v>-1.0663649326184623E-2</c:v>
                </c:pt>
                <c:pt idx="1242">
                  <c:v>-1.5965629354229452E-3</c:v>
                </c:pt>
                <c:pt idx="1243">
                  <c:v>-2.3839179518311865E-3</c:v>
                </c:pt>
                <c:pt idx="1244">
                  <c:v>-1.159214393457926E-2</c:v>
                </c:pt>
                <c:pt idx="1245">
                  <c:v>7.9342622929302418E-3</c:v>
                </c:pt>
                <c:pt idx="1246">
                  <c:v>8.8180593944915796E-3</c:v>
                </c:pt>
                <c:pt idx="1247">
                  <c:v>6.436496305508797E-3</c:v>
                </c:pt>
                <c:pt idx="1248">
                  <c:v>4.5503888113829606E-3</c:v>
                </c:pt>
                <c:pt idx="1249">
                  <c:v>3.221482255518823E-3</c:v>
                </c:pt>
                <c:pt idx="1250">
                  <c:v>-3.0436365279404049E-4</c:v>
                </c:pt>
                <c:pt idx="1251">
                  <c:v>-3.4920514760634004E-3</c:v>
                </c:pt>
                <c:pt idx="1252">
                  <c:v>-1.3756671519770346E-3</c:v>
                </c:pt>
                <c:pt idx="1253">
                  <c:v>-7.3576662468687248E-3</c:v>
                </c:pt>
              </c:numCache>
            </c:numRef>
          </c:xVal>
          <c:yVal>
            <c:numRef>
              <c:f>'CAPM (Regression Output)'!$B$25:$B$1278</c:f>
              <c:numCache>
                <c:formatCode>General</c:formatCode>
                <c:ptCount val="1254"/>
                <c:pt idx="0">
                  <c:v>2.4969540618227852E-3</c:v>
                </c:pt>
                <c:pt idx="1">
                  <c:v>2.0552595488249198E-3</c:v>
                </c:pt>
                <c:pt idx="2">
                  <c:v>4.9953462824271705E-3</c:v>
                </c:pt>
                <c:pt idx="3">
                  <c:v>1.9851225995328619E-3</c:v>
                </c:pt>
                <c:pt idx="4">
                  <c:v>-1.8909763827186299E-3</c:v>
                </c:pt>
                <c:pt idx="5">
                  <c:v>3.518531372510429E-4</c:v>
                </c:pt>
                <c:pt idx="6">
                  <c:v>9.5027656318532531E-4</c:v>
                </c:pt>
                <c:pt idx="7">
                  <c:v>-9.8963467466328431E-4</c:v>
                </c:pt>
                <c:pt idx="8">
                  <c:v>-2.095382035523671E-3</c:v>
                </c:pt>
                <c:pt idx="9">
                  <c:v>2.8360180078117053E-3</c:v>
                </c:pt>
                <c:pt idx="10">
                  <c:v>4.7019740284391714E-3</c:v>
                </c:pt>
                <c:pt idx="11">
                  <c:v>3.1997803842400877E-4</c:v>
                </c:pt>
                <c:pt idx="12">
                  <c:v>-7.5061975816758026E-4</c:v>
                </c:pt>
                <c:pt idx="13">
                  <c:v>1.3814961418753401E-3</c:v>
                </c:pt>
                <c:pt idx="14">
                  <c:v>-2.6097499762811952E-4</c:v>
                </c:pt>
                <c:pt idx="15">
                  <c:v>-8.0440045088042891E-3</c:v>
                </c:pt>
                <c:pt idx="16">
                  <c:v>3.3586329036744958E-3</c:v>
                </c:pt>
                <c:pt idx="17">
                  <c:v>-5.9955592997636385E-3</c:v>
                </c:pt>
                <c:pt idx="18">
                  <c:v>5.3828604594390733E-3</c:v>
                </c:pt>
                <c:pt idx="19">
                  <c:v>4.6899396741784879E-3</c:v>
                </c:pt>
                <c:pt idx="20">
                  <c:v>5.4264960097979997E-4</c:v>
                </c:pt>
                <c:pt idx="21">
                  <c:v>3.7102170755510234E-3</c:v>
                </c:pt>
                <c:pt idx="22">
                  <c:v>1.4721214611218727E-3</c:v>
                </c:pt>
                <c:pt idx="23">
                  <c:v>2.5988720855400875E-3</c:v>
                </c:pt>
                <c:pt idx="24">
                  <c:v>-1.402163273998093E-4</c:v>
                </c:pt>
                <c:pt idx="25">
                  <c:v>1.0700362762079325E-4</c:v>
                </c:pt>
                <c:pt idx="26">
                  <c:v>7.5297860013137717E-4</c:v>
                </c:pt>
                <c:pt idx="27">
                  <c:v>1.7338840793297318E-3</c:v>
                </c:pt>
                <c:pt idx="28">
                  <c:v>3.4901566154045679E-5</c:v>
                </c:pt>
                <c:pt idx="29">
                  <c:v>1.1497766769316078E-4</c:v>
                </c:pt>
                <c:pt idx="30">
                  <c:v>-1.2027623683421571E-3</c:v>
                </c:pt>
                <c:pt idx="31">
                  <c:v>-3.7875884159001782E-4</c:v>
                </c:pt>
                <c:pt idx="32">
                  <c:v>-2.2700361896779409E-3</c:v>
                </c:pt>
                <c:pt idx="33">
                  <c:v>6.2230058668868949E-4</c:v>
                </c:pt>
                <c:pt idx="34">
                  <c:v>3.8705466290196258E-3</c:v>
                </c:pt>
                <c:pt idx="35">
                  <c:v>-7.6581917746988129E-3</c:v>
                </c:pt>
                <c:pt idx="36">
                  <c:v>-1.3103515392837196E-3</c:v>
                </c:pt>
                <c:pt idx="37">
                  <c:v>7.8729472621636501E-3</c:v>
                </c:pt>
                <c:pt idx="38">
                  <c:v>-2.3820120128300311E-3</c:v>
                </c:pt>
                <c:pt idx="39">
                  <c:v>-3.9860966444908146E-3</c:v>
                </c:pt>
                <c:pt idx="40">
                  <c:v>-4.0990313102569819E-3</c:v>
                </c:pt>
                <c:pt idx="41">
                  <c:v>6.4910608177157353E-3</c:v>
                </c:pt>
                <c:pt idx="42">
                  <c:v>-1.5063077174683494E-3</c:v>
                </c:pt>
                <c:pt idx="43">
                  <c:v>4.7724444436545686E-3</c:v>
                </c:pt>
                <c:pt idx="44">
                  <c:v>2.1583736431616761E-3</c:v>
                </c:pt>
                <c:pt idx="45">
                  <c:v>3.5629047600143292E-3</c:v>
                </c:pt>
                <c:pt idx="46">
                  <c:v>5.4478269446800692E-4</c:v>
                </c:pt>
                <c:pt idx="47">
                  <c:v>2.3068997627619923E-3</c:v>
                </c:pt>
                <c:pt idx="48">
                  <c:v>-2.8698914024685403E-4</c:v>
                </c:pt>
                <c:pt idx="49">
                  <c:v>1.1445350303088807E-3</c:v>
                </c:pt>
                <c:pt idx="50">
                  <c:v>-4.5312574927594673E-3</c:v>
                </c:pt>
                <c:pt idx="51">
                  <c:v>2.4144686669775895E-5</c:v>
                </c:pt>
                <c:pt idx="52">
                  <c:v>2.4784603166624892E-3</c:v>
                </c:pt>
                <c:pt idx="53">
                  <c:v>-2.2372215384607523E-3</c:v>
                </c:pt>
                <c:pt idx="54">
                  <c:v>-1.5410914696897672E-3</c:v>
                </c:pt>
                <c:pt idx="55">
                  <c:v>1.9041691762012249E-3</c:v>
                </c:pt>
                <c:pt idx="56">
                  <c:v>5.5692984951858501E-3</c:v>
                </c:pt>
                <c:pt idx="57">
                  <c:v>-6.1220623651116413E-5</c:v>
                </c:pt>
                <c:pt idx="58">
                  <c:v>-7.9798948798758885E-4</c:v>
                </c:pt>
                <c:pt idx="59">
                  <c:v>1.3836391643013983E-3</c:v>
                </c:pt>
                <c:pt idx="60">
                  <c:v>4.0229274446886487E-3</c:v>
                </c:pt>
                <c:pt idx="61">
                  <c:v>4.8636900790037518E-3</c:v>
                </c:pt>
                <c:pt idx="62">
                  <c:v>-9.5171983286962202E-5</c:v>
                </c:pt>
                <c:pt idx="63">
                  <c:v>6.9273824934003617E-4</c:v>
                </c:pt>
                <c:pt idx="64">
                  <c:v>1.5760937269789662E-3</c:v>
                </c:pt>
                <c:pt idx="65">
                  <c:v>2.7020233092376841E-3</c:v>
                </c:pt>
                <c:pt idx="66">
                  <c:v>1.5497965210057972E-4</c:v>
                </c:pt>
                <c:pt idx="67">
                  <c:v>1.2780985086599192E-3</c:v>
                </c:pt>
                <c:pt idx="68">
                  <c:v>-1.0971906533491138E-3</c:v>
                </c:pt>
                <c:pt idx="69">
                  <c:v>3.787718527830572E-3</c:v>
                </c:pt>
                <c:pt idx="70">
                  <c:v>1.3792376577637293E-3</c:v>
                </c:pt>
                <c:pt idx="71">
                  <c:v>-1.4893604482388782E-3</c:v>
                </c:pt>
                <c:pt idx="72">
                  <c:v>-1.9706337371495695E-3</c:v>
                </c:pt>
                <c:pt idx="73">
                  <c:v>3.2123711006637116E-3</c:v>
                </c:pt>
                <c:pt idx="74">
                  <c:v>-2.7455365629955211E-3</c:v>
                </c:pt>
                <c:pt idx="75">
                  <c:v>3.7344694683172823E-3</c:v>
                </c:pt>
                <c:pt idx="76">
                  <c:v>7.915303014264227E-4</c:v>
                </c:pt>
                <c:pt idx="77">
                  <c:v>1.4892519200263103E-4</c:v>
                </c:pt>
                <c:pt idx="78">
                  <c:v>-5.3989831192818052E-5</c:v>
                </c:pt>
                <c:pt idx="79">
                  <c:v>2.3940594581338195E-3</c:v>
                </c:pt>
                <c:pt idx="80">
                  <c:v>-2.0968874617296922E-3</c:v>
                </c:pt>
                <c:pt idx="81">
                  <c:v>1.1022909188405598E-3</c:v>
                </c:pt>
                <c:pt idx="82">
                  <c:v>-1.9307413769027416E-3</c:v>
                </c:pt>
                <c:pt idx="83">
                  <c:v>4.4441511815365036E-4</c:v>
                </c:pt>
                <c:pt idx="84">
                  <c:v>2.8453737357367523E-3</c:v>
                </c:pt>
                <c:pt idx="85">
                  <c:v>2.5905042192020419E-3</c:v>
                </c:pt>
                <c:pt idx="86">
                  <c:v>-3.1396872757774369E-3</c:v>
                </c:pt>
                <c:pt idx="87">
                  <c:v>-2.5728344103941717E-3</c:v>
                </c:pt>
                <c:pt idx="88">
                  <c:v>-6.6834547395432705E-3</c:v>
                </c:pt>
                <c:pt idx="89">
                  <c:v>4.1348799920605753E-3</c:v>
                </c:pt>
                <c:pt idx="90">
                  <c:v>5.0180473951926732E-3</c:v>
                </c:pt>
                <c:pt idx="91">
                  <c:v>-5.9599580974666793E-4</c:v>
                </c:pt>
                <c:pt idx="92">
                  <c:v>-2.5224406778135552E-3</c:v>
                </c:pt>
                <c:pt idx="93">
                  <c:v>-7.2899755907875551E-4</c:v>
                </c:pt>
                <c:pt idx="94">
                  <c:v>3.6141463039686553E-3</c:v>
                </c:pt>
                <c:pt idx="95">
                  <c:v>-3.4150467091986851E-5</c:v>
                </c:pt>
                <c:pt idx="96">
                  <c:v>3.4071110916029574E-3</c:v>
                </c:pt>
                <c:pt idx="97">
                  <c:v>-4.6575815888200264E-4</c:v>
                </c:pt>
                <c:pt idx="98">
                  <c:v>8.2195113605306955E-4</c:v>
                </c:pt>
                <c:pt idx="99">
                  <c:v>5.9301948184778245E-4</c:v>
                </c:pt>
                <c:pt idx="100">
                  <c:v>4.6546387497903427E-4</c:v>
                </c:pt>
                <c:pt idx="101">
                  <c:v>5.9657298216450871E-5</c:v>
                </c:pt>
                <c:pt idx="102">
                  <c:v>6.8363311975343612E-4</c:v>
                </c:pt>
                <c:pt idx="103">
                  <c:v>-9.4949595252003048E-4</c:v>
                </c:pt>
                <c:pt idx="104">
                  <c:v>3.0605140452851904E-3</c:v>
                </c:pt>
                <c:pt idx="105">
                  <c:v>-3.8287622630537725E-5</c:v>
                </c:pt>
                <c:pt idx="106">
                  <c:v>2.7438542842613786E-4</c:v>
                </c:pt>
                <c:pt idx="107">
                  <c:v>-3.6877488167456245E-4</c:v>
                </c:pt>
                <c:pt idx="108">
                  <c:v>1.7149678900737193E-3</c:v>
                </c:pt>
                <c:pt idx="109">
                  <c:v>8.4499485548883641E-4</c:v>
                </c:pt>
                <c:pt idx="110">
                  <c:v>8.0212613888858782E-4</c:v>
                </c:pt>
                <c:pt idx="111">
                  <c:v>-4.2920957010247516E-4</c:v>
                </c:pt>
                <c:pt idx="112">
                  <c:v>-1.5162480917607179E-3</c:v>
                </c:pt>
                <c:pt idx="113">
                  <c:v>7.787457754121439E-5</c:v>
                </c:pt>
                <c:pt idx="114">
                  <c:v>-4.0048381077366245E-3</c:v>
                </c:pt>
                <c:pt idx="115">
                  <c:v>4.7234238842731079E-3</c:v>
                </c:pt>
                <c:pt idx="116">
                  <c:v>1.8669179093504871E-3</c:v>
                </c:pt>
                <c:pt idx="117">
                  <c:v>-1.3048572619959182E-4</c:v>
                </c:pt>
                <c:pt idx="118">
                  <c:v>2.0878879730185447E-3</c:v>
                </c:pt>
                <c:pt idx="119">
                  <c:v>1.2897173239717979E-3</c:v>
                </c:pt>
                <c:pt idx="120">
                  <c:v>9.6292887356597709E-4</c:v>
                </c:pt>
                <c:pt idx="121">
                  <c:v>3.0730500758025398E-4</c:v>
                </c:pt>
                <c:pt idx="122">
                  <c:v>6.4541619250168235E-4</c:v>
                </c:pt>
                <c:pt idx="123">
                  <c:v>1.898171889983749E-3</c:v>
                </c:pt>
                <c:pt idx="124">
                  <c:v>2.6312838998083883E-3</c:v>
                </c:pt>
                <c:pt idx="125">
                  <c:v>-4.3247943654470874E-4</c:v>
                </c:pt>
                <c:pt idx="126">
                  <c:v>1.2988481940906615E-3</c:v>
                </c:pt>
                <c:pt idx="127">
                  <c:v>-2.5365118322671449E-3</c:v>
                </c:pt>
                <c:pt idx="128">
                  <c:v>3.8468439841483457E-3</c:v>
                </c:pt>
                <c:pt idx="129">
                  <c:v>1.3285139739988368E-3</c:v>
                </c:pt>
                <c:pt idx="130">
                  <c:v>-9.1349423719942291E-4</c:v>
                </c:pt>
                <c:pt idx="131">
                  <c:v>5.9289719965198234E-4</c:v>
                </c:pt>
                <c:pt idx="132">
                  <c:v>-8.315836508976138E-4</c:v>
                </c:pt>
                <c:pt idx="133">
                  <c:v>-2.2076198125750577E-3</c:v>
                </c:pt>
                <c:pt idx="134">
                  <c:v>-4.8880789139440347E-3</c:v>
                </c:pt>
                <c:pt idx="135">
                  <c:v>5.0967664396311249E-3</c:v>
                </c:pt>
                <c:pt idx="136">
                  <c:v>2.8699443130366384E-3</c:v>
                </c:pt>
                <c:pt idx="137">
                  <c:v>8.6695017443461813E-4</c:v>
                </c:pt>
                <c:pt idx="138">
                  <c:v>3.482453963668892E-3</c:v>
                </c:pt>
                <c:pt idx="139">
                  <c:v>9.8456251649403702E-4</c:v>
                </c:pt>
                <c:pt idx="140">
                  <c:v>-1.2981989103136161E-3</c:v>
                </c:pt>
                <c:pt idx="141">
                  <c:v>1.5813841278655827E-4</c:v>
                </c:pt>
                <c:pt idx="142">
                  <c:v>1.57143464507456E-3</c:v>
                </c:pt>
                <c:pt idx="143">
                  <c:v>-1.5213714968738033E-3</c:v>
                </c:pt>
                <c:pt idx="144">
                  <c:v>-3.7486847793751616E-4</c:v>
                </c:pt>
                <c:pt idx="145">
                  <c:v>2.8575909548601451E-3</c:v>
                </c:pt>
                <c:pt idx="146">
                  <c:v>-1.272439905183233E-3</c:v>
                </c:pt>
                <c:pt idx="147">
                  <c:v>2.1503726048289966E-3</c:v>
                </c:pt>
                <c:pt idx="148">
                  <c:v>7.5710068098225043E-4</c:v>
                </c:pt>
                <c:pt idx="149">
                  <c:v>-8.4353654887041335E-5</c:v>
                </c:pt>
                <c:pt idx="150">
                  <c:v>5.3747258881353492E-4</c:v>
                </c:pt>
                <c:pt idx="151">
                  <c:v>6.2855095588946021E-4</c:v>
                </c:pt>
                <c:pt idx="152">
                  <c:v>1.552202333356092E-3</c:v>
                </c:pt>
                <c:pt idx="153">
                  <c:v>7.3523411463600921E-4</c:v>
                </c:pt>
                <c:pt idx="154">
                  <c:v>1.0613504013598154E-3</c:v>
                </c:pt>
                <c:pt idx="155">
                  <c:v>-2.0537693129698532E-3</c:v>
                </c:pt>
                <c:pt idx="156">
                  <c:v>-3.2403407818876562E-3</c:v>
                </c:pt>
                <c:pt idx="157">
                  <c:v>6.2242096513564365E-4</c:v>
                </c:pt>
                <c:pt idx="158">
                  <c:v>2.8376873308663415E-3</c:v>
                </c:pt>
                <c:pt idx="159">
                  <c:v>2.9606706840940682E-3</c:v>
                </c:pt>
                <c:pt idx="160">
                  <c:v>6.9933538656874298E-4</c:v>
                </c:pt>
                <c:pt idx="161">
                  <c:v>9.3241136814451993E-4</c:v>
                </c:pt>
                <c:pt idx="162">
                  <c:v>-1.6561467002925464E-3</c:v>
                </c:pt>
                <c:pt idx="163">
                  <c:v>3.0519992707559633E-3</c:v>
                </c:pt>
                <c:pt idx="164">
                  <c:v>1.6037449894091922E-3</c:v>
                </c:pt>
                <c:pt idx="165">
                  <c:v>-2.160196538584093E-4</c:v>
                </c:pt>
                <c:pt idx="166">
                  <c:v>3.1835814832521239E-4</c:v>
                </c:pt>
                <c:pt idx="167">
                  <c:v>1.1327124107116944E-3</c:v>
                </c:pt>
                <c:pt idx="168">
                  <c:v>1.1027068370091855E-4</c:v>
                </c:pt>
                <c:pt idx="169">
                  <c:v>-8.7448483078209494E-4</c:v>
                </c:pt>
                <c:pt idx="170">
                  <c:v>-2.061901850820925E-4</c:v>
                </c:pt>
                <c:pt idx="171">
                  <c:v>-1.2638234613091648E-3</c:v>
                </c:pt>
                <c:pt idx="172">
                  <c:v>-2.266734716770873E-3</c:v>
                </c:pt>
                <c:pt idx="173">
                  <c:v>9.5054866383074412E-4</c:v>
                </c:pt>
                <c:pt idx="174">
                  <c:v>-1.6309593263654756E-3</c:v>
                </c:pt>
                <c:pt idx="175">
                  <c:v>2.944649220262737E-3</c:v>
                </c:pt>
                <c:pt idx="176">
                  <c:v>-2.8102269829134653E-4</c:v>
                </c:pt>
                <c:pt idx="177">
                  <c:v>-2.7134298758329971E-3</c:v>
                </c:pt>
                <c:pt idx="178">
                  <c:v>-5.2445223893110978E-3</c:v>
                </c:pt>
                <c:pt idx="179">
                  <c:v>-4.3313437776182909E-5</c:v>
                </c:pt>
                <c:pt idx="180">
                  <c:v>3.2810844537999396E-3</c:v>
                </c:pt>
                <c:pt idx="181">
                  <c:v>4.1225161658470753E-3</c:v>
                </c:pt>
                <c:pt idx="182">
                  <c:v>6.8816162382773216E-4</c:v>
                </c:pt>
                <c:pt idx="183">
                  <c:v>-6.7525464474598568E-4</c:v>
                </c:pt>
                <c:pt idx="184">
                  <c:v>-6.3342534871108028E-3</c:v>
                </c:pt>
                <c:pt idx="185">
                  <c:v>7.2296788293200434E-4</c:v>
                </c:pt>
                <c:pt idx="186">
                  <c:v>-3.6139806234627789E-3</c:v>
                </c:pt>
                <c:pt idx="187">
                  <c:v>3.9155489540419744E-3</c:v>
                </c:pt>
                <c:pt idx="188">
                  <c:v>-3.9602518301340229E-3</c:v>
                </c:pt>
                <c:pt idx="189">
                  <c:v>3.6044205215586631E-3</c:v>
                </c:pt>
                <c:pt idx="190">
                  <c:v>1.5381777156549977E-3</c:v>
                </c:pt>
                <c:pt idx="191">
                  <c:v>2.88811107050977E-3</c:v>
                </c:pt>
                <c:pt idx="192">
                  <c:v>-3.9768673482648261E-4</c:v>
                </c:pt>
                <c:pt idx="193">
                  <c:v>-1.9910473881822933E-3</c:v>
                </c:pt>
                <c:pt idx="194">
                  <c:v>-5.595496761914647E-4</c:v>
                </c:pt>
                <c:pt idx="195">
                  <c:v>1.1905891334610176E-3</c:v>
                </c:pt>
                <c:pt idx="196">
                  <c:v>5.7082657764196418E-3</c:v>
                </c:pt>
                <c:pt idx="197">
                  <c:v>2.6184548892314299E-3</c:v>
                </c:pt>
                <c:pt idx="198">
                  <c:v>1.3039301249047337E-3</c:v>
                </c:pt>
                <c:pt idx="199">
                  <c:v>2.5969386903492097E-3</c:v>
                </c:pt>
                <c:pt idx="200">
                  <c:v>1.3970019732326032E-3</c:v>
                </c:pt>
                <c:pt idx="201">
                  <c:v>1.1820166118380185E-3</c:v>
                </c:pt>
                <c:pt idx="202">
                  <c:v>-1.2703341319800495E-4</c:v>
                </c:pt>
                <c:pt idx="203">
                  <c:v>1.7458417498073849E-3</c:v>
                </c:pt>
                <c:pt idx="204">
                  <c:v>8.0360412143083238E-4</c:v>
                </c:pt>
                <c:pt idx="205">
                  <c:v>-1.4073146239469399E-3</c:v>
                </c:pt>
                <c:pt idx="206">
                  <c:v>3.3807234363719073E-3</c:v>
                </c:pt>
                <c:pt idx="207">
                  <c:v>8.4528450581616529E-4</c:v>
                </c:pt>
                <c:pt idx="208">
                  <c:v>7.9725962108540677E-4</c:v>
                </c:pt>
                <c:pt idx="209">
                  <c:v>1.4022573530039939E-3</c:v>
                </c:pt>
                <c:pt idx="210">
                  <c:v>2.297040459276401E-3</c:v>
                </c:pt>
                <c:pt idx="211">
                  <c:v>1.5636447645490422E-3</c:v>
                </c:pt>
                <c:pt idx="212">
                  <c:v>1.4191292520158213E-3</c:v>
                </c:pt>
                <c:pt idx="213">
                  <c:v>5.0372290871677247E-4</c:v>
                </c:pt>
                <c:pt idx="214">
                  <c:v>-9.0769072717201721E-4</c:v>
                </c:pt>
                <c:pt idx="215">
                  <c:v>-2.4286578936379209E-3</c:v>
                </c:pt>
                <c:pt idx="216">
                  <c:v>3.953393234107464E-4</c:v>
                </c:pt>
                <c:pt idx="217">
                  <c:v>2.5420198179002154E-3</c:v>
                </c:pt>
                <c:pt idx="218">
                  <c:v>2.1461408921288322E-4</c:v>
                </c:pt>
                <c:pt idx="219">
                  <c:v>1.4617397761739503E-3</c:v>
                </c:pt>
                <c:pt idx="220">
                  <c:v>-6.1902501737958208E-4</c:v>
                </c:pt>
                <c:pt idx="221">
                  <c:v>1.3071511071380507E-3</c:v>
                </c:pt>
                <c:pt idx="222">
                  <c:v>-2.3196263855160826E-4</c:v>
                </c:pt>
                <c:pt idx="223">
                  <c:v>-8.1063579512320944E-4</c:v>
                </c:pt>
                <c:pt idx="224">
                  <c:v>7.5126612791134287E-4</c:v>
                </c:pt>
                <c:pt idx="225">
                  <c:v>9.5613541071084347E-4</c:v>
                </c:pt>
                <c:pt idx="226">
                  <c:v>-7.093832434555491E-3</c:v>
                </c:pt>
                <c:pt idx="227">
                  <c:v>4.4653445941253284E-3</c:v>
                </c:pt>
                <c:pt idx="228">
                  <c:v>-5.8828908245235154E-3</c:v>
                </c:pt>
                <c:pt idx="229">
                  <c:v>-3.5835658584089467E-3</c:v>
                </c:pt>
                <c:pt idx="230">
                  <c:v>4.7852485338279712E-3</c:v>
                </c:pt>
                <c:pt idx="231">
                  <c:v>-2.500326476066031E-3</c:v>
                </c:pt>
                <c:pt idx="232">
                  <c:v>3.9925762777678255E-3</c:v>
                </c:pt>
                <c:pt idx="233">
                  <c:v>6.8807463622348108E-3</c:v>
                </c:pt>
                <c:pt idx="234">
                  <c:v>1.2107861292888341E-3</c:v>
                </c:pt>
                <c:pt idx="235">
                  <c:v>-2.0925030350168621E-3</c:v>
                </c:pt>
                <c:pt idx="236">
                  <c:v>3.2905641482711E-3</c:v>
                </c:pt>
                <c:pt idx="237">
                  <c:v>-2.7215688000069814E-3</c:v>
                </c:pt>
                <c:pt idx="238">
                  <c:v>-2.1856833957787196E-3</c:v>
                </c:pt>
                <c:pt idx="239">
                  <c:v>5.47832523314033E-3</c:v>
                </c:pt>
                <c:pt idx="240">
                  <c:v>-2.5951974716035015E-3</c:v>
                </c:pt>
                <c:pt idx="241">
                  <c:v>-3.0920777346800845E-3</c:v>
                </c:pt>
                <c:pt idx="242">
                  <c:v>-3.4461333230188266E-3</c:v>
                </c:pt>
                <c:pt idx="243">
                  <c:v>5.9382690874372705E-3</c:v>
                </c:pt>
                <c:pt idx="244">
                  <c:v>3.4936335534902245E-3</c:v>
                </c:pt>
                <c:pt idx="245">
                  <c:v>2.2205972957305806E-3</c:v>
                </c:pt>
                <c:pt idx="246">
                  <c:v>4.6708630926077322E-3</c:v>
                </c:pt>
                <c:pt idx="247">
                  <c:v>-1.0695601955946747E-4</c:v>
                </c:pt>
                <c:pt idx="248">
                  <c:v>6.6914123286346771E-4</c:v>
                </c:pt>
                <c:pt idx="249">
                  <c:v>-7.4390925920594399E-4</c:v>
                </c:pt>
                <c:pt idx="250">
                  <c:v>-6.2692563196776227E-4</c:v>
                </c:pt>
                <c:pt idx="251">
                  <c:v>2.2689745527033566E-3</c:v>
                </c:pt>
                <c:pt idx="252">
                  <c:v>1.5483545709626061E-5</c:v>
                </c:pt>
                <c:pt idx="253">
                  <c:v>-6.0217126319223775E-3</c:v>
                </c:pt>
                <c:pt idx="254">
                  <c:v>-9.2031009628614082E-5</c:v>
                </c:pt>
                <c:pt idx="255">
                  <c:v>-1.0851214936957838E-3</c:v>
                </c:pt>
                <c:pt idx="256">
                  <c:v>-2.4559415781281145E-4</c:v>
                </c:pt>
                <c:pt idx="257">
                  <c:v>3.1653715431058291E-3</c:v>
                </c:pt>
                <c:pt idx="258">
                  <c:v>1.1247058641225684E-3</c:v>
                </c:pt>
                <c:pt idx="259">
                  <c:v>-4.364932906611693E-3</c:v>
                </c:pt>
                <c:pt idx="260">
                  <c:v>4.8190527699575189E-4</c:v>
                </c:pt>
                <c:pt idx="261">
                  <c:v>-5.6984059570895857E-3</c:v>
                </c:pt>
                <c:pt idx="262">
                  <c:v>-2.8996215378611322E-3</c:v>
                </c:pt>
                <c:pt idx="263">
                  <c:v>-3.3332993737215716E-3</c:v>
                </c:pt>
                <c:pt idx="264">
                  <c:v>-5.8679327351510557E-3</c:v>
                </c:pt>
                <c:pt idx="265">
                  <c:v>1.1098999965419428E-3</c:v>
                </c:pt>
                <c:pt idx="266">
                  <c:v>-3.698343165317058E-3</c:v>
                </c:pt>
                <c:pt idx="267">
                  <c:v>-2.6348536927114897E-4</c:v>
                </c:pt>
                <c:pt idx="268">
                  <c:v>-1.514305950619932E-3</c:v>
                </c:pt>
                <c:pt idx="269">
                  <c:v>8.0521291548496816E-3</c:v>
                </c:pt>
                <c:pt idx="270">
                  <c:v>6.2947829654558954E-3</c:v>
                </c:pt>
                <c:pt idx="271">
                  <c:v>2.4262986039554155E-3</c:v>
                </c:pt>
                <c:pt idx="272">
                  <c:v>3.249843049808872E-3</c:v>
                </c:pt>
                <c:pt idx="273">
                  <c:v>-7.6299653982325284E-3</c:v>
                </c:pt>
                <c:pt idx="274">
                  <c:v>1.8773551398179344E-3</c:v>
                </c:pt>
                <c:pt idx="275">
                  <c:v>-9.7298734729737958E-4</c:v>
                </c:pt>
                <c:pt idx="276">
                  <c:v>2.9212285505024371E-3</c:v>
                </c:pt>
                <c:pt idx="277">
                  <c:v>4.8891030424370987E-3</c:v>
                </c:pt>
                <c:pt idx="278">
                  <c:v>-5.6108168635867059E-3</c:v>
                </c:pt>
                <c:pt idx="279">
                  <c:v>-5.885511167376953E-3</c:v>
                </c:pt>
                <c:pt idx="280">
                  <c:v>-1.017674476738903E-3</c:v>
                </c:pt>
                <c:pt idx="281">
                  <c:v>5.2911443678968582E-3</c:v>
                </c:pt>
                <c:pt idx="282">
                  <c:v>5.0160574200269401E-4</c:v>
                </c:pt>
                <c:pt idx="283">
                  <c:v>-6.5945649294230756E-3</c:v>
                </c:pt>
                <c:pt idx="284">
                  <c:v>-2.0877028100177832E-3</c:v>
                </c:pt>
                <c:pt idx="285">
                  <c:v>-3.045507885035987E-3</c:v>
                </c:pt>
                <c:pt idx="286">
                  <c:v>-5.7061851430239936E-3</c:v>
                </c:pt>
                <c:pt idx="287">
                  <c:v>5.0305634850296588E-3</c:v>
                </c:pt>
                <c:pt idx="288">
                  <c:v>7.4166662536389307E-3</c:v>
                </c:pt>
                <c:pt idx="289">
                  <c:v>-5.6785841411241187E-4</c:v>
                </c:pt>
                <c:pt idx="290">
                  <c:v>-4.7606597141246114E-3</c:v>
                </c:pt>
                <c:pt idx="291">
                  <c:v>6.2165119991643451E-3</c:v>
                </c:pt>
                <c:pt idx="292">
                  <c:v>-1.472663266634412E-3</c:v>
                </c:pt>
                <c:pt idx="293">
                  <c:v>-2.3347749521179487E-3</c:v>
                </c:pt>
                <c:pt idx="294">
                  <c:v>-9.2796450728149273E-3</c:v>
                </c:pt>
                <c:pt idx="295">
                  <c:v>-2.109451143587536E-3</c:v>
                </c:pt>
                <c:pt idx="296">
                  <c:v>8.4866963890099269E-3</c:v>
                </c:pt>
                <c:pt idx="297">
                  <c:v>-1.1628572715285303E-3</c:v>
                </c:pt>
                <c:pt idx="298">
                  <c:v>-3.9524160574484907E-3</c:v>
                </c:pt>
                <c:pt idx="299">
                  <c:v>-2.1697000712699605E-3</c:v>
                </c:pt>
                <c:pt idx="300">
                  <c:v>7.1064578773311106E-3</c:v>
                </c:pt>
                <c:pt idx="301">
                  <c:v>7.4202325322192883E-3</c:v>
                </c:pt>
                <c:pt idx="302">
                  <c:v>4.1910835371675127E-3</c:v>
                </c:pt>
                <c:pt idx="303">
                  <c:v>3.9705107960585975E-3</c:v>
                </c:pt>
                <c:pt idx="304">
                  <c:v>7.82141335322041E-5</c:v>
                </c:pt>
                <c:pt idx="305">
                  <c:v>3.8552629709833973E-3</c:v>
                </c:pt>
                <c:pt idx="306">
                  <c:v>-3.7307739789607304E-3</c:v>
                </c:pt>
                <c:pt idx="307">
                  <c:v>4.8333439238072238E-3</c:v>
                </c:pt>
                <c:pt idx="308">
                  <c:v>1.84815260406778E-3</c:v>
                </c:pt>
                <c:pt idx="309">
                  <c:v>2.5170189635534551E-3</c:v>
                </c:pt>
                <c:pt idx="310">
                  <c:v>4.1617165639970767E-3</c:v>
                </c:pt>
                <c:pt idx="311">
                  <c:v>-1.8069811044020879E-3</c:v>
                </c:pt>
                <c:pt idx="312">
                  <c:v>-4.818266432873611E-3</c:v>
                </c:pt>
                <c:pt idx="313">
                  <c:v>1.3153374133567462E-3</c:v>
                </c:pt>
                <c:pt idx="314">
                  <c:v>2.8213970900001733E-3</c:v>
                </c:pt>
                <c:pt idx="315">
                  <c:v>-3.8205516756933413E-3</c:v>
                </c:pt>
                <c:pt idx="316">
                  <c:v>-2.9084296486467129E-3</c:v>
                </c:pt>
                <c:pt idx="317">
                  <c:v>1.5866322206315477E-3</c:v>
                </c:pt>
                <c:pt idx="318">
                  <c:v>-6.3492028541970813E-4</c:v>
                </c:pt>
                <c:pt idx="319">
                  <c:v>-5.212339817838146E-3</c:v>
                </c:pt>
                <c:pt idx="320">
                  <c:v>-8.815227370384905E-4</c:v>
                </c:pt>
                <c:pt idx="321">
                  <c:v>3.8135837539215837E-3</c:v>
                </c:pt>
                <c:pt idx="322">
                  <c:v>-3.6894084103868412E-3</c:v>
                </c:pt>
                <c:pt idx="323">
                  <c:v>1.5215158314719197E-4</c:v>
                </c:pt>
                <c:pt idx="324">
                  <c:v>5.3847385305386321E-3</c:v>
                </c:pt>
                <c:pt idx="325">
                  <c:v>1.907015392227978E-5</c:v>
                </c:pt>
                <c:pt idx="326">
                  <c:v>-4.5288150982973488E-3</c:v>
                </c:pt>
                <c:pt idx="327">
                  <c:v>-8.7075252144365178E-3</c:v>
                </c:pt>
                <c:pt idx="328">
                  <c:v>2.051428694662604E-3</c:v>
                </c:pt>
                <c:pt idx="329">
                  <c:v>-8.8382409177867119E-3</c:v>
                </c:pt>
                <c:pt idx="330">
                  <c:v>8.9313390538487097E-4</c:v>
                </c:pt>
                <c:pt idx="331">
                  <c:v>8.1805922112230915E-3</c:v>
                </c:pt>
                <c:pt idx="332">
                  <c:v>-1.1456774520139289E-2</c:v>
                </c:pt>
                <c:pt idx="333">
                  <c:v>2.0441266540516126E-3</c:v>
                </c:pt>
                <c:pt idx="334">
                  <c:v>1.7744556199692132E-3</c:v>
                </c:pt>
                <c:pt idx="335">
                  <c:v>9.8265540206387367E-3</c:v>
                </c:pt>
                <c:pt idx="336">
                  <c:v>-1.125252282319459E-2</c:v>
                </c:pt>
                <c:pt idx="337">
                  <c:v>-1.6076596452531458E-3</c:v>
                </c:pt>
                <c:pt idx="338">
                  <c:v>-1.0090135943985109E-2</c:v>
                </c:pt>
                <c:pt idx="339">
                  <c:v>1.0089188550275639E-3</c:v>
                </c:pt>
                <c:pt idx="340">
                  <c:v>-5.0791052555682597E-3</c:v>
                </c:pt>
                <c:pt idx="341">
                  <c:v>-1.9891776200154816E-4</c:v>
                </c:pt>
                <c:pt idx="342">
                  <c:v>7.8983443133835325E-3</c:v>
                </c:pt>
                <c:pt idx="343">
                  <c:v>-1.0517178694242342E-3</c:v>
                </c:pt>
                <c:pt idx="344">
                  <c:v>6.707817936427515E-3</c:v>
                </c:pt>
                <c:pt idx="345">
                  <c:v>-1.2779443982561003E-2</c:v>
                </c:pt>
                <c:pt idx="346">
                  <c:v>-1.6589985021571003E-3</c:v>
                </c:pt>
                <c:pt idx="347">
                  <c:v>2.6509202809602814E-4</c:v>
                </c:pt>
                <c:pt idx="348">
                  <c:v>6.1883093580783529E-3</c:v>
                </c:pt>
                <c:pt idx="349">
                  <c:v>-2.3948650115948674E-3</c:v>
                </c:pt>
                <c:pt idx="350">
                  <c:v>3.2589324772392242E-3</c:v>
                </c:pt>
                <c:pt idx="351">
                  <c:v>6.6156740757060076E-3</c:v>
                </c:pt>
                <c:pt idx="352">
                  <c:v>8.179100146001728E-3</c:v>
                </c:pt>
                <c:pt idx="353">
                  <c:v>-1.8007609662351604E-3</c:v>
                </c:pt>
                <c:pt idx="354">
                  <c:v>-2.189573826200933E-3</c:v>
                </c:pt>
                <c:pt idx="355">
                  <c:v>6.1484042596347752E-3</c:v>
                </c:pt>
                <c:pt idx="356">
                  <c:v>-5.0418155504989596E-3</c:v>
                </c:pt>
                <c:pt idx="357">
                  <c:v>1.2275547351866479E-3</c:v>
                </c:pt>
                <c:pt idx="358">
                  <c:v>3.2823012856572544E-3</c:v>
                </c:pt>
                <c:pt idx="359">
                  <c:v>-3.2549727805746506E-3</c:v>
                </c:pt>
                <c:pt idx="360">
                  <c:v>-7.439359584574797E-3</c:v>
                </c:pt>
                <c:pt idx="361">
                  <c:v>-9.1484143534621212E-3</c:v>
                </c:pt>
                <c:pt idx="362">
                  <c:v>-1.2255997709988566E-2</c:v>
                </c:pt>
                <c:pt idx="363">
                  <c:v>-9.9614342246287318E-4</c:v>
                </c:pt>
                <c:pt idx="364">
                  <c:v>4.9133304747584674E-3</c:v>
                </c:pt>
                <c:pt idx="365">
                  <c:v>-1.0242923090257967E-2</c:v>
                </c:pt>
                <c:pt idx="366">
                  <c:v>9.2621667039354048E-4</c:v>
                </c:pt>
                <c:pt idx="367">
                  <c:v>8.0938275460636123E-3</c:v>
                </c:pt>
                <c:pt idx="368">
                  <c:v>-2.0072204043682245E-4</c:v>
                </c:pt>
                <c:pt idx="369">
                  <c:v>3.28514048112801E-3</c:v>
                </c:pt>
                <c:pt idx="370">
                  <c:v>1.0052065596105161E-2</c:v>
                </c:pt>
                <c:pt idx="371">
                  <c:v>-7.3854097966185759E-4</c:v>
                </c:pt>
                <c:pt idx="372">
                  <c:v>-6.2631209055684879E-3</c:v>
                </c:pt>
                <c:pt idx="373">
                  <c:v>-1.094035682252861E-5</c:v>
                </c:pt>
                <c:pt idx="374">
                  <c:v>-2.6003014477907764E-3</c:v>
                </c:pt>
                <c:pt idx="375">
                  <c:v>3.6138478052101185E-3</c:v>
                </c:pt>
                <c:pt idx="376">
                  <c:v>7.2777639031872349E-4</c:v>
                </c:pt>
                <c:pt idx="377">
                  <c:v>1.3677652289751344E-3</c:v>
                </c:pt>
                <c:pt idx="378">
                  <c:v>5.0330513067049021E-3</c:v>
                </c:pt>
                <c:pt idx="379">
                  <c:v>-4.9077073599989538E-5</c:v>
                </c:pt>
                <c:pt idx="380">
                  <c:v>-3.4909875893403028E-3</c:v>
                </c:pt>
                <c:pt idx="381">
                  <c:v>-2.7562257453180665E-3</c:v>
                </c:pt>
                <c:pt idx="382">
                  <c:v>-1.2159760566319388E-3</c:v>
                </c:pt>
                <c:pt idx="383">
                  <c:v>-7.4676582952112381E-4</c:v>
                </c:pt>
                <c:pt idx="384">
                  <c:v>6.3962325965163016E-3</c:v>
                </c:pt>
                <c:pt idx="385">
                  <c:v>-2.4729794934249573E-3</c:v>
                </c:pt>
                <c:pt idx="386">
                  <c:v>9.1077040393774279E-3</c:v>
                </c:pt>
                <c:pt idx="387">
                  <c:v>2.1150947781937244E-3</c:v>
                </c:pt>
                <c:pt idx="388">
                  <c:v>3.3910490482996262E-3</c:v>
                </c:pt>
                <c:pt idx="389">
                  <c:v>-2.7847297159397182E-3</c:v>
                </c:pt>
                <c:pt idx="390">
                  <c:v>6.4123573205070812E-4</c:v>
                </c:pt>
                <c:pt idx="391">
                  <c:v>-3.4960524741921846E-3</c:v>
                </c:pt>
                <c:pt idx="392">
                  <c:v>8.6340699699448513E-3</c:v>
                </c:pt>
                <c:pt idx="393">
                  <c:v>4.1220731944961375E-3</c:v>
                </c:pt>
                <c:pt idx="394">
                  <c:v>4.7895355639651395E-3</c:v>
                </c:pt>
                <c:pt idx="395">
                  <c:v>-6.9028123963718027E-4</c:v>
                </c:pt>
                <c:pt idx="396">
                  <c:v>-1.9256119324471243E-3</c:v>
                </c:pt>
                <c:pt idx="397">
                  <c:v>5.2498808512215353E-3</c:v>
                </c:pt>
                <c:pt idx="398">
                  <c:v>-3.2046035092745724E-5</c:v>
                </c:pt>
                <c:pt idx="399">
                  <c:v>-3.0502770127896722E-4</c:v>
                </c:pt>
                <c:pt idx="400">
                  <c:v>-1.8012253548680733E-4</c:v>
                </c:pt>
                <c:pt idx="401">
                  <c:v>-1.1489828467413782E-3</c:v>
                </c:pt>
                <c:pt idx="402">
                  <c:v>7.0685107707560806E-3</c:v>
                </c:pt>
                <c:pt idx="403">
                  <c:v>-8.9223755180912253E-6</c:v>
                </c:pt>
                <c:pt idx="404">
                  <c:v>5.7916869845380829E-3</c:v>
                </c:pt>
                <c:pt idx="405">
                  <c:v>1.4953031399123702E-3</c:v>
                </c:pt>
                <c:pt idx="406">
                  <c:v>8.2158534259521229E-4</c:v>
                </c:pt>
                <c:pt idx="407">
                  <c:v>-2.1107514479990247E-3</c:v>
                </c:pt>
                <c:pt idx="408">
                  <c:v>9.4832002232366278E-4</c:v>
                </c:pt>
                <c:pt idx="409">
                  <c:v>-3.9326137680707517E-3</c:v>
                </c:pt>
                <c:pt idx="410">
                  <c:v>-6.667580512903947E-3</c:v>
                </c:pt>
                <c:pt idx="411">
                  <c:v>-5.019813604513635E-4</c:v>
                </c:pt>
                <c:pt idx="412">
                  <c:v>1.1563688551211881E-3</c:v>
                </c:pt>
                <c:pt idx="413">
                  <c:v>4.7521618415893108E-3</c:v>
                </c:pt>
                <c:pt idx="414">
                  <c:v>-1.0621345502223982E-2</c:v>
                </c:pt>
                <c:pt idx="415">
                  <c:v>-1.9268861542382245E-3</c:v>
                </c:pt>
                <c:pt idx="416">
                  <c:v>-3.3303317368722956E-3</c:v>
                </c:pt>
                <c:pt idx="417">
                  <c:v>-2.297123613539944E-3</c:v>
                </c:pt>
                <c:pt idx="418">
                  <c:v>1.1821325112172424E-3</c:v>
                </c:pt>
                <c:pt idx="419">
                  <c:v>-3.2364892929870534E-3</c:v>
                </c:pt>
                <c:pt idx="420">
                  <c:v>-1.0995492383347714E-3</c:v>
                </c:pt>
                <c:pt idx="421">
                  <c:v>6.1194454741587247E-3</c:v>
                </c:pt>
                <c:pt idx="422">
                  <c:v>2.3451249301657076E-3</c:v>
                </c:pt>
                <c:pt idx="423">
                  <c:v>5.1317866209312085E-3</c:v>
                </c:pt>
                <c:pt idx="424">
                  <c:v>3.6236482008520387E-3</c:v>
                </c:pt>
                <c:pt idx="425">
                  <c:v>-1.3693673014088005E-2</c:v>
                </c:pt>
                <c:pt idx="426">
                  <c:v>1.3078692954546962E-3</c:v>
                </c:pt>
                <c:pt idx="427">
                  <c:v>-3.4235077067106658E-3</c:v>
                </c:pt>
                <c:pt idx="428">
                  <c:v>-2.0928421552870091E-3</c:v>
                </c:pt>
                <c:pt idx="429">
                  <c:v>2.4243993876012383E-3</c:v>
                </c:pt>
                <c:pt idx="430">
                  <c:v>-3.4088239271526121E-3</c:v>
                </c:pt>
                <c:pt idx="431">
                  <c:v>-5.2893055470891667E-3</c:v>
                </c:pt>
                <c:pt idx="432">
                  <c:v>-2.4935751417735374E-3</c:v>
                </c:pt>
                <c:pt idx="433">
                  <c:v>-5.3266698934128489E-3</c:v>
                </c:pt>
                <c:pt idx="434">
                  <c:v>-3.1090812159855967E-3</c:v>
                </c:pt>
                <c:pt idx="435">
                  <c:v>-4.6417382040810323E-4</c:v>
                </c:pt>
                <c:pt idx="436">
                  <c:v>6.5477456084441698E-3</c:v>
                </c:pt>
                <c:pt idx="437">
                  <c:v>-6.5795386951282347E-3</c:v>
                </c:pt>
                <c:pt idx="438">
                  <c:v>-4.6297659596310882E-3</c:v>
                </c:pt>
                <c:pt idx="439">
                  <c:v>8.5464298971215762E-3</c:v>
                </c:pt>
                <c:pt idx="440">
                  <c:v>1.0058631727492762E-2</c:v>
                </c:pt>
                <c:pt idx="441">
                  <c:v>-4.3122226171519052E-4</c:v>
                </c:pt>
                <c:pt idx="442">
                  <c:v>-3.0783708410825257E-3</c:v>
                </c:pt>
                <c:pt idx="443">
                  <c:v>-8.792329045934048E-3</c:v>
                </c:pt>
                <c:pt idx="444">
                  <c:v>-2.1926932016807111E-3</c:v>
                </c:pt>
                <c:pt idx="445">
                  <c:v>-1.8795297515042718E-3</c:v>
                </c:pt>
                <c:pt idx="446">
                  <c:v>-8.407641575507624E-4</c:v>
                </c:pt>
                <c:pt idx="447">
                  <c:v>8.5727328110734996E-3</c:v>
                </c:pt>
                <c:pt idx="448">
                  <c:v>-7.395590634252395E-3</c:v>
                </c:pt>
                <c:pt idx="449">
                  <c:v>8.738248488818625E-3</c:v>
                </c:pt>
                <c:pt idx="450">
                  <c:v>3.8949860052696437E-3</c:v>
                </c:pt>
                <c:pt idx="451">
                  <c:v>-1.92873347238276E-3</c:v>
                </c:pt>
                <c:pt idx="452">
                  <c:v>-2.3402021310046477E-3</c:v>
                </c:pt>
                <c:pt idx="453">
                  <c:v>7.851729356307454E-3</c:v>
                </c:pt>
                <c:pt idx="454">
                  <c:v>4.0411952971778657E-3</c:v>
                </c:pt>
                <c:pt idx="455">
                  <c:v>5.4520021121811915E-3</c:v>
                </c:pt>
                <c:pt idx="456">
                  <c:v>-2.1589897792031938E-3</c:v>
                </c:pt>
                <c:pt idx="457">
                  <c:v>-1.739061239322438E-3</c:v>
                </c:pt>
                <c:pt idx="458">
                  <c:v>8.1418132150706951E-3</c:v>
                </c:pt>
                <c:pt idx="459">
                  <c:v>-2.1804473489537013E-3</c:v>
                </c:pt>
                <c:pt idx="460">
                  <c:v>-1.1015355340965223E-3</c:v>
                </c:pt>
                <c:pt idx="461">
                  <c:v>-7.8265285080834357E-3</c:v>
                </c:pt>
                <c:pt idx="462">
                  <c:v>-3.1880619576325304E-3</c:v>
                </c:pt>
                <c:pt idx="463">
                  <c:v>4.6000084950087589E-3</c:v>
                </c:pt>
                <c:pt idx="464">
                  <c:v>3.3114489743379331E-3</c:v>
                </c:pt>
                <c:pt idx="465">
                  <c:v>2.0192385923772263E-3</c:v>
                </c:pt>
                <c:pt idx="466">
                  <c:v>-6.4673895401864256E-3</c:v>
                </c:pt>
                <c:pt idx="467">
                  <c:v>1.8054579663957307E-2</c:v>
                </c:pt>
                <c:pt idx="468">
                  <c:v>3.1913574872283624E-3</c:v>
                </c:pt>
                <c:pt idx="469">
                  <c:v>-2.6570914646550999E-3</c:v>
                </c:pt>
                <c:pt idx="470">
                  <c:v>3.021587953507271E-3</c:v>
                </c:pt>
                <c:pt idx="471">
                  <c:v>-2.4370953685796887E-3</c:v>
                </c:pt>
                <c:pt idx="472">
                  <c:v>-7.7594575671895572E-4</c:v>
                </c:pt>
                <c:pt idx="473">
                  <c:v>1.7491833041439707E-3</c:v>
                </c:pt>
                <c:pt idx="474">
                  <c:v>-1.0315397103928623E-3</c:v>
                </c:pt>
                <c:pt idx="475">
                  <c:v>4.5875446689306078E-3</c:v>
                </c:pt>
                <c:pt idx="476">
                  <c:v>2.1211705507232117E-3</c:v>
                </c:pt>
                <c:pt idx="477">
                  <c:v>1.2699784213497596E-4</c:v>
                </c:pt>
                <c:pt idx="478">
                  <c:v>-4.7512288038232724E-3</c:v>
                </c:pt>
                <c:pt idx="479">
                  <c:v>-2.9412624684629571E-4</c:v>
                </c:pt>
                <c:pt idx="480">
                  <c:v>1.0175806980708644E-2</c:v>
                </c:pt>
                <c:pt idx="481">
                  <c:v>-6.1098535914319287E-5</c:v>
                </c:pt>
                <c:pt idx="482">
                  <c:v>-1.6632229093061773E-4</c:v>
                </c:pt>
                <c:pt idx="483">
                  <c:v>-5.5395430297188741E-3</c:v>
                </c:pt>
                <c:pt idx="484">
                  <c:v>-4.4149919334641055E-3</c:v>
                </c:pt>
                <c:pt idx="485">
                  <c:v>-3.8116373061324287E-4</c:v>
                </c:pt>
                <c:pt idx="486">
                  <c:v>2.6382661109001912E-3</c:v>
                </c:pt>
                <c:pt idx="487">
                  <c:v>-2.1467186817978288E-3</c:v>
                </c:pt>
                <c:pt idx="488">
                  <c:v>4.8125529665079729E-3</c:v>
                </c:pt>
                <c:pt idx="489">
                  <c:v>2.5635802843416273E-3</c:v>
                </c:pt>
                <c:pt idx="490">
                  <c:v>-1.7294451606218865E-3</c:v>
                </c:pt>
                <c:pt idx="491">
                  <c:v>-7.8006880559672509E-3</c:v>
                </c:pt>
                <c:pt idx="492">
                  <c:v>-3.3655949712347371E-3</c:v>
                </c:pt>
                <c:pt idx="493">
                  <c:v>-2.6801740195462553E-3</c:v>
                </c:pt>
                <c:pt idx="494">
                  <c:v>5.5184202355080332E-4</c:v>
                </c:pt>
                <c:pt idx="495">
                  <c:v>5.0019713122715029E-3</c:v>
                </c:pt>
                <c:pt idx="496">
                  <c:v>-4.4318856663998502E-3</c:v>
                </c:pt>
                <c:pt idx="497">
                  <c:v>2.1061808195655409E-3</c:v>
                </c:pt>
                <c:pt idx="498">
                  <c:v>-1.0849301046286239E-3</c:v>
                </c:pt>
                <c:pt idx="499">
                  <c:v>-3.6496713795013624E-3</c:v>
                </c:pt>
                <c:pt idx="500">
                  <c:v>5.8363994644830986E-3</c:v>
                </c:pt>
                <c:pt idx="501">
                  <c:v>-5.9943544386267019E-4</c:v>
                </c:pt>
                <c:pt idx="502">
                  <c:v>-1.0691403758279227E-3</c:v>
                </c:pt>
                <c:pt idx="503">
                  <c:v>2.6437966729944743E-3</c:v>
                </c:pt>
                <c:pt idx="504">
                  <c:v>-3.5289767916299244E-3</c:v>
                </c:pt>
                <c:pt idx="505">
                  <c:v>7.5672823988071876E-3</c:v>
                </c:pt>
                <c:pt idx="506">
                  <c:v>-2.8922466905350854E-5</c:v>
                </c:pt>
                <c:pt idx="507">
                  <c:v>2.4633747116471504E-3</c:v>
                </c:pt>
                <c:pt idx="508">
                  <c:v>4.3524797423791289E-3</c:v>
                </c:pt>
                <c:pt idx="509">
                  <c:v>1.3171661035758766E-3</c:v>
                </c:pt>
                <c:pt idx="510">
                  <c:v>1.50409239264718E-3</c:v>
                </c:pt>
                <c:pt idx="511">
                  <c:v>-4.3525782355937704E-4</c:v>
                </c:pt>
                <c:pt idx="512">
                  <c:v>-4.7893268337289713E-3</c:v>
                </c:pt>
                <c:pt idx="513">
                  <c:v>-2.2396334424082433E-3</c:v>
                </c:pt>
                <c:pt idx="514">
                  <c:v>6.3052237429493535E-3</c:v>
                </c:pt>
                <c:pt idx="515">
                  <c:v>4.0409921098558564E-3</c:v>
                </c:pt>
                <c:pt idx="516">
                  <c:v>-1.0862421392778492E-5</c:v>
                </c:pt>
                <c:pt idx="517">
                  <c:v>1.595981952217583E-4</c:v>
                </c:pt>
                <c:pt idx="518">
                  <c:v>3.7599388317685932E-3</c:v>
                </c:pt>
                <c:pt idx="519">
                  <c:v>1.0208057134034926E-3</c:v>
                </c:pt>
                <c:pt idx="520">
                  <c:v>-3.9547313764804427E-3</c:v>
                </c:pt>
                <c:pt idx="521">
                  <c:v>4.9294072381569406E-3</c:v>
                </c:pt>
                <c:pt idx="522">
                  <c:v>3.5811860890478326E-3</c:v>
                </c:pt>
                <c:pt idx="523">
                  <c:v>4.9477162769421138E-3</c:v>
                </c:pt>
                <c:pt idx="524">
                  <c:v>-3.1136131160631355E-3</c:v>
                </c:pt>
                <c:pt idx="525">
                  <c:v>-1.7576756929493316E-3</c:v>
                </c:pt>
                <c:pt idx="526">
                  <c:v>4.3599078954791367E-3</c:v>
                </c:pt>
                <c:pt idx="527">
                  <c:v>-3.3472462688426477E-3</c:v>
                </c:pt>
                <c:pt idx="528">
                  <c:v>-2.622991180701432E-3</c:v>
                </c:pt>
                <c:pt idx="529">
                  <c:v>9.2441359789731154E-4</c:v>
                </c:pt>
                <c:pt idx="530">
                  <c:v>3.90175571335239E-3</c:v>
                </c:pt>
                <c:pt idx="531">
                  <c:v>1.2784401223688751E-4</c:v>
                </c:pt>
                <c:pt idx="532">
                  <c:v>1.1103622505598428E-3</c:v>
                </c:pt>
                <c:pt idx="533">
                  <c:v>-4.2185734511975149E-3</c:v>
                </c:pt>
                <c:pt idx="534">
                  <c:v>-6.723662816594748E-4</c:v>
                </c:pt>
                <c:pt idx="535">
                  <c:v>-6.230365364730186E-3</c:v>
                </c:pt>
                <c:pt idx="536">
                  <c:v>-2.8823515400841113E-4</c:v>
                </c:pt>
                <c:pt idx="537">
                  <c:v>1.9328582552286704E-3</c:v>
                </c:pt>
                <c:pt idx="538">
                  <c:v>-3.1724757616481553E-3</c:v>
                </c:pt>
                <c:pt idx="539">
                  <c:v>1.2068346784092411E-3</c:v>
                </c:pt>
                <c:pt idx="540">
                  <c:v>-7.5878932270975784E-4</c:v>
                </c:pt>
                <c:pt idx="541">
                  <c:v>-1.3023237851715508E-3</c:v>
                </c:pt>
                <c:pt idx="542">
                  <c:v>2.6577042043109704E-3</c:v>
                </c:pt>
                <c:pt idx="543">
                  <c:v>5.4137394870489627E-3</c:v>
                </c:pt>
                <c:pt idx="544">
                  <c:v>4.3917136213801698E-4</c:v>
                </c:pt>
                <c:pt idx="545">
                  <c:v>-4.7134949835071936E-3</c:v>
                </c:pt>
                <c:pt idx="546">
                  <c:v>6.7329158366241084E-4</c:v>
                </c:pt>
                <c:pt idx="547">
                  <c:v>-5.7213834292617295E-3</c:v>
                </c:pt>
                <c:pt idx="548">
                  <c:v>-4.4403926304831991E-3</c:v>
                </c:pt>
                <c:pt idx="549">
                  <c:v>-2.6770852680599289E-4</c:v>
                </c:pt>
                <c:pt idx="550">
                  <c:v>5.5195716821100161E-3</c:v>
                </c:pt>
                <c:pt idx="551">
                  <c:v>-2.0280880394893961E-3</c:v>
                </c:pt>
                <c:pt idx="552">
                  <c:v>5.8687923480331503E-3</c:v>
                </c:pt>
                <c:pt idx="553">
                  <c:v>-3.3275329648196129E-3</c:v>
                </c:pt>
                <c:pt idx="554">
                  <c:v>3.0876407939048438E-3</c:v>
                </c:pt>
                <c:pt idx="555">
                  <c:v>4.395199420877201E-3</c:v>
                </c:pt>
                <c:pt idx="556">
                  <c:v>-5.0791104677675013E-3</c:v>
                </c:pt>
                <c:pt idx="557">
                  <c:v>1.178366851229402E-3</c:v>
                </c:pt>
                <c:pt idx="558">
                  <c:v>2.0327249249896574E-3</c:v>
                </c:pt>
                <c:pt idx="559">
                  <c:v>7.4799106422008676E-4</c:v>
                </c:pt>
                <c:pt idx="560">
                  <c:v>-2.8832755437226013E-4</c:v>
                </c:pt>
                <c:pt idx="561">
                  <c:v>4.7990302949202385E-3</c:v>
                </c:pt>
                <c:pt idx="562">
                  <c:v>2.0570055003421594E-3</c:v>
                </c:pt>
                <c:pt idx="563">
                  <c:v>4.8631482911426025E-3</c:v>
                </c:pt>
                <c:pt idx="564">
                  <c:v>1.4082045691639193E-3</c:v>
                </c:pt>
                <c:pt idx="565">
                  <c:v>-1.6471546348484961E-3</c:v>
                </c:pt>
                <c:pt idx="566">
                  <c:v>-5.8387140014037149E-4</c:v>
                </c:pt>
                <c:pt idx="567">
                  <c:v>1.3696954625599144E-3</c:v>
                </c:pt>
                <c:pt idx="568">
                  <c:v>5.3863849899486011E-4</c:v>
                </c:pt>
                <c:pt idx="569">
                  <c:v>2.0476420242873867E-4</c:v>
                </c:pt>
                <c:pt idx="570">
                  <c:v>-1.1123638606331005E-3</c:v>
                </c:pt>
                <c:pt idx="571">
                  <c:v>4.4854514021084695E-3</c:v>
                </c:pt>
                <c:pt idx="572">
                  <c:v>-4.4776852961492155E-4</c:v>
                </c:pt>
                <c:pt idx="573">
                  <c:v>1.2818533714184261E-3</c:v>
                </c:pt>
                <c:pt idx="574">
                  <c:v>4.9324401867081326E-4</c:v>
                </c:pt>
                <c:pt idx="575">
                  <c:v>1.9095776544042912E-4</c:v>
                </c:pt>
                <c:pt idx="576">
                  <c:v>-1.6972125777696284E-3</c:v>
                </c:pt>
                <c:pt idx="577">
                  <c:v>5.0867835379390263E-4</c:v>
                </c:pt>
                <c:pt idx="578">
                  <c:v>4.9207241079436703E-4</c:v>
                </c:pt>
                <c:pt idx="579">
                  <c:v>-4.8692066154364319E-3</c:v>
                </c:pt>
                <c:pt idx="580">
                  <c:v>-1.0178644877258461E-3</c:v>
                </c:pt>
                <c:pt idx="581">
                  <c:v>6.5136424182250597E-3</c:v>
                </c:pt>
                <c:pt idx="582">
                  <c:v>2.873606809591648E-3</c:v>
                </c:pt>
                <c:pt idx="583">
                  <c:v>9.3836741144036497E-5</c:v>
                </c:pt>
                <c:pt idx="584">
                  <c:v>-3.5099074788563535E-3</c:v>
                </c:pt>
                <c:pt idx="585">
                  <c:v>-2.0336935777730556E-3</c:v>
                </c:pt>
                <c:pt idx="586">
                  <c:v>-2.1046178855109194E-3</c:v>
                </c:pt>
                <c:pt idx="587">
                  <c:v>6.1624757876029852E-3</c:v>
                </c:pt>
                <c:pt idx="588">
                  <c:v>3.6354589090601937E-4</c:v>
                </c:pt>
                <c:pt idx="589">
                  <c:v>-1.2553974324308089E-3</c:v>
                </c:pt>
                <c:pt idx="590">
                  <c:v>1.6608231334956961E-3</c:v>
                </c:pt>
                <c:pt idx="591">
                  <c:v>-3.2783330675433876E-4</c:v>
                </c:pt>
                <c:pt idx="592">
                  <c:v>-2.9137252000594903E-4</c:v>
                </c:pt>
                <c:pt idx="593">
                  <c:v>1.1698839162661149E-3</c:v>
                </c:pt>
                <c:pt idx="594">
                  <c:v>-1.8340033715758825E-3</c:v>
                </c:pt>
                <c:pt idx="595">
                  <c:v>4.0440436869611024E-3</c:v>
                </c:pt>
                <c:pt idx="596">
                  <c:v>3.2570932662624387E-3</c:v>
                </c:pt>
                <c:pt idx="597">
                  <c:v>-2.4715036088456856E-4</c:v>
                </c:pt>
                <c:pt idx="598">
                  <c:v>2.6795348183648876E-4</c:v>
                </c:pt>
                <c:pt idx="599">
                  <c:v>-3.3927114609769828E-3</c:v>
                </c:pt>
                <c:pt idx="600">
                  <c:v>-2.1367512946237049E-3</c:v>
                </c:pt>
                <c:pt idx="601">
                  <c:v>3.0358949038701791E-3</c:v>
                </c:pt>
                <c:pt idx="602">
                  <c:v>4.4167227393746974E-3</c:v>
                </c:pt>
                <c:pt idx="603">
                  <c:v>2.2341201912611856E-4</c:v>
                </c:pt>
                <c:pt idx="604">
                  <c:v>-1.7474313613886291E-3</c:v>
                </c:pt>
                <c:pt idx="605">
                  <c:v>3.3888227865931484E-3</c:v>
                </c:pt>
                <c:pt idx="606">
                  <c:v>4.8946426274452132E-3</c:v>
                </c:pt>
                <c:pt idx="607">
                  <c:v>-4.2659945506959935E-4</c:v>
                </c:pt>
                <c:pt idx="608">
                  <c:v>9.7545561379403694E-4</c:v>
                </c:pt>
                <c:pt idx="609">
                  <c:v>-1.008476340614252E-3</c:v>
                </c:pt>
                <c:pt idx="610">
                  <c:v>2.2093173264783957E-3</c:v>
                </c:pt>
                <c:pt idx="611">
                  <c:v>5.8746745956498399E-4</c:v>
                </c:pt>
                <c:pt idx="612">
                  <c:v>3.2172275046732485E-3</c:v>
                </c:pt>
                <c:pt idx="613">
                  <c:v>2.4486564718199854E-3</c:v>
                </c:pt>
                <c:pt idx="614">
                  <c:v>4.8172673975573684E-4</c:v>
                </c:pt>
                <c:pt idx="615">
                  <c:v>4.1364874960163802E-3</c:v>
                </c:pt>
                <c:pt idx="616">
                  <c:v>-9.6330463579313906E-4</c:v>
                </c:pt>
                <c:pt idx="617">
                  <c:v>-1.3054908807883263E-3</c:v>
                </c:pt>
                <c:pt idx="618">
                  <c:v>-1.4696436248282411E-3</c:v>
                </c:pt>
                <c:pt idx="619">
                  <c:v>1.412050258694443E-3</c:v>
                </c:pt>
                <c:pt idx="620">
                  <c:v>-2.2462162188251122E-3</c:v>
                </c:pt>
                <c:pt idx="621">
                  <c:v>-1.2256081126177138E-3</c:v>
                </c:pt>
                <c:pt idx="622">
                  <c:v>3.9040870574662801E-3</c:v>
                </c:pt>
                <c:pt idx="623">
                  <c:v>1.0414257430595305E-4</c:v>
                </c:pt>
                <c:pt idx="624">
                  <c:v>1.6574701998794475E-3</c:v>
                </c:pt>
                <c:pt idx="625">
                  <c:v>4.1657247830987464E-3</c:v>
                </c:pt>
                <c:pt idx="626">
                  <c:v>5.9474511696263135E-4</c:v>
                </c:pt>
                <c:pt idx="627">
                  <c:v>-4.1525326081384771E-4</c:v>
                </c:pt>
                <c:pt idx="628">
                  <c:v>-2.3310646672408176E-3</c:v>
                </c:pt>
                <c:pt idx="629">
                  <c:v>-7.0380043257933724E-4</c:v>
                </c:pt>
                <c:pt idx="630">
                  <c:v>9.9190702000106199E-4</c:v>
                </c:pt>
                <c:pt idx="631">
                  <c:v>2.3874326698409077E-3</c:v>
                </c:pt>
                <c:pt idx="632">
                  <c:v>2.6026961591160448E-3</c:v>
                </c:pt>
                <c:pt idx="633">
                  <c:v>2.9434125941037179E-3</c:v>
                </c:pt>
                <c:pt idx="634">
                  <c:v>-1.1154184856763724E-4</c:v>
                </c:pt>
                <c:pt idx="635">
                  <c:v>1.4585713404314793E-3</c:v>
                </c:pt>
                <c:pt idx="636">
                  <c:v>2.5081126357194062E-3</c:v>
                </c:pt>
                <c:pt idx="637">
                  <c:v>9.7674717451643432E-4</c:v>
                </c:pt>
                <c:pt idx="638">
                  <c:v>-1.9560182922952942E-3</c:v>
                </c:pt>
                <c:pt idx="639">
                  <c:v>3.223498782059383E-4</c:v>
                </c:pt>
                <c:pt idx="640">
                  <c:v>1.5160925401683572E-3</c:v>
                </c:pt>
                <c:pt idx="641">
                  <c:v>1.1237144431660289E-3</c:v>
                </c:pt>
                <c:pt idx="642">
                  <c:v>1.6805594641288558E-4</c:v>
                </c:pt>
                <c:pt idx="643">
                  <c:v>-1.8491204492171798E-3</c:v>
                </c:pt>
                <c:pt idx="644">
                  <c:v>3.3963484067817537E-3</c:v>
                </c:pt>
                <c:pt idx="645">
                  <c:v>6.9064045353522333E-4</c:v>
                </c:pt>
                <c:pt idx="646">
                  <c:v>-6.3944460218910617E-4</c:v>
                </c:pt>
                <c:pt idx="647">
                  <c:v>-4.2349186407280009E-3</c:v>
                </c:pt>
                <c:pt idx="648">
                  <c:v>-6.017622186317267E-4</c:v>
                </c:pt>
                <c:pt idx="649">
                  <c:v>-1.4872735909106382E-3</c:v>
                </c:pt>
                <c:pt idx="650">
                  <c:v>3.1216471816869285E-3</c:v>
                </c:pt>
                <c:pt idx="651">
                  <c:v>-1.1391981615760669E-3</c:v>
                </c:pt>
                <c:pt idx="652">
                  <c:v>-2.0467007805132975E-3</c:v>
                </c:pt>
                <c:pt idx="653">
                  <c:v>2.9873901791128629E-4</c:v>
                </c:pt>
                <c:pt idx="654">
                  <c:v>-1.2611273489077185E-4</c:v>
                </c:pt>
                <c:pt idx="655">
                  <c:v>2.0683334739389101E-3</c:v>
                </c:pt>
                <c:pt idx="656">
                  <c:v>-3.4985322273899042E-3</c:v>
                </c:pt>
                <c:pt idx="657">
                  <c:v>-2.2129419996111655E-3</c:v>
                </c:pt>
                <c:pt idx="658">
                  <c:v>-2.2636247004875387E-3</c:v>
                </c:pt>
                <c:pt idx="659">
                  <c:v>1.7022207631921024E-4</c:v>
                </c:pt>
                <c:pt idx="660">
                  <c:v>2.4315063075542724E-3</c:v>
                </c:pt>
                <c:pt idx="661">
                  <c:v>-6.7560349019462208E-4</c:v>
                </c:pt>
                <c:pt idx="662">
                  <c:v>3.7718524170082322E-3</c:v>
                </c:pt>
                <c:pt idx="663">
                  <c:v>-4.1121464154253292E-3</c:v>
                </c:pt>
                <c:pt idx="664">
                  <c:v>2.3796315677059609E-3</c:v>
                </c:pt>
                <c:pt idx="665">
                  <c:v>2.2337636524235381E-3</c:v>
                </c:pt>
                <c:pt idx="666">
                  <c:v>4.8862391334996641E-3</c:v>
                </c:pt>
                <c:pt idx="667">
                  <c:v>1.4514281586675915E-3</c:v>
                </c:pt>
                <c:pt idx="668">
                  <c:v>-2.9575799230230717E-4</c:v>
                </c:pt>
                <c:pt idx="669">
                  <c:v>7.9695468747022159E-4</c:v>
                </c:pt>
                <c:pt idx="670">
                  <c:v>-1.1314421129954939E-3</c:v>
                </c:pt>
                <c:pt idx="671">
                  <c:v>-2.0251008250874404E-3</c:v>
                </c:pt>
                <c:pt idx="672">
                  <c:v>-8.151819554871486E-4</c:v>
                </c:pt>
                <c:pt idx="673">
                  <c:v>6.7709748804161644E-4</c:v>
                </c:pt>
                <c:pt idx="674">
                  <c:v>2.3813971352667478E-3</c:v>
                </c:pt>
                <c:pt idx="675">
                  <c:v>-1.6146292400389633E-3</c:v>
                </c:pt>
                <c:pt idx="676">
                  <c:v>6.1757531425802551E-4</c:v>
                </c:pt>
                <c:pt idx="677">
                  <c:v>2.9304668179041698E-3</c:v>
                </c:pt>
                <c:pt idx="678">
                  <c:v>-3.694387691760673E-3</c:v>
                </c:pt>
                <c:pt idx="679">
                  <c:v>4.5015008462222038E-4</c:v>
                </c:pt>
                <c:pt idx="680">
                  <c:v>-4.7403598546050219E-4</c:v>
                </c:pt>
                <c:pt idx="681">
                  <c:v>-2.8047842310623358E-3</c:v>
                </c:pt>
                <c:pt idx="682">
                  <c:v>-5.0590682598252151E-3</c:v>
                </c:pt>
                <c:pt idx="683">
                  <c:v>-5.2055830026408038E-4</c:v>
                </c:pt>
                <c:pt idx="684">
                  <c:v>1.5125245674898146E-3</c:v>
                </c:pt>
                <c:pt idx="685">
                  <c:v>-4.5228900622549719E-3</c:v>
                </c:pt>
                <c:pt idx="686">
                  <c:v>2.9185347944804226E-4</c:v>
                </c:pt>
                <c:pt idx="687">
                  <c:v>2.1142477812436844E-3</c:v>
                </c:pt>
                <c:pt idx="688">
                  <c:v>-6.537609794429255E-4</c:v>
                </c:pt>
                <c:pt idx="689">
                  <c:v>2.4360689239339144E-4</c:v>
                </c:pt>
                <c:pt idx="690">
                  <c:v>-4.2042005733681454E-3</c:v>
                </c:pt>
                <c:pt idx="691">
                  <c:v>2.8274513663283547E-3</c:v>
                </c:pt>
                <c:pt idx="692">
                  <c:v>-2.015129448328694E-4</c:v>
                </c:pt>
                <c:pt idx="693">
                  <c:v>4.0196105954825173E-3</c:v>
                </c:pt>
                <c:pt idx="694">
                  <c:v>2.2463876522209035E-3</c:v>
                </c:pt>
                <c:pt idx="695">
                  <c:v>1.893784390488652E-3</c:v>
                </c:pt>
                <c:pt idx="696">
                  <c:v>1.5993810812215893E-3</c:v>
                </c:pt>
                <c:pt idx="697">
                  <c:v>-1.7917728803374122E-3</c:v>
                </c:pt>
                <c:pt idx="698">
                  <c:v>-1.3967901818670325E-3</c:v>
                </c:pt>
                <c:pt idx="699">
                  <c:v>3.626896882941111E-3</c:v>
                </c:pt>
                <c:pt idx="700">
                  <c:v>1.8645851257905729E-4</c:v>
                </c:pt>
                <c:pt idx="701">
                  <c:v>-4.0934347828079131E-3</c:v>
                </c:pt>
                <c:pt idx="702">
                  <c:v>-2.5113578071751896E-3</c:v>
                </c:pt>
                <c:pt idx="703">
                  <c:v>-3.8313508117323231E-3</c:v>
                </c:pt>
                <c:pt idx="704">
                  <c:v>-3.2427650707727565E-4</c:v>
                </c:pt>
                <c:pt idx="705">
                  <c:v>2.5558992809588577E-3</c:v>
                </c:pt>
                <c:pt idx="706">
                  <c:v>-4.3958259509584976E-3</c:v>
                </c:pt>
                <c:pt idx="707">
                  <c:v>-3.5891427577876005E-3</c:v>
                </c:pt>
                <c:pt idx="708">
                  <c:v>-1.3264606539115785E-3</c:v>
                </c:pt>
                <c:pt idx="709">
                  <c:v>4.0823950533821337E-3</c:v>
                </c:pt>
                <c:pt idx="710">
                  <c:v>2.3014415386981208E-3</c:v>
                </c:pt>
                <c:pt idx="711">
                  <c:v>3.5984630562859287E-3</c:v>
                </c:pt>
                <c:pt idx="712">
                  <c:v>6.2859684997036841E-3</c:v>
                </c:pt>
                <c:pt idx="713">
                  <c:v>3.2405811849467595E-3</c:v>
                </c:pt>
                <c:pt idx="714">
                  <c:v>7.8210966875926565E-4</c:v>
                </c:pt>
                <c:pt idx="715">
                  <c:v>1.131901831808331E-3</c:v>
                </c:pt>
                <c:pt idx="716">
                  <c:v>5.4140971671006745E-4</c:v>
                </c:pt>
                <c:pt idx="717">
                  <c:v>-2.3829732908998385E-3</c:v>
                </c:pt>
                <c:pt idx="718">
                  <c:v>5.2427904656953597E-3</c:v>
                </c:pt>
                <c:pt idx="719">
                  <c:v>-5.0868413136508349E-5</c:v>
                </c:pt>
                <c:pt idx="720">
                  <c:v>6.3556164828344128E-3</c:v>
                </c:pt>
                <c:pt idx="721">
                  <c:v>7.3192177395344676E-4</c:v>
                </c:pt>
                <c:pt idx="722">
                  <c:v>6.0109966898662598E-4</c:v>
                </c:pt>
                <c:pt idx="723">
                  <c:v>6.305798085931391E-4</c:v>
                </c:pt>
                <c:pt idx="724">
                  <c:v>2.5959536126166616E-3</c:v>
                </c:pt>
                <c:pt idx="725">
                  <c:v>-4.3218184030165672E-4</c:v>
                </c:pt>
                <c:pt idx="726">
                  <c:v>1.5247720965904283E-3</c:v>
                </c:pt>
                <c:pt idx="727">
                  <c:v>4.1011885439306076E-4</c:v>
                </c:pt>
                <c:pt idx="728">
                  <c:v>-4.1069682381692592E-4</c:v>
                </c:pt>
                <c:pt idx="729">
                  <c:v>5.3343107437910531E-4</c:v>
                </c:pt>
                <c:pt idx="730">
                  <c:v>-8.6393740121482612E-5</c:v>
                </c:pt>
                <c:pt idx="731">
                  <c:v>1.4356269052468106E-3</c:v>
                </c:pt>
                <c:pt idx="732">
                  <c:v>2.1079954646287783E-3</c:v>
                </c:pt>
                <c:pt idx="733">
                  <c:v>-1.522163444738586E-3</c:v>
                </c:pt>
                <c:pt idx="734">
                  <c:v>3.503114297901888E-5</c:v>
                </c:pt>
                <c:pt idx="735">
                  <c:v>-1.0387837700790419E-3</c:v>
                </c:pt>
                <c:pt idx="736">
                  <c:v>2.7819013302685189E-3</c:v>
                </c:pt>
                <c:pt idx="737">
                  <c:v>1.5358304510450932E-3</c:v>
                </c:pt>
                <c:pt idx="738">
                  <c:v>1.4808086305230816E-3</c:v>
                </c:pt>
                <c:pt idx="739">
                  <c:v>1.6979515536997469E-3</c:v>
                </c:pt>
                <c:pt idx="740">
                  <c:v>4.6102892775355189E-3</c:v>
                </c:pt>
                <c:pt idx="741">
                  <c:v>1.0697842617760857E-3</c:v>
                </c:pt>
                <c:pt idx="742">
                  <c:v>1.9353575605996626E-4</c:v>
                </c:pt>
                <c:pt idx="743">
                  <c:v>1.6751025253393863E-3</c:v>
                </c:pt>
                <c:pt idx="744">
                  <c:v>2.1056355590978056E-3</c:v>
                </c:pt>
                <c:pt idx="745">
                  <c:v>-4.5067161904702949E-3</c:v>
                </c:pt>
                <c:pt idx="746">
                  <c:v>3.5326533009171495E-3</c:v>
                </c:pt>
                <c:pt idx="747">
                  <c:v>7.522074749379959E-4</c:v>
                </c:pt>
                <c:pt idx="748">
                  <c:v>1.5796512563435981E-3</c:v>
                </c:pt>
                <c:pt idx="749">
                  <c:v>6.7833147846767803E-4</c:v>
                </c:pt>
                <c:pt idx="750">
                  <c:v>3.3717653261190121E-4</c:v>
                </c:pt>
                <c:pt idx="751">
                  <c:v>-6.91372336610549E-4</c:v>
                </c:pt>
                <c:pt idx="752">
                  <c:v>-1.6032690167489256E-3</c:v>
                </c:pt>
                <c:pt idx="753">
                  <c:v>-2.3612467550798485E-3</c:v>
                </c:pt>
                <c:pt idx="754">
                  <c:v>-8.8504070920719994E-4</c:v>
                </c:pt>
                <c:pt idx="755">
                  <c:v>8.0549950655326775E-4</c:v>
                </c:pt>
                <c:pt idx="756">
                  <c:v>4.7595700128300507E-3</c:v>
                </c:pt>
                <c:pt idx="757">
                  <c:v>-2.5745720698860898E-4</c:v>
                </c:pt>
                <c:pt idx="758">
                  <c:v>2.0411436396755986E-3</c:v>
                </c:pt>
                <c:pt idx="759">
                  <c:v>2.1519580093840214E-6</c:v>
                </c:pt>
                <c:pt idx="760">
                  <c:v>4.5970242660088253E-4</c:v>
                </c:pt>
                <c:pt idx="761">
                  <c:v>-9.8252029742066857E-4</c:v>
                </c:pt>
                <c:pt idx="762">
                  <c:v>-1.5892139888561731E-3</c:v>
                </c:pt>
                <c:pt idx="763">
                  <c:v>3.0512361970719271E-3</c:v>
                </c:pt>
                <c:pt idx="764">
                  <c:v>4.1800424853517346E-3</c:v>
                </c:pt>
                <c:pt idx="765">
                  <c:v>9.2411223021168862E-4</c:v>
                </c:pt>
                <c:pt idx="766">
                  <c:v>1.1580463790903004E-3</c:v>
                </c:pt>
                <c:pt idx="767">
                  <c:v>4.7931448758927147E-4</c:v>
                </c:pt>
                <c:pt idx="768">
                  <c:v>1.9106363759542279E-3</c:v>
                </c:pt>
                <c:pt idx="769">
                  <c:v>8.3523782382049615E-6</c:v>
                </c:pt>
                <c:pt idx="770">
                  <c:v>2.6495253773537062E-3</c:v>
                </c:pt>
                <c:pt idx="771">
                  <c:v>2.4805564119609319E-5</c:v>
                </c:pt>
                <c:pt idx="772">
                  <c:v>-4.9640886219361018E-3</c:v>
                </c:pt>
                <c:pt idx="773">
                  <c:v>4.2380186040361766E-3</c:v>
                </c:pt>
                <c:pt idx="774">
                  <c:v>3.6558797968203648E-3</c:v>
                </c:pt>
                <c:pt idx="775">
                  <c:v>-8.0716104018530531E-4</c:v>
                </c:pt>
                <c:pt idx="776">
                  <c:v>9.6146370823806712E-4</c:v>
                </c:pt>
                <c:pt idx="777">
                  <c:v>2.8698279454731808E-3</c:v>
                </c:pt>
                <c:pt idx="778">
                  <c:v>4.0165962239815532E-4</c:v>
                </c:pt>
                <c:pt idx="779">
                  <c:v>2.0657162279780145E-3</c:v>
                </c:pt>
                <c:pt idx="780">
                  <c:v>-8.7264021613193071E-5</c:v>
                </c:pt>
                <c:pt idx="781">
                  <c:v>-4.1817366471450512E-3</c:v>
                </c:pt>
                <c:pt idx="782">
                  <c:v>3.3004388181178687E-3</c:v>
                </c:pt>
                <c:pt idx="783">
                  <c:v>2.0911058951567627E-3</c:v>
                </c:pt>
                <c:pt idx="784">
                  <c:v>-1.3274869426553081E-3</c:v>
                </c:pt>
                <c:pt idx="785">
                  <c:v>-1.7141929267033608E-3</c:v>
                </c:pt>
                <c:pt idx="786">
                  <c:v>6.2483663473302149E-4</c:v>
                </c:pt>
                <c:pt idx="787">
                  <c:v>7.0145347117363428E-3</c:v>
                </c:pt>
                <c:pt idx="788">
                  <c:v>3.3002478729288144E-4</c:v>
                </c:pt>
                <c:pt idx="789">
                  <c:v>-1.0003492939743013E-3</c:v>
                </c:pt>
                <c:pt idx="790">
                  <c:v>7.6710205875985514E-4</c:v>
                </c:pt>
                <c:pt idx="791">
                  <c:v>-3.1545555889199385E-4</c:v>
                </c:pt>
                <c:pt idx="792">
                  <c:v>1.9005747672567548E-3</c:v>
                </c:pt>
                <c:pt idx="793">
                  <c:v>2.7946557572532931E-3</c:v>
                </c:pt>
                <c:pt idx="794">
                  <c:v>-1.6587236501233772E-4</c:v>
                </c:pt>
                <c:pt idx="795">
                  <c:v>-3.0616459193053241E-3</c:v>
                </c:pt>
                <c:pt idx="796">
                  <c:v>1.8722628064854147E-3</c:v>
                </c:pt>
                <c:pt idx="797">
                  <c:v>3.5335091940898429E-3</c:v>
                </c:pt>
                <c:pt idx="798">
                  <c:v>-1.8825359929952187E-3</c:v>
                </c:pt>
                <c:pt idx="799">
                  <c:v>-1.4301979133457627E-4</c:v>
                </c:pt>
                <c:pt idx="800">
                  <c:v>3.8223389369437168E-3</c:v>
                </c:pt>
                <c:pt idx="801">
                  <c:v>-4.0116385029803419E-4</c:v>
                </c:pt>
                <c:pt idx="802">
                  <c:v>-7.0572810806182043E-4</c:v>
                </c:pt>
                <c:pt idx="803">
                  <c:v>-1.8678632694621368E-3</c:v>
                </c:pt>
                <c:pt idx="804">
                  <c:v>2.2509583067920036E-3</c:v>
                </c:pt>
                <c:pt idx="805">
                  <c:v>2.0357309785293538E-3</c:v>
                </c:pt>
                <c:pt idx="806">
                  <c:v>3.0830622640722824E-3</c:v>
                </c:pt>
                <c:pt idx="807">
                  <c:v>1.2594521107583791E-3</c:v>
                </c:pt>
                <c:pt idx="808">
                  <c:v>-2.3309595032289891E-4</c:v>
                </c:pt>
                <c:pt idx="809">
                  <c:v>-7.6489073549009955E-4</c:v>
                </c:pt>
                <c:pt idx="810">
                  <c:v>-6.8278784237459978E-4</c:v>
                </c:pt>
                <c:pt idx="811">
                  <c:v>2.995046119420519E-3</c:v>
                </c:pt>
                <c:pt idx="812">
                  <c:v>5.7730833164266679E-4</c:v>
                </c:pt>
                <c:pt idx="813">
                  <c:v>-4.2981797499474237E-4</c:v>
                </c:pt>
                <c:pt idx="814">
                  <c:v>-2.1111582110476135E-3</c:v>
                </c:pt>
                <c:pt idx="815">
                  <c:v>5.6914743557933713E-4</c:v>
                </c:pt>
                <c:pt idx="816">
                  <c:v>-3.7506063471983036E-3</c:v>
                </c:pt>
                <c:pt idx="817">
                  <c:v>3.7893284760921642E-3</c:v>
                </c:pt>
                <c:pt idx="818">
                  <c:v>9.7529057081237748E-5</c:v>
                </c:pt>
                <c:pt idx="819">
                  <c:v>6.8316923501647337E-4</c:v>
                </c:pt>
                <c:pt idx="820">
                  <c:v>-2.8247930297995577E-3</c:v>
                </c:pt>
                <c:pt idx="821">
                  <c:v>2.613495783057761E-3</c:v>
                </c:pt>
                <c:pt idx="822">
                  <c:v>-4.4637362274405311E-3</c:v>
                </c:pt>
                <c:pt idx="823">
                  <c:v>-3.6499019828197159E-3</c:v>
                </c:pt>
                <c:pt idx="824">
                  <c:v>-4.4362865019036883E-4</c:v>
                </c:pt>
                <c:pt idx="825">
                  <c:v>-1.641887634420485E-3</c:v>
                </c:pt>
                <c:pt idx="826">
                  <c:v>-4.9242432222788477E-4</c:v>
                </c:pt>
                <c:pt idx="827">
                  <c:v>-2.6000665633474892E-3</c:v>
                </c:pt>
                <c:pt idx="828">
                  <c:v>3.0274220134026164E-3</c:v>
                </c:pt>
                <c:pt idx="829">
                  <c:v>4.067772404310421E-3</c:v>
                </c:pt>
                <c:pt idx="830">
                  <c:v>2.8660748306612495E-4</c:v>
                </c:pt>
                <c:pt idx="831">
                  <c:v>-1.2544351057924273E-3</c:v>
                </c:pt>
                <c:pt idx="832">
                  <c:v>3.5029469181325993E-3</c:v>
                </c:pt>
                <c:pt idx="833">
                  <c:v>1.2407622189504548E-3</c:v>
                </c:pt>
                <c:pt idx="834">
                  <c:v>-4.8433548957720054E-3</c:v>
                </c:pt>
                <c:pt idx="835">
                  <c:v>-8.8731146824866912E-4</c:v>
                </c:pt>
                <c:pt idx="836">
                  <c:v>3.1552208137544634E-3</c:v>
                </c:pt>
                <c:pt idx="837">
                  <c:v>4.2583059757575568E-3</c:v>
                </c:pt>
                <c:pt idx="838">
                  <c:v>3.5405866073796059E-3</c:v>
                </c:pt>
                <c:pt idx="839">
                  <c:v>6.5032952714858829E-4</c:v>
                </c:pt>
                <c:pt idx="840">
                  <c:v>2.1619208664706583E-4</c:v>
                </c:pt>
                <c:pt idx="841">
                  <c:v>1.8561247913269617E-3</c:v>
                </c:pt>
                <c:pt idx="842">
                  <c:v>7.4877764132500336E-4</c:v>
                </c:pt>
                <c:pt idx="843">
                  <c:v>1.4042811065656589E-4</c:v>
                </c:pt>
                <c:pt idx="844">
                  <c:v>1.7746766468239019E-3</c:v>
                </c:pt>
                <c:pt idx="845">
                  <c:v>3.9877676691248585E-3</c:v>
                </c:pt>
                <c:pt idx="846">
                  <c:v>-4.5172429798951471E-4</c:v>
                </c:pt>
                <c:pt idx="847">
                  <c:v>5.9284536480984839E-4</c:v>
                </c:pt>
                <c:pt idx="848">
                  <c:v>5.1292584392656449E-4</c:v>
                </c:pt>
                <c:pt idx="849">
                  <c:v>1.0230686977537591E-3</c:v>
                </c:pt>
                <c:pt idx="850">
                  <c:v>-6.5264801106552049E-4</c:v>
                </c:pt>
                <c:pt idx="851">
                  <c:v>-2.1567611626591805E-3</c:v>
                </c:pt>
                <c:pt idx="852">
                  <c:v>2.4707138398960024E-3</c:v>
                </c:pt>
                <c:pt idx="853">
                  <c:v>2.9812378663658499E-4</c:v>
                </c:pt>
                <c:pt idx="854">
                  <c:v>-2.1523392529449233E-3</c:v>
                </c:pt>
                <c:pt idx="855">
                  <c:v>-1.7044480663613243E-3</c:v>
                </c:pt>
                <c:pt idx="856">
                  <c:v>2.8011062196860695E-3</c:v>
                </c:pt>
                <c:pt idx="857">
                  <c:v>5.7717859872803549E-4</c:v>
                </c:pt>
                <c:pt idx="858">
                  <c:v>7.0161117464317502E-4</c:v>
                </c:pt>
                <c:pt idx="859">
                  <c:v>4.0301503076099364E-3</c:v>
                </c:pt>
                <c:pt idx="860">
                  <c:v>1.5377705456773644E-4</c:v>
                </c:pt>
                <c:pt idx="861">
                  <c:v>-1.4076160231321776E-4</c:v>
                </c:pt>
                <c:pt idx="862">
                  <c:v>1.0484813553924617E-3</c:v>
                </c:pt>
                <c:pt idx="863">
                  <c:v>1.0901576125376784E-3</c:v>
                </c:pt>
                <c:pt idx="864">
                  <c:v>2.954197710924803E-3</c:v>
                </c:pt>
                <c:pt idx="865">
                  <c:v>9.7248237664420865E-4</c:v>
                </c:pt>
                <c:pt idx="866">
                  <c:v>9.134178082273998E-5</c:v>
                </c:pt>
                <c:pt idx="867">
                  <c:v>2.6841502812044362E-3</c:v>
                </c:pt>
                <c:pt idx="868">
                  <c:v>1.0293279570350001E-3</c:v>
                </c:pt>
                <c:pt idx="869">
                  <c:v>-5.9467000618575129E-4</c:v>
                </c:pt>
                <c:pt idx="870">
                  <c:v>-2.8455882253047241E-4</c:v>
                </c:pt>
                <c:pt idx="871">
                  <c:v>-7.6817502731197729E-4</c:v>
                </c:pt>
                <c:pt idx="872">
                  <c:v>1.483735302379901E-3</c:v>
                </c:pt>
                <c:pt idx="873">
                  <c:v>7.2401259684926761E-4</c:v>
                </c:pt>
                <c:pt idx="874">
                  <c:v>5.1000793563590299E-4</c:v>
                </c:pt>
                <c:pt idx="875">
                  <c:v>-1.095879741033808E-3</c:v>
                </c:pt>
                <c:pt idx="876">
                  <c:v>1.0789548791618666E-3</c:v>
                </c:pt>
                <c:pt idx="877">
                  <c:v>2.2114651679462733E-3</c:v>
                </c:pt>
                <c:pt idx="878">
                  <c:v>1.8540323245472257E-3</c:v>
                </c:pt>
                <c:pt idx="879">
                  <c:v>1.9712555288232498E-3</c:v>
                </c:pt>
                <c:pt idx="880">
                  <c:v>5.4520117460612463E-4</c:v>
                </c:pt>
                <c:pt idx="881">
                  <c:v>4.5651577792279259E-4</c:v>
                </c:pt>
                <c:pt idx="882">
                  <c:v>3.5026002915248314E-3</c:v>
                </c:pt>
                <c:pt idx="883">
                  <c:v>-2.6015082417799921E-3</c:v>
                </c:pt>
                <c:pt idx="884">
                  <c:v>1.9932194403549939E-3</c:v>
                </c:pt>
                <c:pt idx="885">
                  <c:v>1.1274240883006258E-3</c:v>
                </c:pt>
                <c:pt idx="886">
                  <c:v>2.2739048065987251E-3</c:v>
                </c:pt>
                <c:pt idx="887">
                  <c:v>-4.2632339995594742E-3</c:v>
                </c:pt>
                <c:pt idx="888">
                  <c:v>-2.2969237683363244E-3</c:v>
                </c:pt>
                <c:pt idx="889">
                  <c:v>-2.0793705719602384E-3</c:v>
                </c:pt>
                <c:pt idx="890">
                  <c:v>3.6904976201709997E-3</c:v>
                </c:pt>
                <c:pt idx="891">
                  <c:v>-2.832628551099793E-4</c:v>
                </c:pt>
                <c:pt idx="892">
                  <c:v>-7.2303451731493386E-3</c:v>
                </c:pt>
                <c:pt idx="893">
                  <c:v>-1.4366114440902765E-3</c:v>
                </c:pt>
                <c:pt idx="894">
                  <c:v>3.7865209819081592E-3</c:v>
                </c:pt>
                <c:pt idx="895">
                  <c:v>4.7975904490278869E-4</c:v>
                </c:pt>
                <c:pt idx="896">
                  <c:v>-1.3779071737222539E-3</c:v>
                </c:pt>
                <c:pt idx="897">
                  <c:v>5.2997281415749125E-3</c:v>
                </c:pt>
                <c:pt idx="898">
                  <c:v>-4.1879296374669629E-3</c:v>
                </c:pt>
                <c:pt idx="899">
                  <c:v>-5.6964480595443978E-3</c:v>
                </c:pt>
                <c:pt idx="900">
                  <c:v>-9.4246423570827267E-3</c:v>
                </c:pt>
                <c:pt idx="901">
                  <c:v>3.5495836242620746E-3</c:v>
                </c:pt>
                <c:pt idx="902">
                  <c:v>-2.2706180430182182E-3</c:v>
                </c:pt>
                <c:pt idx="903">
                  <c:v>7.6322231157802383E-3</c:v>
                </c:pt>
                <c:pt idx="904">
                  <c:v>1.7212208575378149E-3</c:v>
                </c:pt>
                <c:pt idx="905">
                  <c:v>2.3191629352028973E-4</c:v>
                </c:pt>
                <c:pt idx="906">
                  <c:v>5.6389196966212876E-3</c:v>
                </c:pt>
                <c:pt idx="907">
                  <c:v>1.4483863771069545E-3</c:v>
                </c:pt>
                <c:pt idx="908">
                  <c:v>5.409077401923458E-3</c:v>
                </c:pt>
                <c:pt idx="909">
                  <c:v>8.5829789364197048E-4</c:v>
                </c:pt>
                <c:pt idx="910">
                  <c:v>3.3462963133061305E-3</c:v>
                </c:pt>
                <c:pt idx="911">
                  <c:v>-4.2047762378085308E-4</c:v>
                </c:pt>
                <c:pt idx="912">
                  <c:v>1.5822213007443797E-3</c:v>
                </c:pt>
                <c:pt idx="913">
                  <c:v>-2.6561353341092351E-3</c:v>
                </c:pt>
                <c:pt idx="914">
                  <c:v>3.9129404968853126E-3</c:v>
                </c:pt>
                <c:pt idx="915">
                  <c:v>-7.9666824545760807E-4</c:v>
                </c:pt>
                <c:pt idx="916">
                  <c:v>7.3133743200585783E-4</c:v>
                </c:pt>
                <c:pt idx="917">
                  <c:v>-1.7047497498649423E-3</c:v>
                </c:pt>
                <c:pt idx="918">
                  <c:v>2.0539916439733983E-4</c:v>
                </c:pt>
                <c:pt idx="919">
                  <c:v>3.4655936915424907E-3</c:v>
                </c:pt>
                <c:pt idx="920">
                  <c:v>-6.5874657004484135E-3</c:v>
                </c:pt>
                <c:pt idx="921">
                  <c:v>-2.9756213465024161E-4</c:v>
                </c:pt>
                <c:pt idx="922">
                  <c:v>-7.530027445483762E-4</c:v>
                </c:pt>
                <c:pt idx="923">
                  <c:v>-5.3355603068968747E-3</c:v>
                </c:pt>
                <c:pt idx="924">
                  <c:v>3.944054393413542E-3</c:v>
                </c:pt>
                <c:pt idx="925">
                  <c:v>1.6571896383508339E-3</c:v>
                </c:pt>
                <c:pt idx="926">
                  <c:v>3.6496311631334095E-3</c:v>
                </c:pt>
                <c:pt idx="927">
                  <c:v>2.6297460800532579E-3</c:v>
                </c:pt>
                <c:pt idx="928">
                  <c:v>1.9580461895266233E-3</c:v>
                </c:pt>
                <c:pt idx="929">
                  <c:v>6.2240086469924326E-4</c:v>
                </c:pt>
                <c:pt idx="930">
                  <c:v>3.0319090287858727E-4</c:v>
                </c:pt>
                <c:pt idx="931">
                  <c:v>-7.1388920131507062E-4</c:v>
                </c:pt>
                <c:pt idx="932">
                  <c:v>5.6805144990506014E-3</c:v>
                </c:pt>
                <c:pt idx="933">
                  <c:v>-4.0647211141200891E-4</c:v>
                </c:pt>
                <c:pt idx="934">
                  <c:v>1.1219768391117727E-3</c:v>
                </c:pt>
                <c:pt idx="935">
                  <c:v>1.0260625820975866E-3</c:v>
                </c:pt>
                <c:pt idx="936">
                  <c:v>-3.808027146938942E-4</c:v>
                </c:pt>
                <c:pt idx="937">
                  <c:v>1.5175474462161382E-3</c:v>
                </c:pt>
                <c:pt idx="938">
                  <c:v>-1.8516332605302197E-4</c:v>
                </c:pt>
                <c:pt idx="939">
                  <c:v>1.5812159839850384E-3</c:v>
                </c:pt>
                <c:pt idx="940">
                  <c:v>-2.7820398568028735E-3</c:v>
                </c:pt>
                <c:pt idx="941">
                  <c:v>2.6259814762803649E-4</c:v>
                </c:pt>
                <c:pt idx="942">
                  <c:v>-3.2293918355703324E-4</c:v>
                </c:pt>
                <c:pt idx="943">
                  <c:v>3.1043226502570922E-3</c:v>
                </c:pt>
                <c:pt idx="944">
                  <c:v>-2.866313262565296E-3</c:v>
                </c:pt>
                <c:pt idx="945">
                  <c:v>3.3356985136297371E-3</c:v>
                </c:pt>
                <c:pt idx="946">
                  <c:v>2.5068696276453924E-3</c:v>
                </c:pt>
                <c:pt idx="947">
                  <c:v>-4.4800963368818122E-4</c:v>
                </c:pt>
                <c:pt idx="948">
                  <c:v>2.165302373185653E-3</c:v>
                </c:pt>
                <c:pt idx="949">
                  <c:v>2.6980761624804369E-3</c:v>
                </c:pt>
                <c:pt idx="950">
                  <c:v>-2.2303398455447107E-3</c:v>
                </c:pt>
                <c:pt idx="951">
                  <c:v>1.7236241329336047E-3</c:v>
                </c:pt>
                <c:pt idx="952">
                  <c:v>1.6299740001199975E-4</c:v>
                </c:pt>
                <c:pt idx="953">
                  <c:v>1.495950095402081E-3</c:v>
                </c:pt>
                <c:pt idx="954">
                  <c:v>-3.6842167389953781E-4</c:v>
                </c:pt>
                <c:pt idx="955">
                  <c:v>6.5281508891241877E-5</c:v>
                </c:pt>
                <c:pt idx="956">
                  <c:v>-2.7393156012702241E-3</c:v>
                </c:pt>
                <c:pt idx="957">
                  <c:v>9.0848982395740085E-4</c:v>
                </c:pt>
                <c:pt idx="958">
                  <c:v>1.2172008721611047E-4</c:v>
                </c:pt>
                <c:pt idx="959">
                  <c:v>1.071193922975479E-3</c:v>
                </c:pt>
                <c:pt idx="960">
                  <c:v>7.3742866932313233E-4</c:v>
                </c:pt>
                <c:pt idx="961">
                  <c:v>-8.4380819394906865E-4</c:v>
                </c:pt>
                <c:pt idx="962">
                  <c:v>-5.771366317297499E-3</c:v>
                </c:pt>
                <c:pt idx="963">
                  <c:v>1.5348689980976831E-3</c:v>
                </c:pt>
                <c:pt idx="964">
                  <c:v>-6.8674174844098827E-4</c:v>
                </c:pt>
                <c:pt idx="965">
                  <c:v>4.1646436913554555E-3</c:v>
                </c:pt>
                <c:pt idx="966">
                  <c:v>8.3572464593900456E-3</c:v>
                </c:pt>
                <c:pt idx="967">
                  <c:v>2.6091301851941169E-3</c:v>
                </c:pt>
                <c:pt idx="968">
                  <c:v>1.42686229916959E-3</c:v>
                </c:pt>
                <c:pt idx="969">
                  <c:v>5.2987402044545105E-4</c:v>
                </c:pt>
                <c:pt idx="970">
                  <c:v>-7.1266780558349439E-4</c:v>
                </c:pt>
                <c:pt idx="971">
                  <c:v>2.927909655335005E-4</c:v>
                </c:pt>
                <c:pt idx="972">
                  <c:v>-1.7284831566702701E-3</c:v>
                </c:pt>
                <c:pt idx="973">
                  <c:v>-4.030263813889076E-3</c:v>
                </c:pt>
                <c:pt idx="974">
                  <c:v>1.4786593345137481E-3</c:v>
                </c:pt>
                <c:pt idx="975">
                  <c:v>1.4933863398693917E-3</c:v>
                </c:pt>
                <c:pt idx="976">
                  <c:v>2.2513260265639935E-4</c:v>
                </c:pt>
                <c:pt idx="977">
                  <c:v>1.9364079954242157E-3</c:v>
                </c:pt>
                <c:pt idx="978">
                  <c:v>1.3339146318206783E-3</c:v>
                </c:pt>
                <c:pt idx="979">
                  <c:v>1.1899345474545408E-3</c:v>
                </c:pt>
                <c:pt idx="980">
                  <c:v>2.0591730109524925E-3</c:v>
                </c:pt>
                <c:pt idx="981">
                  <c:v>-1.0050105010266054E-3</c:v>
                </c:pt>
                <c:pt idx="982">
                  <c:v>2.0224217276700795E-3</c:v>
                </c:pt>
                <c:pt idx="983">
                  <c:v>1.0058810782888263E-3</c:v>
                </c:pt>
                <c:pt idx="984">
                  <c:v>3.6332728294447979E-4</c:v>
                </c:pt>
                <c:pt idx="985">
                  <c:v>2.1651641215155357E-3</c:v>
                </c:pt>
                <c:pt idx="986">
                  <c:v>-3.8354625471786281E-4</c:v>
                </c:pt>
                <c:pt idx="987">
                  <c:v>1.0210029459751765E-3</c:v>
                </c:pt>
                <c:pt idx="988">
                  <c:v>-1.7588826124968094E-3</c:v>
                </c:pt>
                <c:pt idx="989">
                  <c:v>-7.3558460895466237E-4</c:v>
                </c:pt>
                <c:pt idx="990">
                  <c:v>2.8454798072788576E-3</c:v>
                </c:pt>
                <c:pt idx="991">
                  <c:v>-1.5239373822955595E-3</c:v>
                </c:pt>
                <c:pt idx="992">
                  <c:v>2.0955386890709316E-4</c:v>
                </c:pt>
                <c:pt idx="993">
                  <c:v>1.4405437946453056E-3</c:v>
                </c:pt>
                <c:pt idx="994">
                  <c:v>-1.025203053400208E-3</c:v>
                </c:pt>
                <c:pt idx="995">
                  <c:v>-9.2715007678428434E-3</c:v>
                </c:pt>
                <c:pt idx="996">
                  <c:v>-6.0287415481020235E-5</c:v>
                </c:pt>
                <c:pt idx="997">
                  <c:v>3.7153014090749283E-3</c:v>
                </c:pt>
                <c:pt idx="998">
                  <c:v>2.5628109996809981E-3</c:v>
                </c:pt>
                <c:pt idx="999">
                  <c:v>3.7711700648209541E-3</c:v>
                </c:pt>
                <c:pt idx="1000">
                  <c:v>8.7545620911949721E-5</c:v>
                </c:pt>
                <c:pt idx="1001">
                  <c:v>-3.3392060279063872E-3</c:v>
                </c:pt>
                <c:pt idx="1002">
                  <c:v>-3.225387125112859E-3</c:v>
                </c:pt>
                <c:pt idx="1003">
                  <c:v>-1.1606006863626359E-3</c:v>
                </c:pt>
                <c:pt idx="1004">
                  <c:v>-4.974844393638196E-4</c:v>
                </c:pt>
                <c:pt idx="1005">
                  <c:v>4.2709468723529384E-3</c:v>
                </c:pt>
                <c:pt idx="1006">
                  <c:v>1.9999821397674003E-3</c:v>
                </c:pt>
                <c:pt idx="1007">
                  <c:v>-3.3547073294578084E-3</c:v>
                </c:pt>
                <c:pt idx="1008">
                  <c:v>7.2012869560114342E-4</c:v>
                </c:pt>
                <c:pt idx="1009">
                  <c:v>-4.7407558405591519E-3</c:v>
                </c:pt>
                <c:pt idx="1010">
                  <c:v>7.2498206952779074E-4</c:v>
                </c:pt>
                <c:pt idx="1011">
                  <c:v>5.8689483218050216E-4</c:v>
                </c:pt>
                <c:pt idx="1012">
                  <c:v>6.1103641108586383E-3</c:v>
                </c:pt>
                <c:pt idx="1013">
                  <c:v>-4.6170579558245709E-4</c:v>
                </c:pt>
                <c:pt idx="1014">
                  <c:v>3.4327766479086532E-3</c:v>
                </c:pt>
                <c:pt idx="1015">
                  <c:v>3.0393202680585808E-3</c:v>
                </c:pt>
                <c:pt idx="1016">
                  <c:v>2.1930038543701313E-3</c:v>
                </c:pt>
                <c:pt idx="1017">
                  <c:v>1.9277284545793673E-3</c:v>
                </c:pt>
                <c:pt idx="1018">
                  <c:v>-7.0059305652645431E-4</c:v>
                </c:pt>
                <c:pt idx="1019">
                  <c:v>-4.4733977419424394E-3</c:v>
                </c:pt>
                <c:pt idx="1020">
                  <c:v>3.1839964590368508E-3</c:v>
                </c:pt>
                <c:pt idx="1021">
                  <c:v>-1.2874041672284533E-3</c:v>
                </c:pt>
                <c:pt idx="1022">
                  <c:v>1.9154785006309011E-3</c:v>
                </c:pt>
                <c:pt idx="1023">
                  <c:v>-1.4057887791615834E-3</c:v>
                </c:pt>
                <c:pt idx="1024">
                  <c:v>-2.23006035609626E-3</c:v>
                </c:pt>
                <c:pt idx="1025">
                  <c:v>2.5427360192081328E-3</c:v>
                </c:pt>
                <c:pt idx="1026">
                  <c:v>1.475717956831575E-3</c:v>
                </c:pt>
                <c:pt idx="1027">
                  <c:v>1.3906533881102722E-3</c:v>
                </c:pt>
                <c:pt idx="1028">
                  <c:v>-2.8272993956568286E-3</c:v>
                </c:pt>
                <c:pt idx="1029">
                  <c:v>2.3778860679508841E-3</c:v>
                </c:pt>
                <c:pt idx="1030">
                  <c:v>3.2733334841358327E-4</c:v>
                </c:pt>
                <c:pt idx="1031">
                  <c:v>-6.5835721671963349E-4</c:v>
                </c:pt>
                <c:pt idx="1032">
                  <c:v>3.5728165696617162E-3</c:v>
                </c:pt>
                <c:pt idx="1033">
                  <c:v>1.9492121693014141E-4</c:v>
                </c:pt>
                <c:pt idx="1034">
                  <c:v>1.0047650097046589E-3</c:v>
                </c:pt>
                <c:pt idx="1035">
                  <c:v>9.8287952923634733E-4</c:v>
                </c:pt>
                <c:pt idx="1036">
                  <c:v>-1.1764906112130191E-3</c:v>
                </c:pt>
                <c:pt idx="1037">
                  <c:v>-5.2724560735947336E-3</c:v>
                </c:pt>
                <c:pt idx="1038">
                  <c:v>-1.3807819543576363E-3</c:v>
                </c:pt>
                <c:pt idx="1039">
                  <c:v>-1.2876729234338844E-3</c:v>
                </c:pt>
                <c:pt idx="1040">
                  <c:v>2.6183669261264442E-4</c:v>
                </c:pt>
                <c:pt idx="1041">
                  <c:v>-4.8864834113527093E-3</c:v>
                </c:pt>
                <c:pt idx="1042">
                  <c:v>5.3192736376748932E-3</c:v>
                </c:pt>
                <c:pt idx="1043">
                  <c:v>-5.4438286714643585E-3</c:v>
                </c:pt>
                <c:pt idx="1044">
                  <c:v>-3.7185883058717946E-3</c:v>
                </c:pt>
                <c:pt idx="1045">
                  <c:v>3.8086609343033549E-3</c:v>
                </c:pt>
                <c:pt idx="1046">
                  <c:v>-5.5153451333508222E-3</c:v>
                </c:pt>
                <c:pt idx="1047">
                  <c:v>1.9943747199083059E-3</c:v>
                </c:pt>
                <c:pt idx="1048">
                  <c:v>-8.4607484257537332E-3</c:v>
                </c:pt>
                <c:pt idx="1049">
                  <c:v>-2.216954409818683E-3</c:v>
                </c:pt>
                <c:pt idx="1050">
                  <c:v>1.7904611050401046E-3</c:v>
                </c:pt>
                <c:pt idx="1051">
                  <c:v>-4.2514708584834018E-3</c:v>
                </c:pt>
                <c:pt idx="1052">
                  <c:v>7.0605412697272874E-3</c:v>
                </c:pt>
                <c:pt idx="1053">
                  <c:v>2.2825135624521937E-3</c:v>
                </c:pt>
                <c:pt idx="1054">
                  <c:v>-3.2097870940239336E-3</c:v>
                </c:pt>
                <c:pt idx="1055">
                  <c:v>3.6925761785947695E-3</c:v>
                </c:pt>
                <c:pt idx="1056">
                  <c:v>-4.849379448908709E-4</c:v>
                </c:pt>
                <c:pt idx="1057">
                  <c:v>4.8340888370539483E-4</c:v>
                </c:pt>
                <c:pt idx="1058">
                  <c:v>5.8958181176630613E-3</c:v>
                </c:pt>
                <c:pt idx="1059">
                  <c:v>7.2462469476382351E-4</c:v>
                </c:pt>
                <c:pt idx="1060">
                  <c:v>-3.3717675954377264E-3</c:v>
                </c:pt>
                <c:pt idx="1061">
                  <c:v>-8.4597904814361546E-4</c:v>
                </c:pt>
                <c:pt idx="1062">
                  <c:v>-6.1325465037462947E-3</c:v>
                </c:pt>
                <c:pt idx="1063">
                  <c:v>2.0001354945992506E-3</c:v>
                </c:pt>
                <c:pt idx="1064">
                  <c:v>1.4347138840002088E-3</c:v>
                </c:pt>
                <c:pt idx="1065">
                  <c:v>2.3829227776090813E-3</c:v>
                </c:pt>
                <c:pt idx="1066">
                  <c:v>-1.535363089152725E-2</c:v>
                </c:pt>
                <c:pt idx="1067">
                  <c:v>-1.9006866585298755E-2</c:v>
                </c:pt>
                <c:pt idx="1068">
                  <c:v>-5.321010875023258E-4</c:v>
                </c:pt>
                <c:pt idx="1069">
                  <c:v>-4.8337056129122971E-3</c:v>
                </c:pt>
                <c:pt idx="1070">
                  <c:v>3.0834626877444187E-2</c:v>
                </c:pt>
                <c:pt idx="1071">
                  <c:v>-1.0917209014445116E-2</c:v>
                </c:pt>
                <c:pt idx="1072">
                  <c:v>6.039352939551778E-3</c:v>
                </c:pt>
                <c:pt idx="1073">
                  <c:v>2.7743475398474072E-3</c:v>
                </c:pt>
                <c:pt idx="1074">
                  <c:v>-3.3785826125108654E-4</c:v>
                </c:pt>
                <c:pt idx="1075">
                  <c:v>-6.9920116556553688E-3</c:v>
                </c:pt>
                <c:pt idx="1076">
                  <c:v>6.4499099582291492E-4</c:v>
                </c:pt>
                <c:pt idx="1077">
                  <c:v>-7.3649686770282559E-3</c:v>
                </c:pt>
                <c:pt idx="1078">
                  <c:v>8.2997408844215637E-3</c:v>
                </c:pt>
                <c:pt idx="1079">
                  <c:v>5.5789306151512843E-3</c:v>
                </c:pt>
                <c:pt idx="1080">
                  <c:v>6.7366093872564068E-3</c:v>
                </c:pt>
                <c:pt idx="1081">
                  <c:v>2.5904371813462884E-3</c:v>
                </c:pt>
                <c:pt idx="1082">
                  <c:v>4.2422246654862431E-4</c:v>
                </c:pt>
                <c:pt idx="1083">
                  <c:v>2.085043981028769E-3</c:v>
                </c:pt>
                <c:pt idx="1084">
                  <c:v>6.9426937284772726E-4</c:v>
                </c:pt>
                <c:pt idx="1085">
                  <c:v>2.2448586158747524E-3</c:v>
                </c:pt>
                <c:pt idx="1086">
                  <c:v>4.9564683562138469E-3</c:v>
                </c:pt>
                <c:pt idx="1087">
                  <c:v>-1.8352627850632423E-3</c:v>
                </c:pt>
                <c:pt idx="1088">
                  <c:v>-2.2572946398463057E-3</c:v>
                </c:pt>
                <c:pt idx="1089">
                  <c:v>1.6165462680121892E-3</c:v>
                </c:pt>
                <c:pt idx="1090">
                  <c:v>2.0841959479192926E-3</c:v>
                </c:pt>
                <c:pt idx="1091">
                  <c:v>-1.0855218869291008E-5</c:v>
                </c:pt>
                <c:pt idx="1092">
                  <c:v>1.0694130928673454E-2</c:v>
                </c:pt>
                <c:pt idx="1093">
                  <c:v>2.5502391705588138E-3</c:v>
                </c:pt>
                <c:pt idx="1094">
                  <c:v>5.4768399867881237E-4</c:v>
                </c:pt>
                <c:pt idx="1095">
                  <c:v>1.547682214513745E-3</c:v>
                </c:pt>
                <c:pt idx="1096">
                  <c:v>2.4720747875348922E-3</c:v>
                </c:pt>
                <c:pt idx="1097">
                  <c:v>4.9996646883390813E-4</c:v>
                </c:pt>
                <c:pt idx="1098">
                  <c:v>-1.0304266411068986E-3</c:v>
                </c:pt>
                <c:pt idx="1099">
                  <c:v>-4.9735438156773342E-3</c:v>
                </c:pt>
                <c:pt idx="1100">
                  <c:v>7.4928769846585716E-5</c:v>
                </c:pt>
                <c:pt idx="1101">
                  <c:v>-1.9403813602789164E-3</c:v>
                </c:pt>
                <c:pt idx="1102">
                  <c:v>6.800942409192671E-3</c:v>
                </c:pt>
                <c:pt idx="1103">
                  <c:v>-1.5745187304772837E-3</c:v>
                </c:pt>
                <c:pt idx="1104">
                  <c:v>1.5087050790829541E-3</c:v>
                </c:pt>
                <c:pt idx="1105">
                  <c:v>1.9194768360606749E-4</c:v>
                </c:pt>
                <c:pt idx="1106">
                  <c:v>1.5379360871596067E-3</c:v>
                </c:pt>
                <c:pt idx="1107">
                  <c:v>2.0843617954621929E-3</c:v>
                </c:pt>
                <c:pt idx="1108">
                  <c:v>2.4177930822059839E-4</c:v>
                </c:pt>
                <c:pt idx="1109">
                  <c:v>-1.4799726250758524E-3</c:v>
                </c:pt>
                <c:pt idx="1110">
                  <c:v>3.5259656051844341E-3</c:v>
                </c:pt>
                <c:pt idx="1111">
                  <c:v>5.1407074813600219E-4</c:v>
                </c:pt>
                <c:pt idx="1112">
                  <c:v>1.9822675240521296E-3</c:v>
                </c:pt>
                <c:pt idx="1113">
                  <c:v>-6.6479959016527016E-4</c:v>
                </c:pt>
                <c:pt idx="1114">
                  <c:v>1.447965414446998E-3</c:v>
                </c:pt>
                <c:pt idx="1115">
                  <c:v>-3.4166351918377782E-3</c:v>
                </c:pt>
                <c:pt idx="1116">
                  <c:v>3.2402367346386972E-3</c:v>
                </c:pt>
                <c:pt idx="1117">
                  <c:v>-2.46931571255446E-3</c:v>
                </c:pt>
                <c:pt idx="1118">
                  <c:v>1.1856907079344768E-4</c:v>
                </c:pt>
                <c:pt idx="1119">
                  <c:v>-4.8293188488160812E-4</c:v>
                </c:pt>
                <c:pt idx="1120">
                  <c:v>3.3090429268430198E-3</c:v>
                </c:pt>
                <c:pt idx="1121">
                  <c:v>3.7965764003609092E-3</c:v>
                </c:pt>
                <c:pt idx="1122">
                  <c:v>2.1701236264267177E-4</c:v>
                </c:pt>
                <c:pt idx="1123">
                  <c:v>2.798610992064513E-3</c:v>
                </c:pt>
                <c:pt idx="1124">
                  <c:v>1.8973173039482875E-3</c:v>
                </c:pt>
                <c:pt idx="1125">
                  <c:v>1.8797675196749978E-3</c:v>
                </c:pt>
                <c:pt idx="1126">
                  <c:v>-1.4182699728376602E-4</c:v>
                </c:pt>
                <c:pt idx="1127">
                  <c:v>1.7448443657900013E-3</c:v>
                </c:pt>
                <c:pt idx="1128">
                  <c:v>2.9011984547540831E-3</c:v>
                </c:pt>
                <c:pt idx="1129">
                  <c:v>-2.3116903649251651E-3</c:v>
                </c:pt>
                <c:pt idx="1130">
                  <c:v>-1.2272836739873183E-5</c:v>
                </c:pt>
                <c:pt idx="1131">
                  <c:v>2.1686022887275952E-3</c:v>
                </c:pt>
                <c:pt idx="1132">
                  <c:v>1.1016841780653573E-3</c:v>
                </c:pt>
                <c:pt idx="1133">
                  <c:v>-8.4293593379536011E-4</c:v>
                </c:pt>
                <c:pt idx="1134">
                  <c:v>6.7091692790924296E-4</c:v>
                </c:pt>
                <c:pt idx="1135">
                  <c:v>-1.0549023905385433E-3</c:v>
                </c:pt>
                <c:pt idx="1136">
                  <c:v>1.2456557225410797E-3</c:v>
                </c:pt>
                <c:pt idx="1137">
                  <c:v>1.9471244206064179E-3</c:v>
                </c:pt>
                <c:pt idx="1138">
                  <c:v>1.8895503374761859E-4</c:v>
                </c:pt>
                <c:pt idx="1139">
                  <c:v>6.6825311377671076E-4</c:v>
                </c:pt>
                <c:pt idx="1140">
                  <c:v>4.2320083759654007E-4</c:v>
                </c:pt>
                <c:pt idx="1141">
                  <c:v>2.7316098120585036E-3</c:v>
                </c:pt>
                <c:pt idx="1142">
                  <c:v>4.4272905699985053E-4</c:v>
                </c:pt>
                <c:pt idx="1143">
                  <c:v>1.496842986417027E-3</c:v>
                </c:pt>
                <c:pt idx="1144">
                  <c:v>2.7497530673170872E-4</c:v>
                </c:pt>
                <c:pt idx="1145">
                  <c:v>-7.3415571023460475E-4</c:v>
                </c:pt>
                <c:pt idx="1146">
                  <c:v>-1.8394574210556613E-4</c:v>
                </c:pt>
                <c:pt idx="1147">
                  <c:v>-9.7076933849720955E-4</c:v>
                </c:pt>
                <c:pt idx="1148">
                  <c:v>-4.9275331413526271E-3</c:v>
                </c:pt>
                <c:pt idx="1149">
                  <c:v>4.9598552183208727E-3</c:v>
                </c:pt>
                <c:pt idx="1150">
                  <c:v>-1.3449893787081946E-3</c:v>
                </c:pt>
                <c:pt idx="1151">
                  <c:v>2.5610844607090112E-3</c:v>
                </c:pt>
                <c:pt idx="1152">
                  <c:v>-3.8526180531192822E-5</c:v>
                </c:pt>
                <c:pt idx="1153">
                  <c:v>2.7276934841849103E-3</c:v>
                </c:pt>
                <c:pt idx="1154">
                  <c:v>-5.8765439475938551E-4</c:v>
                </c:pt>
                <c:pt idx="1155">
                  <c:v>3.8685588210630711E-3</c:v>
                </c:pt>
                <c:pt idx="1156">
                  <c:v>1.2573746446422329E-3</c:v>
                </c:pt>
                <c:pt idx="1157">
                  <c:v>3.1559172713870525E-4</c:v>
                </c:pt>
                <c:pt idx="1158">
                  <c:v>-7.1410776066956668E-4</c:v>
                </c:pt>
                <c:pt idx="1159">
                  <c:v>1.8564828793268318E-4</c:v>
                </c:pt>
                <c:pt idx="1160">
                  <c:v>-1.6668240478613929E-3</c:v>
                </c:pt>
                <c:pt idx="1161">
                  <c:v>-5.643402638731515E-4</c:v>
                </c:pt>
                <c:pt idx="1162">
                  <c:v>-1.0703092326657801E-3</c:v>
                </c:pt>
                <c:pt idx="1163">
                  <c:v>5.1044356134062434E-3</c:v>
                </c:pt>
                <c:pt idx="1164">
                  <c:v>-1.1546755857985086E-3</c:v>
                </c:pt>
                <c:pt idx="1165">
                  <c:v>1.548217308224341E-3</c:v>
                </c:pt>
                <c:pt idx="1166">
                  <c:v>9.8738896126760942E-4</c:v>
                </c:pt>
                <c:pt idx="1167">
                  <c:v>1.2337706508279123E-3</c:v>
                </c:pt>
                <c:pt idx="1168">
                  <c:v>-1.840599667485048E-3</c:v>
                </c:pt>
                <c:pt idx="1169">
                  <c:v>-2.0092318871082469E-3</c:v>
                </c:pt>
                <c:pt idx="1170">
                  <c:v>1.8590611730840347E-3</c:v>
                </c:pt>
                <c:pt idx="1171">
                  <c:v>2.9036216461125752E-3</c:v>
                </c:pt>
                <c:pt idx="1172">
                  <c:v>-8.0034477261826931E-4</c:v>
                </c:pt>
                <c:pt idx="1173">
                  <c:v>8.9568606752071008E-4</c:v>
                </c:pt>
                <c:pt idx="1174">
                  <c:v>1.0830056885053391E-3</c:v>
                </c:pt>
                <c:pt idx="1175">
                  <c:v>1.178026187654981E-3</c:v>
                </c:pt>
                <c:pt idx="1176">
                  <c:v>2.9484760803432986E-3</c:v>
                </c:pt>
                <c:pt idx="1177">
                  <c:v>6.2737208957203123E-5</c:v>
                </c:pt>
                <c:pt idx="1178">
                  <c:v>1.7324638955630695E-3</c:v>
                </c:pt>
                <c:pt idx="1179">
                  <c:v>-1.9633263583709163E-4</c:v>
                </c:pt>
                <c:pt idx="1180">
                  <c:v>-9.4090019381171678E-5</c:v>
                </c:pt>
                <c:pt idx="1181">
                  <c:v>1.7590089392957231E-3</c:v>
                </c:pt>
                <c:pt idx="1182">
                  <c:v>1.7899941673381434E-3</c:v>
                </c:pt>
                <c:pt idx="1183">
                  <c:v>1.6370391450898033E-3</c:v>
                </c:pt>
                <c:pt idx="1184">
                  <c:v>-1.5522961096275209E-3</c:v>
                </c:pt>
                <c:pt idx="1185">
                  <c:v>-6.978534279695152E-4</c:v>
                </c:pt>
                <c:pt idx="1186">
                  <c:v>-1.3936377485501033E-3</c:v>
                </c:pt>
                <c:pt idx="1187">
                  <c:v>2.1170351312697474E-3</c:v>
                </c:pt>
                <c:pt idx="1188">
                  <c:v>1.0660781763804823E-3</c:v>
                </c:pt>
                <c:pt idx="1189">
                  <c:v>1.5343344705326595E-3</c:v>
                </c:pt>
                <c:pt idx="1190">
                  <c:v>1.3120227232602142E-3</c:v>
                </c:pt>
                <c:pt idx="1191">
                  <c:v>4.1703056476292152E-4</c:v>
                </c:pt>
                <c:pt idx="1192">
                  <c:v>2.391489924288375E-4</c:v>
                </c:pt>
                <c:pt idx="1193">
                  <c:v>1.3913912449514158E-3</c:v>
                </c:pt>
                <c:pt idx="1194">
                  <c:v>-1.0082820180076476E-3</c:v>
                </c:pt>
                <c:pt idx="1195">
                  <c:v>2.09316933090783E-3</c:v>
                </c:pt>
                <c:pt idx="1196">
                  <c:v>-6.6855817469108016E-4</c:v>
                </c:pt>
                <c:pt idx="1197">
                  <c:v>-8.5053383240562119E-3</c:v>
                </c:pt>
                <c:pt idx="1198">
                  <c:v>5.2370730847169479E-3</c:v>
                </c:pt>
                <c:pt idx="1199">
                  <c:v>-2.8526548266786915E-4</c:v>
                </c:pt>
                <c:pt idx="1200">
                  <c:v>1.5134693327138922E-3</c:v>
                </c:pt>
                <c:pt idx="1201">
                  <c:v>-1.8072021129022914E-3</c:v>
                </c:pt>
                <c:pt idx="1202">
                  <c:v>1.9139666486103759E-3</c:v>
                </c:pt>
                <c:pt idx="1203">
                  <c:v>3.6519622986484518E-3</c:v>
                </c:pt>
                <c:pt idx="1204">
                  <c:v>2.2859008313937096E-4</c:v>
                </c:pt>
                <c:pt idx="1205">
                  <c:v>-1.4993282914171201E-3</c:v>
                </c:pt>
                <c:pt idx="1206">
                  <c:v>2.0930823942107348E-3</c:v>
                </c:pt>
                <c:pt idx="1207">
                  <c:v>2.7607404150835606E-3</c:v>
                </c:pt>
                <c:pt idx="1208">
                  <c:v>4.1724965928380273E-3</c:v>
                </c:pt>
                <c:pt idx="1209">
                  <c:v>9.5423485536405453E-4</c:v>
                </c:pt>
                <c:pt idx="1210">
                  <c:v>2.0404804828233714E-4</c:v>
                </c:pt>
                <c:pt idx="1211">
                  <c:v>-2.9688866941060517E-3</c:v>
                </c:pt>
                <c:pt idx="1212">
                  <c:v>1.0604079412118159E-3</c:v>
                </c:pt>
                <c:pt idx="1213">
                  <c:v>7.717234815187218E-4</c:v>
                </c:pt>
                <c:pt idx="1214">
                  <c:v>-3.5583537178932138E-3</c:v>
                </c:pt>
                <c:pt idx="1215">
                  <c:v>1.3936318663713436E-3</c:v>
                </c:pt>
                <c:pt idx="1216">
                  <c:v>-3.3786062955650088E-3</c:v>
                </c:pt>
                <c:pt idx="1217">
                  <c:v>6.2407791866971973E-4</c:v>
                </c:pt>
                <c:pt idx="1218">
                  <c:v>5.1734765284272314E-3</c:v>
                </c:pt>
                <c:pt idx="1219">
                  <c:v>8.8583111707307152E-4</c:v>
                </c:pt>
                <c:pt idx="1220">
                  <c:v>4.2062216901683124E-4</c:v>
                </c:pt>
                <c:pt idx="1221">
                  <c:v>-5.10923714860337E-3</c:v>
                </c:pt>
                <c:pt idx="1222">
                  <c:v>5.6635317662913012E-5</c:v>
                </c:pt>
                <c:pt idx="1223">
                  <c:v>-2.7299662096836692E-3</c:v>
                </c:pt>
                <c:pt idx="1224">
                  <c:v>-2.4385079809907118E-3</c:v>
                </c:pt>
                <c:pt idx="1225">
                  <c:v>1.4258978447132737E-3</c:v>
                </c:pt>
                <c:pt idx="1226">
                  <c:v>-4.7908342043066704E-3</c:v>
                </c:pt>
                <c:pt idx="1227">
                  <c:v>3.3787136513686541E-3</c:v>
                </c:pt>
                <c:pt idx="1228">
                  <c:v>5.1947764259868984E-3</c:v>
                </c:pt>
                <c:pt idx="1229">
                  <c:v>3.1337466319585278E-3</c:v>
                </c:pt>
                <c:pt idx="1230">
                  <c:v>2.440362008729411E-3</c:v>
                </c:pt>
                <c:pt idx="1231">
                  <c:v>1.941012886403538E-3</c:v>
                </c:pt>
                <c:pt idx="1232">
                  <c:v>-1.494756114214805E-3</c:v>
                </c:pt>
                <c:pt idx="1233">
                  <c:v>1.0087057400063756E-3</c:v>
                </c:pt>
                <c:pt idx="1234">
                  <c:v>1.1768425584700558E-3</c:v>
                </c:pt>
                <c:pt idx="1235">
                  <c:v>5.656723082981339E-4</c:v>
                </c:pt>
                <c:pt idx="1236">
                  <c:v>8.4120042740759267E-4</c:v>
                </c:pt>
                <c:pt idx="1237">
                  <c:v>-9.0076638797743729E-4</c:v>
                </c:pt>
                <c:pt idx="1238">
                  <c:v>-6.390611304261747E-5</c:v>
                </c:pt>
                <c:pt idx="1239">
                  <c:v>2.389796223051108E-3</c:v>
                </c:pt>
                <c:pt idx="1240">
                  <c:v>8.8711826822809859E-4</c:v>
                </c:pt>
                <c:pt idx="1241">
                  <c:v>-3.2130488221755152E-3</c:v>
                </c:pt>
                <c:pt idx="1242">
                  <c:v>-2.9563778640191577E-4</c:v>
                </c:pt>
                <c:pt idx="1243">
                  <c:v>-5.4897586160560256E-4</c:v>
                </c:pt>
                <c:pt idx="1244">
                  <c:v>-3.5117997439652049E-3</c:v>
                </c:pt>
                <c:pt idx="1245">
                  <c:v>2.7709851068747461E-3</c:v>
                </c:pt>
                <c:pt idx="1246">
                  <c:v>3.0553542312394219E-3</c:v>
                </c:pt>
                <c:pt idx="1247">
                  <c:v>2.2890663479268013E-3</c:v>
                </c:pt>
                <c:pt idx="1248">
                  <c:v>1.6821954545795769E-3</c:v>
                </c:pt>
                <c:pt idx="1249">
                  <c:v>1.2546086329143389E-3</c:v>
                </c:pt>
                <c:pt idx="1250">
                  <c:v>1.2013816246313166E-4</c:v>
                </c:pt>
                <c:pt idx="1251">
                  <c:v>-9.0552711008600611E-4</c:v>
                </c:pt>
                <c:pt idx="1252">
                  <c:v>-2.2456271679217109E-4</c:v>
                </c:pt>
                <c:pt idx="1253">
                  <c:v>-2.1493210595831076E-3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887-4293-A767-24C1CDBFE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7058831"/>
        <c:axId val="1657071791"/>
      </c:scatterChart>
      <c:valAx>
        <c:axId val="1657058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Market Returns (S&amp;P 500)</a:t>
                </a:r>
              </a:p>
            </c:rich>
          </c:tx>
          <c:layout>
            <c:manualLayout>
              <c:xMode val="edge"/>
              <c:yMode val="edge"/>
              <c:x val="0.22002292816846172"/>
              <c:y val="0.8886986301369862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657071791"/>
        <c:crosses val="autoZero"/>
        <c:crossBetween val="midCat"/>
      </c:valAx>
      <c:valAx>
        <c:axId val="16570717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Coca-Cola Stock Returns</a:t>
                </a:r>
              </a:p>
            </c:rich>
          </c:tx>
          <c:layout>
            <c:manualLayout>
              <c:xMode val="edge"/>
              <c:yMode val="edge"/>
              <c:x val="1.6420361247947456E-2"/>
              <c:y val="0.2814070758278502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65705883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68580</xdr:rowOff>
    </xdr:from>
    <xdr:to>
      <xdr:col>15</xdr:col>
      <xdr:colOff>342900</xdr:colOff>
      <xdr:row>28</xdr:row>
      <xdr:rowOff>60960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5713FBA-E2C6-7435-042B-79D64A3D9098}"/>
                </a:ext>
              </a:extLst>
            </xdr:cNvPr>
            <xdr:cNvSpPr txBox="1"/>
          </xdr:nvSpPr>
          <xdr:spPr>
            <a:xfrm>
              <a:off x="7620" y="68580"/>
              <a:ext cx="9479280" cy="511302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CA" sz="14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The Capital Asset Pricing Model (CAPM) - Definition &amp; Explanation</a:t>
              </a:r>
            </a:p>
            <a:p>
              <a:endParaRPr lang="en-CA" sz="1400"/>
            </a:p>
            <a:p>
              <a:r>
                <a:rPr lang="en-CA" sz="1400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The Capital Asset Pricing Model (CAPM) is a financial model used to estimate the expected return on an investment based on its systematic risk (beta) relative to the overall market. It establishes a linear relationship between risk and return, helping investors determine the required rate of return for holding a security.</a:t>
              </a:r>
            </a:p>
            <a:p>
              <a:endParaRPr lang="en-CA" sz="1400" b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r>
                <a:rPr lang="en-CA" sz="1400"/>
                <a:t>The CAPM formula is:</a:t>
              </a:r>
            </a:p>
            <a:p>
              <a:r>
                <a:rPr lang="en-CA" sz="1400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  </a:t>
              </a:r>
            </a:p>
            <a:p>
              <a:r>
                <a:rPr lang="en-CA" sz="1400"/>
                <a:t>	Re​=Rf​+</a:t>
              </a:r>
              <a:r>
                <a:rPr lang="el-GR" sz="1400"/>
                <a:t>β(</a:t>
              </a:r>
              <a:r>
                <a:rPr lang="en-CA" sz="1400"/>
                <a:t>Rm​−Rf​)</a:t>
              </a:r>
            </a:p>
            <a:p>
              <a:endParaRPr lang="en-CA" sz="1400" b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r>
                <a:rPr lang="en-CA" sz="1400"/>
                <a:t>Where:</a:t>
              </a:r>
            </a:p>
            <a:p>
              <a14:m>
                <m:oMath xmlns:m="http://schemas.openxmlformats.org/officeDocument/2006/math">
                  <m:sSub>
                    <m:sSubPr>
                      <m:ctrlPr>
                        <a:rPr lang="ar-AE" sz="140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4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𝑅</m:t>
                      </m:r>
                    </m:e>
                    <m:sub>
                      <m:r>
                        <a:rPr lang="ar-AE" sz="14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𝑒</m:t>
                      </m:r>
                    </m:sub>
                  </m:sSub>
                </m:oMath>
              </a14:m>
              <a:r>
                <a:rPr lang="ar-AE" sz="1400"/>
                <a:t>= </a:t>
              </a:r>
              <a:r>
                <a:rPr lang="en-CA" sz="1400"/>
                <a:t>Expected return (cost of equity) </a:t>
              </a:r>
            </a:p>
            <a:p>
              <a14:m>
                <m:oMath xmlns:m="http://schemas.openxmlformats.org/officeDocument/2006/math">
                  <m:sSub>
                    <m:sSubPr>
                      <m:ctrlPr>
                        <a:rPr lang="ar-AE" sz="140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4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𝑅</m:t>
                      </m:r>
                    </m:e>
                    <m:sub>
                      <m:r>
                        <a:rPr lang="ar-AE" sz="14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𝑓</m:t>
                      </m:r>
                    </m:sub>
                  </m:sSub>
                </m:oMath>
              </a14:m>
              <a:r>
                <a:rPr lang="ar-AE" sz="1400"/>
                <a:t>= </a:t>
              </a:r>
              <a:r>
                <a:rPr lang="en-CA" sz="1400"/>
                <a:t>Risk-free rate </a:t>
              </a:r>
            </a:p>
            <a:p>
              <a14:m>
                <m:oMath xmlns:m="http://schemas.openxmlformats.org/officeDocument/2006/math">
                  <m:r>
                    <a:rPr lang="en-CA" sz="1400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𝛽</m:t>
                  </m:r>
                </m:oMath>
              </a14:m>
              <a:r>
                <a:rPr lang="en-CA" sz="1400"/>
                <a:t>= Measure of systematic risk </a:t>
              </a:r>
            </a:p>
            <a:p>
              <a14:m>
                <m:oMath xmlns:m="http://schemas.openxmlformats.org/officeDocument/2006/math">
                  <m:sSub>
                    <m:sSubPr>
                      <m:ctrlPr>
                        <a:rPr lang="ar-AE" sz="140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4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𝑅</m:t>
                      </m:r>
                    </m:e>
                    <m:sub>
                      <m:r>
                        <a:rPr lang="ar-AE" sz="14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𝑚</m:t>
                      </m:r>
                    </m:sub>
                  </m:sSub>
                </m:oMath>
              </a14:m>
              <a:r>
                <a:rPr lang="ar-AE" sz="1400"/>
                <a:t>= </a:t>
              </a:r>
              <a:r>
                <a:rPr lang="en-CA" sz="1400"/>
                <a:t>Market return</a:t>
              </a:r>
            </a:p>
            <a:p>
              <a:endParaRPr lang="en-CA" sz="1400"/>
            </a:p>
            <a:p>
              <a:endParaRPr lang="en-CA" sz="1400"/>
            </a:p>
            <a:p>
              <a:r>
                <a:rPr lang="en-CA" sz="1400"/>
                <a:t>In our analysis which follows shortly, we</a:t>
              </a:r>
              <a:r>
                <a:rPr lang="en-CA" sz="1400" baseline="0"/>
                <a:t> calculated</a:t>
              </a:r>
              <a:r>
                <a:rPr lang="en-CA" sz="1400"/>
                <a:t> a risk-free rate of </a:t>
              </a:r>
              <a:r>
                <a:rPr lang="en-CA" sz="1400" b="1"/>
                <a:t>4.23%</a:t>
              </a:r>
              <a:r>
                <a:rPr lang="en-CA" sz="1400"/>
                <a:t>, market return of </a:t>
              </a:r>
              <a:r>
                <a:rPr lang="en-CA" sz="1400" b="1"/>
                <a:t>13.80%</a:t>
              </a:r>
              <a:r>
                <a:rPr lang="en-CA" sz="1400"/>
                <a:t>, and beta of </a:t>
              </a:r>
              <a:r>
                <a:rPr lang="en-CA" sz="1400" b="1"/>
                <a:t>0.32</a:t>
              </a:r>
              <a:r>
                <a:rPr lang="en-CA" sz="1400"/>
                <a:t>, which</a:t>
              </a:r>
              <a:r>
                <a:rPr lang="en-CA" sz="1400" baseline="0"/>
                <a:t> resulted in the</a:t>
              </a:r>
              <a:r>
                <a:rPr lang="en-CA" sz="1400"/>
                <a:t> expected return for Coca-Cola being approximately </a:t>
              </a:r>
              <a:r>
                <a:rPr lang="en-CA" sz="1400" b="1"/>
                <a:t>7.31%</a:t>
              </a:r>
              <a:r>
                <a:rPr lang="en-CA" sz="1400"/>
                <a:t>.</a:t>
              </a:r>
            </a:p>
            <a:p>
              <a:endParaRPr lang="en-CA" sz="1400"/>
            </a:p>
            <a:p>
              <a:r>
                <a:rPr lang="en-CA" sz="1400"/>
                <a:t>CAPM is important in valuation because it provides the </a:t>
              </a:r>
              <a:r>
                <a:rPr lang="en-CA" sz="1400" b="1"/>
                <a:t>cost of equity</a:t>
              </a:r>
              <a:r>
                <a:rPr lang="en-CA" sz="1400"/>
                <a:t>, which is a key input in discounting future cash flows in models such as </a:t>
              </a:r>
              <a:r>
                <a:rPr lang="en-CA" sz="1400" b="1"/>
                <a:t>DCF valuation</a:t>
              </a:r>
              <a:r>
                <a:rPr lang="en-CA" sz="1400"/>
                <a:t>. It also helps investors assess whether a stock offers adequate return for its level of risk and supports investment decision-making.</a:t>
              </a:r>
            </a:p>
            <a:p>
              <a:endParaRPr lang="en-CA" sz="1200"/>
            </a:p>
            <a:p>
              <a:endParaRPr lang="en-CA" sz="1200" b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5713FBA-E2C6-7435-042B-79D64A3D9098}"/>
                </a:ext>
              </a:extLst>
            </xdr:cNvPr>
            <xdr:cNvSpPr txBox="1"/>
          </xdr:nvSpPr>
          <xdr:spPr>
            <a:xfrm>
              <a:off x="7620" y="68580"/>
              <a:ext cx="9479280" cy="511302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CA" sz="14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The Capital Asset Pricing Model (CAPM) - Definition &amp; Explanation</a:t>
              </a:r>
            </a:p>
            <a:p>
              <a:endParaRPr lang="en-CA" sz="1400"/>
            </a:p>
            <a:p>
              <a:r>
                <a:rPr lang="en-CA" sz="1400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The Capital Asset Pricing Model (CAPM) is a financial model used to estimate the expected return on an investment based on its systematic risk (beta) relative to the overall market. It establishes a linear relationship between risk and return, helping investors determine the required rate of return for holding a security.</a:t>
              </a:r>
            </a:p>
            <a:p>
              <a:endParaRPr lang="en-CA" sz="1400" b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r>
                <a:rPr lang="en-CA" sz="1400"/>
                <a:t>The CAPM formula is:</a:t>
              </a:r>
            </a:p>
            <a:p>
              <a:r>
                <a:rPr lang="en-CA" sz="1400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  </a:t>
              </a:r>
            </a:p>
            <a:p>
              <a:r>
                <a:rPr lang="en-CA" sz="1400"/>
                <a:t>	Re​=Rf​+</a:t>
              </a:r>
              <a:r>
                <a:rPr lang="el-GR" sz="1400"/>
                <a:t>β(</a:t>
              </a:r>
              <a:r>
                <a:rPr lang="en-CA" sz="1400"/>
                <a:t>Rm​−Rf​)</a:t>
              </a:r>
            </a:p>
            <a:p>
              <a:endParaRPr lang="en-CA" sz="1400" b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r>
                <a:rPr lang="en-CA" sz="1400"/>
                <a:t>Where:</a:t>
              </a:r>
            </a:p>
            <a:p>
              <a:r>
                <a:rPr lang="ar-AE" sz="14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𝑅_𝑒</a:t>
              </a:r>
              <a:r>
                <a:rPr lang="ar-AE" sz="1400"/>
                <a:t>= </a:t>
              </a:r>
              <a:r>
                <a:rPr lang="en-CA" sz="1400"/>
                <a:t>Expected return (cost of equity) </a:t>
              </a:r>
            </a:p>
            <a:p>
              <a:r>
                <a:rPr lang="ar-AE" sz="14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𝑅_𝑓</a:t>
              </a:r>
              <a:r>
                <a:rPr lang="ar-AE" sz="1400"/>
                <a:t>= </a:t>
              </a:r>
              <a:r>
                <a:rPr lang="en-CA" sz="1400"/>
                <a:t>Risk-free rate </a:t>
              </a:r>
            </a:p>
            <a:p>
              <a:r>
                <a:rPr lang="en-CA" sz="14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𝛽</a:t>
              </a:r>
              <a:r>
                <a:rPr lang="en-CA" sz="1400"/>
                <a:t>= Measure of systematic risk </a:t>
              </a:r>
            </a:p>
            <a:p>
              <a:r>
                <a:rPr lang="ar-AE" sz="14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𝑅_𝑚</a:t>
              </a:r>
              <a:r>
                <a:rPr lang="ar-AE" sz="1400"/>
                <a:t>= </a:t>
              </a:r>
              <a:r>
                <a:rPr lang="en-CA" sz="1400"/>
                <a:t>Market return</a:t>
              </a:r>
            </a:p>
            <a:p>
              <a:endParaRPr lang="en-CA" sz="1400"/>
            </a:p>
            <a:p>
              <a:endParaRPr lang="en-CA" sz="1400"/>
            </a:p>
            <a:p>
              <a:r>
                <a:rPr lang="en-CA" sz="1400"/>
                <a:t>In our analysis which follows shortly, we</a:t>
              </a:r>
              <a:r>
                <a:rPr lang="en-CA" sz="1400" baseline="0"/>
                <a:t> calculated</a:t>
              </a:r>
              <a:r>
                <a:rPr lang="en-CA" sz="1400"/>
                <a:t> a risk-free rate of </a:t>
              </a:r>
              <a:r>
                <a:rPr lang="en-CA" sz="1400" b="1"/>
                <a:t>4.23%</a:t>
              </a:r>
              <a:r>
                <a:rPr lang="en-CA" sz="1400"/>
                <a:t>, market return of </a:t>
              </a:r>
              <a:r>
                <a:rPr lang="en-CA" sz="1400" b="1"/>
                <a:t>13.80%</a:t>
              </a:r>
              <a:r>
                <a:rPr lang="en-CA" sz="1400"/>
                <a:t>, and beta of </a:t>
              </a:r>
              <a:r>
                <a:rPr lang="en-CA" sz="1400" b="1"/>
                <a:t>0.32</a:t>
              </a:r>
              <a:r>
                <a:rPr lang="en-CA" sz="1400"/>
                <a:t>, which</a:t>
              </a:r>
              <a:r>
                <a:rPr lang="en-CA" sz="1400" baseline="0"/>
                <a:t> resulted in the</a:t>
              </a:r>
              <a:r>
                <a:rPr lang="en-CA" sz="1400"/>
                <a:t> expected return for Coca-Cola being approximately </a:t>
              </a:r>
              <a:r>
                <a:rPr lang="en-CA" sz="1400" b="1"/>
                <a:t>7.31%</a:t>
              </a:r>
              <a:r>
                <a:rPr lang="en-CA" sz="1400"/>
                <a:t>.</a:t>
              </a:r>
            </a:p>
            <a:p>
              <a:endParaRPr lang="en-CA" sz="1400"/>
            </a:p>
            <a:p>
              <a:r>
                <a:rPr lang="en-CA" sz="1400"/>
                <a:t>CAPM is important in valuation because it provides the </a:t>
              </a:r>
              <a:r>
                <a:rPr lang="en-CA" sz="1400" b="1"/>
                <a:t>cost of equity</a:t>
              </a:r>
              <a:r>
                <a:rPr lang="en-CA" sz="1400"/>
                <a:t>, which is a key input in discounting future cash flows in models such as </a:t>
              </a:r>
              <a:r>
                <a:rPr lang="en-CA" sz="1400" b="1"/>
                <a:t>DCF valuation</a:t>
              </a:r>
              <a:r>
                <a:rPr lang="en-CA" sz="1400"/>
                <a:t>. It also helps investors assess whether a stock offers adequate return for its level of risk and supports investment decision-making.</a:t>
              </a:r>
            </a:p>
            <a:p>
              <a:endParaRPr lang="en-CA" sz="1200"/>
            </a:p>
            <a:p>
              <a:endParaRPr lang="en-CA" sz="1200" b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373380</xdr:colOff>
      <xdr:row>1</xdr:row>
      <xdr:rowOff>68580</xdr:rowOff>
    </xdr:from>
    <xdr:to>
      <xdr:col>21</xdr:col>
      <xdr:colOff>137160</xdr:colOff>
      <xdr:row>13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8AFA55-B12A-9AD2-23E1-B7EAF9C67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541020</xdr:colOff>
      <xdr:row>15</xdr:row>
      <xdr:rowOff>53340</xdr:rowOff>
    </xdr:from>
    <xdr:to>
      <xdr:col>21</xdr:col>
      <xdr:colOff>411480</xdr:colOff>
      <xdr:row>28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AC3D806-AFB1-C2BF-8415-8EDA4C259203}"/>
            </a:ext>
          </a:extLst>
        </xdr:cNvPr>
        <xdr:cNvSpPr txBox="1"/>
      </xdr:nvSpPr>
      <xdr:spPr>
        <a:xfrm>
          <a:off x="8503920" y="3520440"/>
          <a:ext cx="5356860" cy="304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400"/>
            <a:t>The beta of Coca-Cola was estimated using regression analysis, where the slope coefficient (</a:t>
          </a:r>
          <a:r>
            <a:rPr lang="el-GR" sz="1400"/>
            <a:t>β) </a:t>
          </a:r>
          <a:r>
            <a:rPr lang="en-CA" sz="1400"/>
            <a:t>is </a:t>
          </a:r>
          <a:r>
            <a:rPr lang="en-CA" sz="1400" b="1"/>
            <a:t>0.3218</a:t>
          </a:r>
          <a:r>
            <a:rPr lang="en-CA" sz="1400"/>
            <a:t>. This indicates a positive but weak relationship between Coca-Cola returns and market returns.</a:t>
          </a:r>
        </a:p>
        <a:p>
          <a:endParaRPr lang="en-CA" sz="1400"/>
        </a:p>
        <a:p>
          <a:r>
            <a:rPr lang="en-CA" sz="1400"/>
            <a:t>Since the market beta is 1, a beta of 0.32 implies that Coca-Cola is significantly less volatile than the market and is a </a:t>
          </a:r>
          <a:r>
            <a:rPr lang="en-CA" sz="1400" b="1"/>
            <a:t>low-risk defensive stock</a:t>
          </a:r>
          <a:r>
            <a:rPr lang="en-CA" sz="1400"/>
            <a:t>.</a:t>
          </a:r>
        </a:p>
        <a:p>
          <a:endParaRPr lang="en-CA" sz="1400"/>
        </a:p>
        <a:p>
          <a:r>
            <a:rPr lang="en-CA" sz="1400"/>
            <a:t>The model has a low R² (~0.12), suggesting that most return variation is driven by firm-specific factors. However, the regression is </a:t>
          </a:r>
          <a:r>
            <a:rPr lang="en-CA" sz="1400" b="1"/>
            <a:t>statistically significant (p-value &lt; 0.001)</a:t>
          </a:r>
          <a:r>
            <a:rPr lang="en-CA" sz="1400"/>
            <a:t>, confirming a meaningful relationship between the variables.</a:t>
          </a:r>
        </a:p>
        <a:p>
          <a:endParaRPr lang="en-CA" sz="1100"/>
        </a:p>
      </xdr:txBody>
    </xdr:sp>
    <xdr:clientData/>
  </xdr:twoCellAnchor>
  <xdr:twoCellAnchor>
    <xdr:from>
      <xdr:col>3</xdr:col>
      <xdr:colOff>601980</xdr:colOff>
      <xdr:row>0</xdr:row>
      <xdr:rowOff>83820</xdr:rowOff>
    </xdr:from>
    <xdr:to>
      <xdr:col>10</xdr:col>
      <xdr:colOff>243840</xdr:colOff>
      <xdr:row>8</xdr:row>
      <xdr:rowOff>167640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392C63E-7783-2DC8-3D98-E05F3732EE85}"/>
            </a:ext>
          </a:extLst>
        </xdr:cNvPr>
        <xdr:cNvSpPr txBox="1"/>
      </xdr:nvSpPr>
      <xdr:spPr>
        <a:xfrm>
          <a:off x="2430780" y="83820"/>
          <a:ext cx="3909060" cy="1562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regression results show a </a:t>
          </a:r>
          <a:r>
            <a:rPr lang="en-CA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positive but weak relationship</a:t>
          </a:r>
          <a:r>
            <a:rPr lang="en-CA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between market returns and Coca-Cola returns.</a:t>
          </a:r>
          <a:br>
            <a:rPr lang="en-CA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CA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beta of </a:t>
          </a:r>
          <a:r>
            <a:rPr lang="en-CA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0.32</a:t>
          </a:r>
          <a:r>
            <a:rPr lang="en-CA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indicates Coca-Cola is a </a:t>
          </a:r>
          <a:r>
            <a:rPr lang="en-CA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low-risk defensive stock</a:t>
          </a:r>
          <a:r>
            <a:rPr lang="en-CA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with lower sensitivity to market movements.</a:t>
          </a:r>
          <a:endParaRPr lang="en-CA" sz="1200">
            <a:effectLst/>
          </a:endParaRPr>
        </a:p>
        <a:p>
          <a:br>
            <a:rPr lang="en-CA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CA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</a:t>
          </a:r>
          <a:r>
            <a:rPr lang="en-CA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low R² (~0.12)</a:t>
          </a:r>
          <a:r>
            <a:rPr lang="en-CA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suggests most return variation is driven by </a:t>
          </a:r>
          <a:r>
            <a:rPr lang="en-CA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firm-specific factors</a:t>
          </a:r>
          <a:r>
            <a:rPr lang="en-CA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although the model is statistically significant.</a:t>
          </a:r>
          <a:endParaRPr lang="en-CA" sz="1200">
            <a:effectLst/>
          </a:endParaRPr>
        </a:p>
        <a:p>
          <a:endParaRPr lang="en-CA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0</xdr:row>
      <xdr:rowOff>76200</xdr:rowOff>
    </xdr:from>
    <xdr:to>
      <xdr:col>17</xdr:col>
      <xdr:colOff>289560</xdr:colOff>
      <xdr:row>10</xdr:row>
      <xdr:rowOff>60960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4055D1D-E861-E218-C1CA-3176AFF93BD7}"/>
            </a:ext>
          </a:extLst>
        </xdr:cNvPr>
        <xdr:cNvSpPr txBox="1"/>
      </xdr:nvSpPr>
      <xdr:spPr>
        <a:xfrm>
          <a:off x="5067300" y="76200"/>
          <a:ext cx="6987540" cy="22707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400"/>
            <a:t>The CAPM expected return of approximately </a:t>
          </a:r>
          <a:r>
            <a:rPr lang="en-CA" sz="1400" b="1"/>
            <a:t>7.31%</a:t>
          </a:r>
          <a:r>
            <a:rPr lang="en-CA" sz="1400"/>
            <a:t> represents the return investors require given Coca-Cola’s systematic risk. With a beta of </a:t>
          </a:r>
          <a:r>
            <a:rPr lang="en-CA" sz="1400" b="1"/>
            <a:t>0.32</a:t>
          </a:r>
          <a:r>
            <a:rPr lang="en-CA" sz="1400"/>
            <a:t>, the company is a </a:t>
          </a:r>
          <a:r>
            <a:rPr lang="en-CA" sz="1400" b="1"/>
            <a:t>low-beta defensive stock</a:t>
          </a:r>
          <a:r>
            <a:rPr lang="en-CA" sz="1400"/>
            <a:t>, exhibiting lower sensitivity to market fluctuations and more stable performance.</a:t>
          </a:r>
        </a:p>
        <a:p>
          <a:endParaRPr lang="en-CA" sz="1400"/>
        </a:p>
        <a:p>
          <a:endParaRPr lang="en-CA" sz="1400"/>
        </a:p>
        <a:p>
          <a:r>
            <a:rPr lang="en-CA" sz="1400"/>
            <a:t>The expected return of </a:t>
          </a:r>
          <a:r>
            <a:rPr lang="en-CA" sz="1400" b="1"/>
            <a:t>7.31%</a:t>
          </a:r>
          <a:r>
            <a:rPr lang="en-CA" sz="1400"/>
            <a:t> is lower than Coca-Cola’s average historical return of </a:t>
          </a:r>
          <a:r>
            <a:rPr lang="en-CA" sz="1400" b="1"/>
            <a:t>9.94%</a:t>
          </a:r>
          <a:r>
            <a:rPr lang="en-CA" sz="1400"/>
            <a:t>, indicating that the stock has historically outperformed its required return and delivered strong returns relative to its risk.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601980</xdr:colOff>
      <xdr:row>9</xdr:row>
      <xdr:rowOff>220980</xdr:rowOff>
    </xdr:from>
    <xdr:to>
      <xdr:col>10</xdr:col>
      <xdr:colOff>944880</xdr:colOff>
      <xdr:row>23</xdr:row>
      <xdr:rowOff>144780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15AC628-DD62-7C5F-1A3F-D4494187C39F}"/>
            </a:ext>
          </a:extLst>
        </xdr:cNvPr>
        <xdr:cNvSpPr txBox="1"/>
      </xdr:nvSpPr>
      <xdr:spPr>
        <a:xfrm>
          <a:off x="4328160" y="2278380"/>
          <a:ext cx="4564380" cy="3124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400">
              <a:latin typeface="Times New Roman" panose="02020603050405020304" pitchFamily="18" charset="0"/>
              <a:cs typeface="Times New Roman" panose="02020603050405020304" pitchFamily="18" charset="0"/>
            </a:rPr>
            <a:t>Free cash flow increases steadily from </a:t>
          </a:r>
          <a:r>
            <a:rPr lang="en-CA" sz="1400" b="1">
              <a:latin typeface="Times New Roman" panose="02020603050405020304" pitchFamily="18" charset="0"/>
              <a:cs typeface="Times New Roman" panose="02020603050405020304" pitchFamily="18" charset="0"/>
            </a:rPr>
            <a:t>5.296 billion to 6.140 billion</a:t>
          </a:r>
          <a:r>
            <a:rPr lang="en-CA" sz="1400">
              <a:latin typeface="Times New Roman" panose="02020603050405020304" pitchFamily="18" charset="0"/>
              <a:cs typeface="Times New Roman" panose="02020603050405020304" pitchFamily="18" charset="0"/>
            </a:rPr>
            <a:t>, reflecting a consistent growth rate of approximately </a:t>
          </a:r>
          <a:r>
            <a:rPr lang="en-CA" sz="1400" b="1">
              <a:latin typeface="Times New Roman" panose="02020603050405020304" pitchFamily="18" charset="0"/>
              <a:cs typeface="Times New Roman" panose="02020603050405020304" pitchFamily="18" charset="0"/>
            </a:rPr>
            <a:t>3%</a:t>
          </a:r>
          <a:r>
            <a:rPr lang="en-CA" sz="1400">
              <a:latin typeface="Times New Roman" panose="02020603050405020304" pitchFamily="18" charset="0"/>
              <a:cs typeface="Times New Roman" panose="02020603050405020304" pitchFamily="18" charset="0"/>
            </a:rPr>
            <a:t>. This stable upward trend indicates strong cash-generating ability and supports the company’s financial sustainability.</a:t>
          </a:r>
        </a:p>
        <a:p>
          <a:endParaRPr lang="en-CA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CA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CA" sz="1400">
              <a:latin typeface="Times New Roman" panose="02020603050405020304" pitchFamily="18" charset="0"/>
              <a:cs typeface="Times New Roman" panose="02020603050405020304" pitchFamily="18" charset="0"/>
            </a:rPr>
            <a:t>The predictable growth pattern suggests that Coca-Cola operates as a mature and stable business with reliable cash flows over time.</a:t>
          </a:r>
        </a:p>
        <a:p>
          <a:r>
            <a:rPr lang="en-CA" sz="1400">
              <a:latin typeface="Times New Roman" panose="02020603050405020304" pitchFamily="18" charset="0"/>
              <a:cs typeface="Times New Roman" panose="02020603050405020304" pitchFamily="18" charset="0"/>
            </a:rPr>
            <a:t>For investors, this implies lower risk and supports the company’s ability to sustain dividend payments and long-term value creation. However, the modest growth rate also indicates limited high-growth potential.</a:t>
          </a:r>
        </a:p>
        <a:p>
          <a:endParaRPr lang="en-CA" sz="1100"/>
        </a:p>
      </xdr:txBody>
    </xdr:sp>
    <xdr:clientData/>
  </xdr:twoCellAnchor>
  <xdr:twoCellAnchor>
    <xdr:from>
      <xdr:col>12</xdr:col>
      <xdr:colOff>22860</xdr:colOff>
      <xdr:row>26</xdr:row>
      <xdr:rowOff>220980</xdr:rowOff>
    </xdr:from>
    <xdr:to>
      <xdr:col>15</xdr:col>
      <xdr:colOff>312420</xdr:colOff>
      <xdr:row>36</xdr:row>
      <xdr:rowOff>198120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933FF01-2851-0B0D-5FF2-9F285BFB7540}"/>
            </a:ext>
          </a:extLst>
        </xdr:cNvPr>
        <xdr:cNvSpPr txBox="1"/>
      </xdr:nvSpPr>
      <xdr:spPr>
        <a:xfrm>
          <a:off x="9624060" y="6164580"/>
          <a:ext cx="5836920" cy="22631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400" b="1">
              <a:latin typeface="Times New Roman" panose="02020603050405020304" pitchFamily="18" charset="0"/>
              <a:cs typeface="Times New Roman" panose="02020603050405020304" pitchFamily="18" charset="0"/>
            </a:rPr>
            <a:t>Conclusion:</a:t>
          </a:r>
        </a:p>
        <a:p>
          <a:endParaRPr lang="en-CA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CA" sz="1400">
              <a:latin typeface="Times New Roman" panose="02020603050405020304" pitchFamily="18" charset="0"/>
              <a:cs typeface="Times New Roman" panose="02020603050405020304" pitchFamily="18" charset="0"/>
            </a:rPr>
            <a:t>The valuation is highly sensitive to growth rate and discount rate assumptions. The intrinsic value ($34.72) is significantly lower than the market price ($77), suggesting that Coca-Cola may be overvalued under the assumptions used. </a:t>
          </a:r>
        </a:p>
        <a:p>
          <a:endParaRPr lang="en-CA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CA" sz="1400">
              <a:latin typeface="Times New Roman" panose="02020603050405020304" pitchFamily="18" charset="0"/>
              <a:cs typeface="Times New Roman" panose="02020603050405020304" pitchFamily="18" charset="0"/>
            </a:rPr>
            <a:t>This difference may be driven by conservative growth assumptions (3%), the discount rate applied (WACC of 6.79%), or strong market expectations not fully captured in the model. It may also reflect investor confidence in the company’s brand strength and long-term stability.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53340</xdr:rowOff>
    </xdr:from>
    <xdr:to>
      <xdr:col>18</xdr:col>
      <xdr:colOff>220980</xdr:colOff>
      <xdr:row>44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B19918E-4512-2BDD-025C-95B345353145}"/>
            </a:ext>
          </a:extLst>
        </xdr:cNvPr>
        <xdr:cNvSpPr txBox="1"/>
      </xdr:nvSpPr>
      <xdr:spPr>
        <a:xfrm>
          <a:off x="7620" y="53340"/>
          <a:ext cx="11186160" cy="8031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buNone/>
          </a:pPr>
          <a:r>
            <a:rPr lang="en-CA" sz="1200" b="1">
              <a:latin typeface="Times New Roman" panose="02020603050405020304" pitchFamily="18" charset="0"/>
              <a:cs typeface="Times New Roman" panose="02020603050405020304" pitchFamily="18" charset="0"/>
            </a:rPr>
            <a:t>Investment Recommendation — The Coca-Cola Company (KO)</a:t>
          </a:r>
        </a:p>
        <a:p>
          <a:pPr>
            <a:buNone/>
          </a:pPr>
          <a:endParaRPr lang="en-CA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>
            <a:buNone/>
          </a:pPr>
          <a:r>
            <a:rPr lang="en-CA" sz="1200" b="1">
              <a:latin typeface="Times New Roman" panose="02020603050405020304" pitchFamily="18" charset="0"/>
              <a:cs typeface="Times New Roman" panose="02020603050405020304" pitchFamily="18" charset="0"/>
            </a:rPr>
            <a:t>Recommendation: HOLD</a:t>
          </a:r>
          <a:endParaRPr lang="en-CA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>
            <a:buNone/>
          </a:pPr>
          <a:r>
            <a:rPr lang="en-CA" sz="1200">
              <a:latin typeface="Times New Roman" panose="02020603050405020304" pitchFamily="18" charset="0"/>
              <a:cs typeface="Times New Roman" panose="02020603050405020304" pitchFamily="18" charset="0"/>
            </a:rPr>
            <a:t>As a financial advisor, based on ratio analysis, CAPM results, valuation findings, and technical analysis, Coca-Cola stock is best classified as a </a:t>
          </a:r>
          <a:r>
            <a:rPr lang="en-CA" sz="1200" b="1">
              <a:latin typeface="Times New Roman" panose="02020603050405020304" pitchFamily="18" charset="0"/>
              <a:cs typeface="Times New Roman" panose="02020603050405020304" pitchFamily="18" charset="0"/>
            </a:rPr>
            <a:t>hold investment</a:t>
          </a:r>
          <a:r>
            <a:rPr lang="en-CA" sz="1200">
              <a:latin typeface="Times New Roman" panose="02020603050405020304" pitchFamily="18" charset="0"/>
              <a:cs typeface="Times New Roman" panose="02020603050405020304" pitchFamily="18" charset="0"/>
            </a:rPr>
            <a:t>.</a:t>
          </a:r>
        </a:p>
        <a:p>
          <a:endParaRPr lang="en-CA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CA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CA" sz="1200" b="1">
              <a:latin typeface="Times New Roman" panose="02020603050405020304" pitchFamily="18" charset="0"/>
              <a:cs typeface="Times New Roman" panose="02020603050405020304" pitchFamily="18" charset="0"/>
            </a:rPr>
            <a:t>Growth Potential</a:t>
          </a:r>
        </a:p>
        <a:p>
          <a:r>
            <a:rPr lang="en-CA" sz="1200">
              <a:latin typeface="Times New Roman" panose="02020603050405020304" pitchFamily="18" charset="0"/>
              <a:cs typeface="Times New Roman" panose="02020603050405020304" pitchFamily="18" charset="0"/>
            </a:rPr>
            <a:t>Coca-Cola demonstrates </a:t>
          </a:r>
          <a:r>
            <a:rPr lang="en-CA" sz="1200" b="1">
              <a:latin typeface="Times New Roman" panose="02020603050405020304" pitchFamily="18" charset="0"/>
              <a:cs typeface="Times New Roman" panose="02020603050405020304" pitchFamily="18" charset="0"/>
            </a:rPr>
            <a:t>stable but moderate growth potential</a:t>
          </a:r>
          <a:r>
            <a:rPr lang="en-CA" sz="1200">
              <a:latin typeface="Times New Roman" panose="02020603050405020304" pitchFamily="18" charset="0"/>
              <a:cs typeface="Times New Roman" panose="02020603050405020304" pitchFamily="18" charset="0"/>
            </a:rPr>
            <a:t>, supported by its strong global brand presence, consistent demand for beverages, and reliable free cash flow generation. However, as a mature firm operating in a saturated market, its growth outlook remains steady rather than aggressive.</a:t>
          </a:r>
        </a:p>
        <a:p>
          <a:r>
            <a:rPr lang="en-CA" sz="1200">
              <a:latin typeface="Times New Roman" panose="02020603050405020304" pitchFamily="18" charset="0"/>
              <a:cs typeface="Times New Roman" panose="02020603050405020304" pitchFamily="18" charset="0"/>
            </a:rPr>
            <a:t>Technical analysis supports this conclusion. The stock exhibits a </a:t>
          </a:r>
          <a:r>
            <a:rPr lang="en-CA" sz="1200" b="1">
              <a:latin typeface="Times New Roman" panose="02020603050405020304" pitchFamily="18" charset="0"/>
              <a:cs typeface="Times New Roman" panose="02020603050405020304" pitchFamily="18" charset="0"/>
            </a:rPr>
            <a:t>gradual upward trend with periods of consolidation</a:t>
          </a:r>
          <a:r>
            <a:rPr lang="en-CA" sz="1200">
              <a:latin typeface="Times New Roman" panose="02020603050405020304" pitchFamily="18" charset="0"/>
              <a:cs typeface="Times New Roman" panose="02020603050405020304" pitchFamily="18" charset="0"/>
            </a:rPr>
            <a:t>, while the </a:t>
          </a:r>
          <a:r>
            <a:rPr lang="en-CA" sz="1200" b="1">
              <a:latin typeface="Times New Roman" panose="02020603050405020304" pitchFamily="18" charset="0"/>
              <a:cs typeface="Times New Roman" panose="02020603050405020304" pitchFamily="18" charset="0"/>
            </a:rPr>
            <a:t>20-day and 50-day moving averages</a:t>
          </a:r>
          <a:r>
            <a:rPr lang="en-CA" sz="1200">
              <a:latin typeface="Times New Roman" panose="02020603050405020304" pitchFamily="18" charset="0"/>
              <a:cs typeface="Times New Roman" panose="02020603050405020304" pitchFamily="18" charset="0"/>
            </a:rPr>
            <a:t> indicate mild bullish momentum. Forecasting models further suggest incremental price increases rather than rapid expansion.</a:t>
          </a:r>
        </a:p>
        <a:p>
          <a:endParaRPr lang="en-CA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CA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CA" sz="1200" b="1">
              <a:latin typeface="Times New Roman" panose="02020603050405020304" pitchFamily="18" charset="0"/>
              <a:cs typeface="Times New Roman" panose="02020603050405020304" pitchFamily="18" charset="0"/>
            </a:rPr>
            <a:t>Risk Level</a:t>
          </a:r>
        </a:p>
        <a:p>
          <a:r>
            <a:rPr lang="en-CA" sz="1200">
              <a:latin typeface="Times New Roman" panose="02020603050405020304" pitchFamily="18" charset="0"/>
              <a:cs typeface="Times New Roman" panose="02020603050405020304" pitchFamily="18" charset="0"/>
            </a:rPr>
            <a:t>Coca-Cola exhibits </a:t>
          </a:r>
          <a:r>
            <a:rPr lang="en-CA" sz="1200" b="1">
              <a:latin typeface="Times New Roman" panose="02020603050405020304" pitchFamily="18" charset="0"/>
              <a:cs typeface="Times New Roman" panose="02020603050405020304" pitchFamily="18" charset="0"/>
            </a:rPr>
            <a:t>low systematic risk</a:t>
          </a:r>
          <a:r>
            <a:rPr lang="en-CA" sz="1200">
              <a:latin typeface="Times New Roman" panose="02020603050405020304" pitchFamily="18" charset="0"/>
              <a:cs typeface="Times New Roman" panose="02020603050405020304" pitchFamily="18" charset="0"/>
            </a:rPr>
            <a:t>, as reflected by its beta (</a:t>
          </a:r>
          <a:r>
            <a:rPr lang="el-GR" sz="1200">
              <a:latin typeface="Times New Roman" panose="02020603050405020304" pitchFamily="18" charset="0"/>
              <a:cs typeface="Times New Roman" panose="02020603050405020304" pitchFamily="18" charset="0"/>
            </a:rPr>
            <a:t>β ≈ 0.32), </a:t>
          </a:r>
          <a:r>
            <a:rPr lang="en-CA" sz="1200">
              <a:latin typeface="Times New Roman" panose="02020603050405020304" pitchFamily="18" charset="0"/>
              <a:cs typeface="Times New Roman" panose="02020603050405020304" pitchFamily="18" charset="0"/>
            </a:rPr>
            <a:t>indicating limited sensitivity to market fluctuations. This confirms its classification as a </a:t>
          </a:r>
          <a:r>
            <a:rPr lang="en-CA" sz="1200" b="1">
              <a:latin typeface="Times New Roman" panose="02020603050405020304" pitchFamily="18" charset="0"/>
              <a:cs typeface="Times New Roman" panose="02020603050405020304" pitchFamily="18" charset="0"/>
            </a:rPr>
            <a:t>defensive stock</a:t>
          </a:r>
          <a:r>
            <a:rPr lang="en-CA" sz="1200">
              <a:latin typeface="Times New Roman" panose="02020603050405020304" pitchFamily="18" charset="0"/>
              <a:cs typeface="Times New Roman" panose="02020603050405020304" pitchFamily="18" charset="0"/>
            </a:rPr>
            <a:t> suitable for risk-averse investors.</a:t>
          </a:r>
        </a:p>
        <a:p>
          <a:r>
            <a:rPr lang="en-CA" sz="1200">
              <a:latin typeface="Times New Roman" panose="02020603050405020304" pitchFamily="18" charset="0"/>
              <a:cs typeface="Times New Roman" panose="02020603050405020304" pitchFamily="18" charset="0"/>
            </a:rPr>
            <a:t>This low-risk profile is reinforced by technical models. </a:t>
          </a:r>
          <a:r>
            <a:rPr lang="en-CA" sz="1200" b="1">
              <a:latin typeface="Times New Roman" panose="02020603050405020304" pitchFamily="18" charset="0"/>
              <a:cs typeface="Times New Roman" panose="02020603050405020304" pitchFamily="18" charset="0"/>
            </a:rPr>
            <a:t>Exponential smoothing</a:t>
          </a:r>
          <a:r>
            <a:rPr lang="en-CA" sz="1200">
              <a:latin typeface="Times New Roman" panose="02020603050405020304" pitchFamily="18" charset="0"/>
              <a:cs typeface="Times New Roman" panose="02020603050405020304" pitchFamily="18" charset="0"/>
            </a:rPr>
            <a:t> and </a:t>
          </a:r>
          <a:r>
            <a:rPr lang="en-CA" sz="1200" b="1">
              <a:latin typeface="Times New Roman" panose="02020603050405020304" pitchFamily="18" charset="0"/>
              <a:cs typeface="Times New Roman" panose="02020603050405020304" pitchFamily="18" charset="0"/>
            </a:rPr>
            <a:t>Monte Carlo simulations</a:t>
          </a:r>
          <a:r>
            <a:rPr lang="en-CA" sz="1200">
              <a:latin typeface="Times New Roman" panose="02020603050405020304" pitchFamily="18" charset="0"/>
              <a:cs typeface="Times New Roman" panose="02020603050405020304" pitchFamily="18" charset="0"/>
            </a:rPr>
            <a:t> show low volatility and a narrow range of expected future prices, indicating stable and predictable performance.</a:t>
          </a:r>
        </a:p>
        <a:p>
          <a:endParaRPr lang="en-CA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CA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CA" sz="1200" b="1">
              <a:latin typeface="Times New Roman" panose="02020603050405020304" pitchFamily="18" charset="0"/>
              <a:cs typeface="Times New Roman" panose="02020603050405020304" pitchFamily="18" charset="0"/>
            </a:rPr>
            <a:t>Financial Strength</a:t>
          </a:r>
        </a:p>
        <a:p>
          <a:r>
            <a:rPr lang="en-CA" sz="1200">
              <a:latin typeface="Times New Roman" panose="02020603050405020304" pitchFamily="18" charset="0"/>
              <a:cs typeface="Times New Roman" panose="02020603050405020304" pitchFamily="18" charset="0"/>
            </a:rPr>
            <a:t>From a financial perspective, Coca-Cola maintains strong profitability, consistent operating cash flows, and the ability to sustain dividend payments. Its capital structure remains efficient, with a relatively low </a:t>
          </a:r>
          <a:r>
            <a:rPr lang="en-CA" sz="1200" b="1">
              <a:latin typeface="Times New Roman" panose="02020603050405020304" pitchFamily="18" charset="0"/>
              <a:cs typeface="Times New Roman" panose="02020603050405020304" pitchFamily="18" charset="0"/>
            </a:rPr>
            <a:t>Weighted Average Cost of Capital (WACC ≈ 6.79%)</a:t>
          </a:r>
          <a:r>
            <a:rPr lang="en-CA" sz="1200">
              <a:latin typeface="Times New Roman" panose="02020603050405020304" pitchFamily="18" charset="0"/>
              <a:cs typeface="Times New Roman" panose="02020603050405020304" pitchFamily="18" charset="0"/>
            </a:rPr>
            <a:t>, derived using the Capital Asset Pricing Model.</a:t>
          </a:r>
        </a:p>
        <a:p>
          <a:r>
            <a:rPr lang="en-CA" sz="1200">
              <a:latin typeface="Times New Roman" panose="02020603050405020304" pitchFamily="18" charset="0"/>
              <a:cs typeface="Times New Roman" panose="02020603050405020304" pitchFamily="18" charset="0"/>
            </a:rPr>
            <a:t>These factors demonstrate the company’s strong financial position and capacity to generate steady returns.</a:t>
          </a:r>
        </a:p>
        <a:p>
          <a:endParaRPr lang="en-CA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CA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CA" sz="1200" b="1">
              <a:latin typeface="Times New Roman" panose="02020603050405020304" pitchFamily="18" charset="0"/>
              <a:cs typeface="Times New Roman" panose="02020603050405020304" pitchFamily="18" charset="0"/>
            </a:rPr>
            <a:t>Long-Term Sustainability</a:t>
          </a:r>
        </a:p>
        <a:p>
          <a:r>
            <a:rPr lang="en-CA" sz="1200">
              <a:latin typeface="Times New Roman" panose="02020603050405020304" pitchFamily="18" charset="0"/>
              <a:cs typeface="Times New Roman" panose="02020603050405020304" pitchFamily="18" charset="0"/>
            </a:rPr>
            <a:t>Coca-Cola demonstrates strong </a:t>
          </a:r>
          <a:r>
            <a:rPr lang="en-CA" sz="1200" b="1">
              <a:latin typeface="Times New Roman" panose="02020603050405020304" pitchFamily="18" charset="0"/>
              <a:cs typeface="Times New Roman" panose="02020603050405020304" pitchFamily="18" charset="0"/>
            </a:rPr>
            <a:t>long-term sustainability</a:t>
          </a:r>
          <a:r>
            <a:rPr lang="en-CA" sz="1200">
              <a:latin typeface="Times New Roman" panose="02020603050405020304" pitchFamily="18" charset="0"/>
              <a:cs typeface="Times New Roman" panose="02020603050405020304" pitchFamily="18" charset="0"/>
            </a:rPr>
            <a:t> through its diversified global operations, powerful brand equity, and continuous product innovation. These factors ensure resilience and stable demand across economic cycles.</a:t>
          </a:r>
        </a:p>
        <a:p>
          <a:r>
            <a:rPr lang="en-CA" sz="1200">
              <a:latin typeface="Times New Roman" panose="02020603050405020304" pitchFamily="18" charset="0"/>
              <a:cs typeface="Times New Roman" panose="02020603050405020304" pitchFamily="18" charset="0"/>
            </a:rPr>
            <a:t>Forecasting using the </a:t>
          </a:r>
          <a:r>
            <a:rPr lang="en-CA" sz="1200" b="1">
              <a:latin typeface="Times New Roman" panose="02020603050405020304" pitchFamily="18" charset="0"/>
              <a:cs typeface="Times New Roman" panose="02020603050405020304" pitchFamily="18" charset="0"/>
            </a:rPr>
            <a:t>Prophet model</a:t>
          </a:r>
          <a:r>
            <a:rPr lang="en-CA" sz="1200">
              <a:latin typeface="Times New Roman" panose="02020603050405020304" pitchFamily="18" charset="0"/>
              <a:cs typeface="Times New Roman" panose="02020603050405020304" pitchFamily="18" charset="0"/>
            </a:rPr>
            <a:t> indicates a sustained upward trend, with no evidence of structural instability, supporting long-term value creation.</a:t>
          </a:r>
        </a:p>
        <a:p>
          <a:endParaRPr lang="en-CA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CA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CA" sz="1200" b="1">
              <a:latin typeface="Times New Roman" panose="02020603050405020304" pitchFamily="18" charset="0"/>
              <a:cs typeface="Times New Roman" panose="02020603050405020304" pitchFamily="18" charset="0"/>
            </a:rPr>
            <a:t>Valuation Insight and Final Justification</a:t>
          </a:r>
        </a:p>
        <a:p>
          <a:r>
            <a:rPr lang="en-CA" sz="1200">
              <a:latin typeface="Times New Roman" panose="02020603050405020304" pitchFamily="18" charset="0"/>
              <a:cs typeface="Times New Roman" panose="02020603050405020304" pitchFamily="18" charset="0"/>
            </a:rPr>
            <a:t>Although Coca-Cola shows strong financial performance and stable price trends, the </a:t>
          </a:r>
          <a:r>
            <a:rPr lang="en-CA" sz="1200" b="1">
              <a:latin typeface="Times New Roman" panose="02020603050405020304" pitchFamily="18" charset="0"/>
              <a:cs typeface="Times New Roman" panose="02020603050405020304" pitchFamily="18" charset="0"/>
            </a:rPr>
            <a:t>Discounted Cash Flow (DCF) valuation (~$34.72) is much lower than its current market price (~$70)</a:t>
          </a:r>
          <a:r>
            <a:rPr lang="en-CA" sz="1200">
              <a:latin typeface="Times New Roman" panose="02020603050405020304" pitchFamily="18" charset="0"/>
              <a:cs typeface="Times New Roman" panose="02020603050405020304" pitchFamily="18" charset="0"/>
            </a:rPr>
            <a:t>.</a:t>
          </a:r>
        </a:p>
        <a:p>
          <a:r>
            <a:rPr lang="en-CA" sz="1200">
              <a:latin typeface="Times New Roman" panose="02020603050405020304" pitchFamily="18" charset="0"/>
              <a:cs typeface="Times New Roman" panose="02020603050405020304" pitchFamily="18" charset="0"/>
            </a:rPr>
            <a:t>This means the stock is currently </a:t>
          </a:r>
          <a:r>
            <a:rPr lang="en-CA" sz="1200" b="1">
              <a:latin typeface="Times New Roman" panose="02020603050405020304" pitchFamily="18" charset="0"/>
              <a:cs typeface="Times New Roman" panose="02020603050405020304" pitchFamily="18" charset="0"/>
            </a:rPr>
            <a:t>priced higher than what its fundamentals suggest it is worth</a:t>
          </a:r>
          <a:r>
            <a:rPr lang="en-CA" sz="1200">
              <a:latin typeface="Times New Roman" panose="02020603050405020304" pitchFamily="18" charset="0"/>
              <a:cs typeface="Times New Roman" panose="02020603050405020304" pitchFamily="18" charset="0"/>
            </a:rPr>
            <a:t>, indicating limited potential for further price increase and possible overvaluation.</a:t>
          </a:r>
        </a:p>
        <a:p>
          <a:endParaRPr lang="en-CA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CA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CA" sz="1200" b="1">
              <a:latin typeface="Times New Roman" panose="02020603050405020304" pitchFamily="18" charset="0"/>
              <a:cs typeface="Times New Roman" panose="02020603050405020304" pitchFamily="18" charset="0"/>
            </a:rPr>
            <a:t>Final Recommendation</a:t>
          </a:r>
        </a:p>
        <a:p>
          <a:r>
            <a:rPr lang="en-CA" sz="1200">
              <a:latin typeface="Times New Roman" panose="02020603050405020304" pitchFamily="18" charset="0"/>
              <a:cs typeface="Times New Roman" panose="02020603050405020304" pitchFamily="18" charset="0"/>
            </a:rPr>
            <a:t>Coca-Cola is a </a:t>
          </a:r>
          <a:r>
            <a:rPr lang="en-CA" sz="1200" b="1">
              <a:latin typeface="Times New Roman" panose="02020603050405020304" pitchFamily="18" charset="0"/>
              <a:cs typeface="Times New Roman" panose="02020603050405020304" pitchFamily="18" charset="0"/>
            </a:rPr>
            <a:t>low-risk, income-generating stock</a:t>
          </a:r>
          <a:r>
            <a:rPr lang="en-CA" sz="1200">
              <a:latin typeface="Times New Roman" panose="02020603050405020304" pitchFamily="18" charset="0"/>
              <a:cs typeface="Times New Roman" panose="02020603050405020304" pitchFamily="18" charset="0"/>
            </a:rPr>
            <a:t> with stable returns.</a:t>
          </a:r>
        </a:p>
        <a:p>
          <a:r>
            <a:rPr lang="en-CA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- </a:t>
          </a:r>
          <a:r>
            <a:rPr lang="en-CA" sz="1200">
              <a:latin typeface="Times New Roman" panose="02020603050405020304" pitchFamily="18" charset="0"/>
              <a:cs typeface="Times New Roman" panose="02020603050405020304" pitchFamily="18" charset="0"/>
            </a:rPr>
            <a:t>Existing investors should </a:t>
          </a:r>
          <a:r>
            <a:rPr lang="en-CA" sz="1200" b="1">
              <a:latin typeface="Times New Roman" panose="02020603050405020304" pitchFamily="18" charset="0"/>
              <a:cs typeface="Times New Roman" panose="02020603050405020304" pitchFamily="18" charset="0"/>
            </a:rPr>
            <a:t>HOLD</a:t>
          </a:r>
          <a:r>
            <a:rPr lang="en-CA" sz="1200">
              <a:latin typeface="Times New Roman" panose="02020603050405020304" pitchFamily="18" charset="0"/>
              <a:cs typeface="Times New Roman" panose="02020603050405020304" pitchFamily="18" charset="0"/>
            </a:rPr>
            <a:t> for dividend income and portfolio stability. </a:t>
          </a:r>
        </a:p>
        <a:p>
          <a:r>
            <a:rPr lang="en-CA" sz="1200">
              <a:latin typeface="Times New Roman" panose="02020603050405020304" pitchFamily="18" charset="0"/>
              <a:cs typeface="Times New Roman" panose="02020603050405020304" pitchFamily="18" charset="0"/>
            </a:rPr>
            <a:t> - New investors may consider waiting for a more attractive entry price.</a:t>
          </a:r>
        </a:p>
        <a:p>
          <a:endParaRPr lang="en-CA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CA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CA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CA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96803-6864-4816-8FE1-C8C39E256BFB}">
  <dimension ref="A1:H1256"/>
  <sheetViews>
    <sheetView zoomScale="98" zoomScaleNormal="98" workbookViewId="0">
      <selection activeCell="J1257" sqref="J1257"/>
    </sheetView>
  </sheetViews>
  <sheetFormatPr defaultRowHeight="18" x14ac:dyDescent="0.35"/>
  <cols>
    <col min="1" max="1" width="12.77734375" style="1" bestFit="1" customWidth="1"/>
    <col min="2" max="6" width="14.88671875" style="1" bestFit="1" customWidth="1"/>
    <col min="7" max="7" width="11" style="1" bestFit="1" customWidth="1"/>
    <col min="8" max="8" width="15.77734375" style="1" bestFit="1" customWidth="1"/>
    <col min="9" max="9" width="10.33203125" style="1" customWidth="1"/>
    <col min="10" max="16384" width="8.88671875" style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3">
        <v>44200</v>
      </c>
      <c r="B2" s="1">
        <v>54.270000457763601</v>
      </c>
      <c r="C2" s="1">
        <v>54.630001068115199</v>
      </c>
      <c r="D2" s="1">
        <v>52.029998779296797</v>
      </c>
      <c r="E2" s="1">
        <v>52.759998321533203</v>
      </c>
      <c r="F2" s="1">
        <v>45.391956329345703</v>
      </c>
      <c r="G2" s="1">
        <v>25611100</v>
      </c>
    </row>
    <row r="3" spans="1:8" x14ac:dyDescent="0.35">
      <c r="A3" s="3">
        <v>44201</v>
      </c>
      <c r="B3" s="1">
        <v>52.330001831054602</v>
      </c>
      <c r="C3" s="1">
        <v>52.619998931884702</v>
      </c>
      <c r="D3" s="1">
        <v>52.029998779296797</v>
      </c>
      <c r="E3" s="1">
        <v>52.180000305175703</v>
      </c>
      <c r="F3" s="1">
        <v>44.892959594726499</v>
      </c>
      <c r="G3" s="1">
        <v>20323800</v>
      </c>
      <c r="H3" s="1">
        <f>(F3-F2)/F2</f>
        <v>-1.0993065180947167E-2</v>
      </c>
    </row>
    <row r="4" spans="1:8" x14ac:dyDescent="0.35">
      <c r="A4" s="3">
        <v>44202</v>
      </c>
      <c r="B4" s="1">
        <v>51.970001220703097</v>
      </c>
      <c r="C4" s="1">
        <v>52.020000457763601</v>
      </c>
      <c r="D4" s="1">
        <v>50.189998626708899</v>
      </c>
      <c r="E4" s="1">
        <v>50.520000457763601</v>
      </c>
      <c r="F4" s="1">
        <v>43.464778900146399</v>
      </c>
      <c r="G4" s="1">
        <v>38724500</v>
      </c>
      <c r="H4" s="1">
        <f t="shared" ref="H4:H67" si="0">(F4-F3)/F3</f>
        <v>-3.1813021629072222E-2</v>
      </c>
    </row>
    <row r="5" spans="1:8" x14ac:dyDescent="0.35">
      <c r="A5" s="3">
        <v>44203</v>
      </c>
      <c r="B5" s="1">
        <v>50.090000152587798</v>
      </c>
      <c r="C5" s="1">
        <v>50.259998321533203</v>
      </c>
      <c r="D5" s="1">
        <v>49.520000457763601</v>
      </c>
      <c r="E5" s="1">
        <v>49.959999084472599</v>
      </c>
      <c r="F5" s="1">
        <v>42.982982635497997</v>
      </c>
      <c r="G5" s="1">
        <v>53225700</v>
      </c>
      <c r="H5" s="1">
        <f t="shared" si="0"/>
        <v>-1.1084751305309854E-2</v>
      </c>
    </row>
    <row r="6" spans="1:8" x14ac:dyDescent="0.35">
      <c r="A6" s="3">
        <v>44204</v>
      </c>
      <c r="B6" s="1">
        <v>50.029998779296797</v>
      </c>
      <c r="C6" s="1">
        <v>51.130001068115199</v>
      </c>
      <c r="D6" s="1">
        <v>49.840000152587798</v>
      </c>
      <c r="E6" s="1">
        <v>51.080001831054602</v>
      </c>
      <c r="F6" s="1">
        <v>43.946575164794901</v>
      </c>
      <c r="G6" s="1">
        <v>29674000</v>
      </c>
      <c r="H6" s="1">
        <f t="shared" si="0"/>
        <v>2.2418000571721827E-2</v>
      </c>
    </row>
    <row r="7" spans="1:8" x14ac:dyDescent="0.35">
      <c r="A7" s="3">
        <v>44207</v>
      </c>
      <c r="B7" s="1">
        <v>50.619998931884702</v>
      </c>
      <c r="C7" s="1">
        <v>50.860000610351499</v>
      </c>
      <c r="D7" s="1">
        <v>49.950000762939403</v>
      </c>
      <c r="E7" s="1">
        <v>50.200000762939403</v>
      </c>
      <c r="F7" s="1">
        <v>43.189476013183501</v>
      </c>
      <c r="G7" s="1">
        <v>19304400</v>
      </c>
      <c r="H7" s="1">
        <f t="shared" si="0"/>
        <v>-1.7227716807791262E-2</v>
      </c>
    </row>
    <row r="8" spans="1:8" x14ac:dyDescent="0.35">
      <c r="A8" s="3">
        <v>44208</v>
      </c>
      <c r="B8" s="1">
        <v>50.040000915527301</v>
      </c>
      <c r="C8" s="1">
        <v>50.369998931884702</v>
      </c>
      <c r="D8" s="1">
        <v>49.759998321533203</v>
      </c>
      <c r="E8" s="1">
        <v>50.110000610351499</v>
      </c>
      <c r="F8" s="1">
        <v>43.112033843994098</v>
      </c>
      <c r="G8" s="1">
        <v>18538700</v>
      </c>
      <c r="H8" s="1">
        <f t="shared" si="0"/>
        <v>-1.7930796188813294E-3</v>
      </c>
    </row>
    <row r="9" spans="1:8" x14ac:dyDescent="0.35">
      <c r="A9" s="3">
        <v>44209</v>
      </c>
      <c r="B9" s="1">
        <v>49.9799995422363</v>
      </c>
      <c r="C9" s="1">
        <v>50.360000610351499</v>
      </c>
      <c r="D9" s="1">
        <v>49.950000762939403</v>
      </c>
      <c r="E9" s="1">
        <v>50.159999847412102</v>
      </c>
      <c r="F9" s="1">
        <v>43.1550483703613</v>
      </c>
      <c r="G9" s="1">
        <v>18864100</v>
      </c>
      <c r="H9" s="1">
        <f t="shared" si="0"/>
        <v>9.9773827704011304E-4</v>
      </c>
    </row>
    <row r="10" spans="1:8" x14ac:dyDescent="0.35">
      <c r="A10" s="3">
        <v>44210</v>
      </c>
      <c r="B10" s="1">
        <v>50.159999847412102</v>
      </c>
      <c r="C10" s="1">
        <v>50.180000305175703</v>
      </c>
      <c r="D10" s="1">
        <v>49.220001220703097</v>
      </c>
      <c r="E10" s="1">
        <v>49.2299995422363</v>
      </c>
      <c r="F10" s="1">
        <v>42.354923248291001</v>
      </c>
      <c r="G10" s="1">
        <v>34303600</v>
      </c>
      <c r="H10" s="1">
        <f t="shared" si="0"/>
        <v>-1.854070733981197E-2</v>
      </c>
    </row>
    <row r="11" spans="1:8" x14ac:dyDescent="0.35">
      <c r="A11" s="3">
        <v>44211</v>
      </c>
      <c r="B11" s="1">
        <v>49.159999847412102</v>
      </c>
      <c r="C11" s="1">
        <v>49.180000305175703</v>
      </c>
      <c r="D11" s="1">
        <v>48.529998779296797</v>
      </c>
      <c r="E11" s="1">
        <v>48.700000762939403</v>
      </c>
      <c r="F11" s="1">
        <v>41.898948669433501</v>
      </c>
      <c r="G11" s="1">
        <v>24366800</v>
      </c>
      <c r="H11" s="1">
        <f t="shared" si="0"/>
        <v>-1.0765562628564044E-2</v>
      </c>
    </row>
    <row r="12" spans="1:8" x14ac:dyDescent="0.35">
      <c r="A12" s="3">
        <v>44215</v>
      </c>
      <c r="B12" s="1">
        <v>48.740001678466797</v>
      </c>
      <c r="C12" s="1">
        <v>49.040000915527301</v>
      </c>
      <c r="D12" s="1">
        <v>48.240001678466797</v>
      </c>
      <c r="E12" s="1">
        <v>48.509998321533203</v>
      </c>
      <c r="F12" s="1">
        <v>41.735481262207003</v>
      </c>
      <c r="G12" s="1">
        <v>29114500</v>
      </c>
      <c r="H12" s="1">
        <f t="shared" si="0"/>
        <v>-3.9014679942495256E-3</v>
      </c>
    </row>
    <row r="13" spans="1:8" x14ac:dyDescent="0.35">
      <c r="A13" s="3">
        <v>44216</v>
      </c>
      <c r="B13" s="1">
        <v>48.540000915527301</v>
      </c>
      <c r="C13" s="1">
        <v>48.819999694824197</v>
      </c>
      <c r="D13" s="1">
        <v>48.310001373291001</v>
      </c>
      <c r="E13" s="1">
        <v>48.680000305175703</v>
      </c>
      <c r="F13" s="1">
        <v>41.881740570068303</v>
      </c>
      <c r="G13" s="1">
        <v>23115800</v>
      </c>
      <c r="H13" s="1">
        <f t="shared" si="0"/>
        <v>3.50443563696827E-3</v>
      </c>
    </row>
    <row r="14" spans="1:8" x14ac:dyDescent="0.35">
      <c r="A14" s="3">
        <v>44217</v>
      </c>
      <c r="B14" s="1">
        <v>48.779998779296797</v>
      </c>
      <c r="C14" s="1">
        <v>49.090000152587798</v>
      </c>
      <c r="D14" s="1">
        <v>48.459999084472599</v>
      </c>
      <c r="E14" s="1">
        <v>48.950000762939403</v>
      </c>
      <c r="F14" s="1">
        <v>42.114028930663999</v>
      </c>
      <c r="G14" s="1">
        <v>19702500</v>
      </c>
      <c r="H14" s="1">
        <f t="shared" si="0"/>
        <v>5.5462919504760495E-3</v>
      </c>
    </row>
    <row r="15" spans="1:8" x14ac:dyDescent="0.35">
      <c r="A15" s="3">
        <v>44218</v>
      </c>
      <c r="B15" s="1">
        <v>48.810001373291001</v>
      </c>
      <c r="C15" s="1">
        <v>48.939998626708899</v>
      </c>
      <c r="D15" s="1">
        <v>48.490001678466797</v>
      </c>
      <c r="E15" s="1">
        <v>48.490001678466797</v>
      </c>
      <c r="F15" s="1">
        <v>41.718273162841797</v>
      </c>
      <c r="G15" s="1">
        <v>15400300</v>
      </c>
      <c r="H15" s="1">
        <f t="shared" si="0"/>
        <v>-9.3972431009573774E-3</v>
      </c>
    </row>
    <row r="16" spans="1:8" x14ac:dyDescent="0.35">
      <c r="A16" s="3">
        <v>44221</v>
      </c>
      <c r="B16" s="1">
        <v>48.419998168945298</v>
      </c>
      <c r="C16" s="1">
        <v>48.840000152587798</v>
      </c>
      <c r="D16" s="1">
        <v>48.240001678466797</v>
      </c>
      <c r="E16" s="1">
        <v>48.779998779296797</v>
      </c>
      <c r="F16" s="1">
        <v>41.967777252197202</v>
      </c>
      <c r="G16" s="1">
        <v>16604200</v>
      </c>
      <c r="H16" s="1">
        <f t="shared" si="0"/>
        <v>5.9806907246975054E-3</v>
      </c>
    </row>
    <row r="17" spans="1:8" x14ac:dyDescent="0.35">
      <c r="A17" s="3">
        <v>44222</v>
      </c>
      <c r="B17" s="1">
        <v>48.909999847412102</v>
      </c>
      <c r="C17" s="1">
        <v>49.400001525878899</v>
      </c>
      <c r="D17" s="1">
        <v>48.610000610351499</v>
      </c>
      <c r="E17" s="1">
        <v>49.290000915527301</v>
      </c>
      <c r="F17" s="1">
        <v>42.4065551757812</v>
      </c>
      <c r="G17" s="1">
        <v>12922600</v>
      </c>
      <c r="H17" s="1">
        <f t="shared" si="0"/>
        <v>1.0455114669219862E-2</v>
      </c>
    </row>
    <row r="18" spans="1:8" x14ac:dyDescent="0.35">
      <c r="A18" s="3">
        <v>44223</v>
      </c>
      <c r="B18" s="1">
        <v>48.889999389648402</v>
      </c>
      <c r="C18" s="1">
        <v>49.319999694824197</v>
      </c>
      <c r="D18" s="1">
        <v>48.2299995422363</v>
      </c>
      <c r="E18" s="1">
        <v>48.529998779296797</v>
      </c>
      <c r="F18" s="1">
        <v>41.752681732177699</v>
      </c>
      <c r="G18" s="1">
        <v>21242400</v>
      </c>
      <c r="H18" s="1">
        <f t="shared" si="0"/>
        <v>-1.5419159629757782E-2</v>
      </c>
    </row>
    <row r="19" spans="1:8" x14ac:dyDescent="0.35">
      <c r="A19" s="3">
        <v>44224</v>
      </c>
      <c r="B19" s="1">
        <v>48.689998626708899</v>
      </c>
      <c r="C19" s="1">
        <v>49.5</v>
      </c>
      <c r="D19" s="1">
        <v>48.610000610351499</v>
      </c>
      <c r="E19" s="1">
        <v>49.150001525878899</v>
      </c>
      <c r="F19" s="1">
        <v>42.286106109619098</v>
      </c>
      <c r="G19" s="1">
        <v>17498900</v>
      </c>
      <c r="H19" s="1">
        <f t="shared" si="0"/>
        <v>1.2775811164970103E-2</v>
      </c>
    </row>
    <row r="20" spans="1:8" x14ac:dyDescent="0.35">
      <c r="A20" s="3">
        <v>44225</v>
      </c>
      <c r="B20" s="1">
        <v>49.029998779296797</v>
      </c>
      <c r="C20" s="1">
        <v>49.119998931884702</v>
      </c>
      <c r="D20" s="1">
        <v>48.110000610351499</v>
      </c>
      <c r="E20" s="1">
        <v>48.150001525878899</v>
      </c>
      <c r="F20" s="1">
        <v>41.425754547119098</v>
      </c>
      <c r="G20" s="1">
        <v>18670300</v>
      </c>
      <c r="H20" s="1">
        <f t="shared" si="0"/>
        <v>-2.0345963288028786E-2</v>
      </c>
    </row>
    <row r="21" spans="1:8" x14ac:dyDescent="0.35">
      <c r="A21" s="3">
        <v>44228</v>
      </c>
      <c r="B21" s="1">
        <v>48.270000457763601</v>
      </c>
      <c r="C21" s="1">
        <v>48.689998626708899</v>
      </c>
      <c r="D21" s="1">
        <v>48.180000305175703</v>
      </c>
      <c r="E21" s="1">
        <v>48.4799995422363</v>
      </c>
      <c r="F21" s="1">
        <v>41.709663391113203</v>
      </c>
      <c r="G21" s="1">
        <v>12183600</v>
      </c>
      <c r="H21" s="1">
        <f t="shared" si="0"/>
        <v>6.8534380869557194E-3</v>
      </c>
    </row>
    <row r="22" spans="1:8" x14ac:dyDescent="0.35">
      <c r="A22" s="3">
        <v>44229</v>
      </c>
      <c r="B22" s="1">
        <v>48.799999237060497</v>
      </c>
      <c r="C22" s="1">
        <v>49.349998474121001</v>
      </c>
      <c r="D22" s="1">
        <v>48.630001068115199</v>
      </c>
      <c r="E22" s="1">
        <v>48.959999084472599</v>
      </c>
      <c r="F22" s="1">
        <v>42.122631072997997</v>
      </c>
      <c r="G22" s="1">
        <v>13319800</v>
      </c>
      <c r="H22" s="1">
        <f t="shared" si="0"/>
        <v>9.9010073040479707E-3</v>
      </c>
    </row>
    <row r="23" spans="1:8" x14ac:dyDescent="0.35">
      <c r="A23" s="3">
        <v>44230</v>
      </c>
      <c r="B23" s="1">
        <v>48.950000762939403</v>
      </c>
      <c r="C23" s="1">
        <v>49.090000152587798</v>
      </c>
      <c r="D23" s="1">
        <v>48.669998168945298</v>
      </c>
      <c r="E23" s="1">
        <v>48.770000457763601</v>
      </c>
      <c r="F23" s="1">
        <v>41.9591674804687</v>
      </c>
      <c r="G23" s="1">
        <v>12274100</v>
      </c>
      <c r="H23" s="1">
        <f t="shared" si="0"/>
        <v>-3.8806595971181499E-3</v>
      </c>
    </row>
    <row r="24" spans="1:8" x14ac:dyDescent="0.35">
      <c r="A24" s="3">
        <v>44231</v>
      </c>
      <c r="B24" s="1">
        <v>48.959999084472599</v>
      </c>
      <c r="C24" s="1">
        <v>49.069999694824197</v>
      </c>
      <c r="D24" s="1">
        <v>48.650001525878899</v>
      </c>
      <c r="E24" s="1">
        <v>49.009998321533203</v>
      </c>
      <c r="F24" s="1">
        <v>42.165653228759702</v>
      </c>
      <c r="G24" s="1">
        <v>20597400</v>
      </c>
      <c r="H24" s="1">
        <f t="shared" si="0"/>
        <v>4.9211116590222419E-3</v>
      </c>
    </row>
    <row r="25" spans="1:8" x14ac:dyDescent="0.35">
      <c r="A25" s="3">
        <v>44232</v>
      </c>
      <c r="B25" s="1">
        <v>49.5</v>
      </c>
      <c r="C25" s="1">
        <v>49.779998779296797</v>
      </c>
      <c r="D25" s="1">
        <v>49.270000457763601</v>
      </c>
      <c r="E25" s="1">
        <v>49.650001525878899</v>
      </c>
      <c r="F25" s="1">
        <v>42.716270446777301</v>
      </c>
      <c r="G25" s="1">
        <v>12742000</v>
      </c>
      <c r="H25" s="1">
        <f t="shared" si="0"/>
        <v>1.305842968992694E-2</v>
      </c>
    </row>
    <row r="26" spans="1:8" x14ac:dyDescent="0.35">
      <c r="A26" s="3">
        <v>44235</v>
      </c>
      <c r="B26" s="1">
        <v>49.959999084472599</v>
      </c>
      <c r="C26" s="1">
        <v>50.169998168945298</v>
      </c>
      <c r="D26" s="1">
        <v>49.490001678466797</v>
      </c>
      <c r="E26" s="1">
        <v>49.919998168945298</v>
      </c>
      <c r="F26" s="1">
        <v>42.9485664367675</v>
      </c>
      <c r="G26" s="1">
        <v>17833200</v>
      </c>
      <c r="H26" s="1">
        <f t="shared" si="0"/>
        <v>5.4381149749398181E-3</v>
      </c>
    </row>
    <row r="27" spans="1:8" x14ac:dyDescent="0.35">
      <c r="A27" s="3">
        <v>44236</v>
      </c>
      <c r="B27" s="1">
        <v>49.849998474121001</v>
      </c>
      <c r="C27" s="1">
        <v>50.020000457763601</v>
      </c>
      <c r="D27" s="1">
        <v>49.630001068115199</v>
      </c>
      <c r="E27" s="1">
        <v>49.700000762939403</v>
      </c>
      <c r="F27" s="1">
        <v>42.759300231933501</v>
      </c>
      <c r="G27" s="1">
        <v>14592900</v>
      </c>
      <c r="H27" s="1">
        <f t="shared" si="0"/>
        <v>-4.4068107631171404E-3</v>
      </c>
    </row>
    <row r="28" spans="1:8" x14ac:dyDescent="0.35">
      <c r="A28" s="3">
        <v>44237</v>
      </c>
      <c r="B28" s="1">
        <v>50.409999847412102</v>
      </c>
      <c r="C28" s="1">
        <v>50.580001831054602</v>
      </c>
      <c r="D28" s="1">
        <v>49.529998779296797</v>
      </c>
      <c r="E28" s="1">
        <v>49.599998474121001</v>
      </c>
      <c r="F28" s="1">
        <v>42.673252105712798</v>
      </c>
      <c r="G28" s="1">
        <v>22965400</v>
      </c>
      <c r="H28" s="1">
        <f t="shared" si="0"/>
        <v>-2.0123838733085877E-3</v>
      </c>
    </row>
    <row r="29" spans="1:8" x14ac:dyDescent="0.35">
      <c r="A29" s="3">
        <v>44238</v>
      </c>
      <c r="B29" s="1">
        <v>49.810001373291001</v>
      </c>
      <c r="C29" s="1">
        <v>50.590000152587798</v>
      </c>
      <c r="D29" s="1">
        <v>49.799999237060497</v>
      </c>
      <c r="E29" s="1">
        <v>50.299999237060497</v>
      </c>
      <c r="F29" s="1">
        <v>43.275497436523402</v>
      </c>
      <c r="G29" s="1">
        <v>21928600</v>
      </c>
      <c r="H29" s="1">
        <f t="shared" si="0"/>
        <v>1.4112946660795494E-2</v>
      </c>
    </row>
    <row r="30" spans="1:8" x14ac:dyDescent="0.35">
      <c r="A30" s="3">
        <v>44239</v>
      </c>
      <c r="B30" s="1">
        <v>50.569999694824197</v>
      </c>
      <c r="C30" s="1">
        <v>50.849998474121001</v>
      </c>
      <c r="D30" s="1">
        <v>50.389999389648402</v>
      </c>
      <c r="E30" s="1">
        <v>50.689998626708899</v>
      </c>
      <c r="F30" s="1">
        <v>43.611038208007798</v>
      </c>
      <c r="G30" s="1">
        <v>13137100</v>
      </c>
      <c r="H30" s="1">
        <f t="shared" si="0"/>
        <v>7.753597101375167E-3</v>
      </c>
    </row>
    <row r="31" spans="1:8" x14ac:dyDescent="0.35">
      <c r="A31" s="3">
        <v>44243</v>
      </c>
      <c r="B31" s="1">
        <v>50.619998931884702</v>
      </c>
      <c r="C31" s="1">
        <v>50.720001220703097</v>
      </c>
      <c r="D31" s="1">
        <v>50.159999847412102</v>
      </c>
      <c r="E31" s="1">
        <v>50.270000457763601</v>
      </c>
      <c r="F31" s="1">
        <v>43.249691009521399</v>
      </c>
      <c r="G31" s="1">
        <v>15093400</v>
      </c>
      <c r="H31" s="1">
        <f t="shared" si="0"/>
        <v>-8.2856820964204679E-3</v>
      </c>
    </row>
    <row r="32" spans="1:8" x14ac:dyDescent="0.35">
      <c r="A32" s="3">
        <v>44244</v>
      </c>
      <c r="B32" s="1">
        <v>50</v>
      </c>
      <c r="C32" s="1">
        <v>50.490001678466797</v>
      </c>
      <c r="D32" s="1">
        <v>49.889999389648402</v>
      </c>
      <c r="E32" s="1">
        <v>50.130001068115199</v>
      </c>
      <c r="F32" s="1">
        <v>43.129249572753899</v>
      </c>
      <c r="G32" s="1">
        <v>12794300</v>
      </c>
      <c r="H32" s="1">
        <f t="shared" si="0"/>
        <v>-2.7847929998155324E-3</v>
      </c>
    </row>
    <row r="33" spans="1:8" x14ac:dyDescent="0.35">
      <c r="A33" s="3">
        <v>44245</v>
      </c>
      <c r="B33" s="1">
        <v>50.159999847412102</v>
      </c>
      <c r="C33" s="1">
        <v>50.849998474121001</v>
      </c>
      <c r="D33" s="1">
        <v>50.029998779296797</v>
      </c>
      <c r="E33" s="1">
        <v>50.770000457763601</v>
      </c>
      <c r="F33" s="1">
        <v>43.679866790771399</v>
      </c>
      <c r="G33" s="1">
        <v>12747100</v>
      </c>
      <c r="H33" s="1">
        <f t="shared" si="0"/>
        <v>1.2766677451428279E-2</v>
      </c>
    </row>
    <row r="34" spans="1:8" x14ac:dyDescent="0.35">
      <c r="A34" s="3">
        <v>44246</v>
      </c>
      <c r="B34" s="1">
        <v>50.790000915527301</v>
      </c>
      <c r="C34" s="1">
        <v>50.830001831054602</v>
      </c>
      <c r="D34" s="1">
        <v>49.970001220703097</v>
      </c>
      <c r="E34" s="1">
        <v>50.110000610351499</v>
      </c>
      <c r="F34" s="1">
        <v>43.112033843994098</v>
      </c>
      <c r="G34" s="1">
        <v>15968800</v>
      </c>
      <c r="H34" s="1">
        <f t="shared" si="0"/>
        <v>-1.2999878170353574E-2</v>
      </c>
    </row>
    <row r="35" spans="1:8" x14ac:dyDescent="0.35">
      <c r="A35" s="3">
        <v>44249</v>
      </c>
      <c r="B35" s="1">
        <v>49.849998474121001</v>
      </c>
      <c r="C35" s="1">
        <v>50.880001068115199</v>
      </c>
      <c r="D35" s="1">
        <v>49.669998168945298</v>
      </c>
      <c r="E35" s="1">
        <v>50.630001068115199</v>
      </c>
      <c r="F35" s="1">
        <v>43.559417724609297</v>
      </c>
      <c r="G35" s="1">
        <v>14370900</v>
      </c>
      <c r="H35" s="1">
        <f t="shared" si="0"/>
        <v>1.0377239038040038E-2</v>
      </c>
    </row>
    <row r="36" spans="1:8" x14ac:dyDescent="0.35">
      <c r="A36" s="3">
        <v>44250</v>
      </c>
      <c r="B36" s="1">
        <v>51</v>
      </c>
      <c r="C36" s="1">
        <v>51.509998321533203</v>
      </c>
      <c r="D36" s="1">
        <v>50.419998168945298</v>
      </c>
      <c r="E36" s="1">
        <v>50.540000915527301</v>
      </c>
      <c r="F36" s="1">
        <v>43.481986999511697</v>
      </c>
      <c r="G36" s="1">
        <v>16222300</v>
      </c>
      <c r="H36" s="1">
        <f t="shared" si="0"/>
        <v>-1.7775886167058243E-3</v>
      </c>
    </row>
    <row r="37" spans="1:8" x14ac:dyDescent="0.35">
      <c r="A37" s="3">
        <v>44251</v>
      </c>
      <c r="B37" s="1">
        <v>50.389999389648402</v>
      </c>
      <c r="C37" s="1">
        <v>50.900001525878899</v>
      </c>
      <c r="D37" s="1">
        <v>50.130001068115199</v>
      </c>
      <c r="E37" s="1">
        <v>50.709999084472599</v>
      </c>
      <c r="F37" s="1">
        <v>43.628242492675703</v>
      </c>
      <c r="G37" s="1">
        <v>14442000</v>
      </c>
      <c r="H37" s="1">
        <f t="shared" si="0"/>
        <v>3.3635880799478667E-3</v>
      </c>
    </row>
    <row r="38" spans="1:8" x14ac:dyDescent="0.35">
      <c r="A38" s="3">
        <v>44252</v>
      </c>
      <c r="B38" s="1">
        <v>50.470001220703097</v>
      </c>
      <c r="C38" s="1">
        <v>50.75</v>
      </c>
      <c r="D38" s="1">
        <v>49.9799995422363</v>
      </c>
      <c r="E38" s="1">
        <v>50.169998168945298</v>
      </c>
      <c r="F38" s="1">
        <v>43.163650512695298</v>
      </c>
      <c r="G38" s="1">
        <v>14211100</v>
      </c>
      <c r="H38" s="1">
        <f t="shared" si="0"/>
        <v>-1.064888139966675E-2</v>
      </c>
    </row>
    <row r="39" spans="1:8" x14ac:dyDescent="0.35">
      <c r="A39" s="3">
        <v>44253</v>
      </c>
      <c r="B39" s="1">
        <v>50.200000762939403</v>
      </c>
      <c r="C39" s="1">
        <v>50.209999084472599</v>
      </c>
      <c r="D39" s="1">
        <v>48.970001220703097</v>
      </c>
      <c r="E39" s="1">
        <v>48.990001678466797</v>
      </c>
      <c r="F39" s="1">
        <v>42.148441314697202</v>
      </c>
      <c r="G39" s="1">
        <v>23638400</v>
      </c>
      <c r="H39" s="1">
        <f t="shared" si="0"/>
        <v>-2.3520003195733021E-2</v>
      </c>
    </row>
    <row r="40" spans="1:8" x14ac:dyDescent="0.35">
      <c r="A40" s="3">
        <v>44256</v>
      </c>
      <c r="B40" s="1">
        <v>49.439998626708899</v>
      </c>
      <c r="C40" s="1">
        <v>50.439998626708899</v>
      </c>
      <c r="D40" s="1">
        <v>49.400001525878899</v>
      </c>
      <c r="E40" s="1">
        <v>49.900001525878899</v>
      </c>
      <c r="F40" s="1">
        <v>42.931358337402301</v>
      </c>
      <c r="G40" s="1">
        <v>13901200</v>
      </c>
      <c r="H40" s="1">
        <f t="shared" si="0"/>
        <v>1.8575230738890825E-2</v>
      </c>
    </row>
    <row r="41" spans="1:8" x14ac:dyDescent="0.35">
      <c r="A41" s="3">
        <v>44257</v>
      </c>
      <c r="B41" s="1">
        <v>49.840000152587798</v>
      </c>
      <c r="C41" s="1">
        <v>50.560001373291001</v>
      </c>
      <c r="D41" s="1">
        <v>49.700000762939403</v>
      </c>
      <c r="E41" s="1">
        <v>50.099998474121001</v>
      </c>
      <c r="F41" s="1">
        <v>43.103435516357401</v>
      </c>
      <c r="G41" s="1">
        <v>11755100</v>
      </c>
      <c r="H41" s="1">
        <f t="shared" si="0"/>
        <v>4.00819320932559E-3</v>
      </c>
    </row>
    <row r="42" spans="1:8" x14ac:dyDescent="0.35">
      <c r="A42" s="3">
        <v>44258</v>
      </c>
      <c r="B42" s="1">
        <v>49.720001220703097</v>
      </c>
      <c r="C42" s="1">
        <v>50.560001373291001</v>
      </c>
      <c r="D42" s="1">
        <v>49.709999084472599</v>
      </c>
      <c r="E42" s="1">
        <v>49.9799995422363</v>
      </c>
      <c r="F42" s="1">
        <v>43.000190734863203</v>
      </c>
      <c r="G42" s="1">
        <v>15410700</v>
      </c>
      <c r="H42" s="1">
        <f t="shared" si="0"/>
        <v>-2.3952796397172776E-3</v>
      </c>
    </row>
    <row r="43" spans="1:8" x14ac:dyDescent="0.35">
      <c r="A43" s="3">
        <v>44259</v>
      </c>
      <c r="B43" s="1">
        <v>50.310001373291001</v>
      </c>
      <c r="C43" s="1">
        <v>51.090000152587798</v>
      </c>
      <c r="D43" s="1">
        <v>49.619998931884702</v>
      </c>
      <c r="E43" s="1">
        <v>49.939998626708899</v>
      </c>
      <c r="F43" s="1">
        <v>42.965774536132798</v>
      </c>
      <c r="G43" s="1">
        <v>22036400</v>
      </c>
      <c r="H43" s="1">
        <f t="shared" si="0"/>
        <v>-8.0037316444973882E-4</v>
      </c>
    </row>
    <row r="44" spans="1:8" x14ac:dyDescent="0.35">
      <c r="A44" s="3">
        <v>44260</v>
      </c>
      <c r="B44" s="1">
        <v>50.049999237060497</v>
      </c>
      <c r="C44" s="1">
        <v>50.950000762939403</v>
      </c>
      <c r="D44" s="1">
        <v>49.900001525878899</v>
      </c>
      <c r="E44" s="1">
        <v>50.790000915527301</v>
      </c>
      <c r="F44" s="1">
        <v>43.697074890136697</v>
      </c>
      <c r="G44" s="1">
        <v>21310800</v>
      </c>
      <c r="H44" s="1">
        <f t="shared" si="0"/>
        <v>1.7020532316690803E-2</v>
      </c>
    </row>
    <row r="45" spans="1:8" x14ac:dyDescent="0.35">
      <c r="A45" s="3">
        <v>44263</v>
      </c>
      <c r="B45" s="1">
        <v>51.470001220703097</v>
      </c>
      <c r="C45" s="1">
        <v>52.490001678466797</v>
      </c>
      <c r="D45" s="1">
        <v>51.159999847412102</v>
      </c>
      <c r="E45" s="1">
        <v>51.639999389648402</v>
      </c>
      <c r="F45" s="1">
        <v>44.428367614746001</v>
      </c>
      <c r="G45" s="1">
        <v>25084900</v>
      </c>
      <c r="H45" s="1">
        <f t="shared" si="0"/>
        <v>1.6735507501312665E-2</v>
      </c>
    </row>
    <row r="46" spans="1:8" x14ac:dyDescent="0.35">
      <c r="A46" s="3">
        <v>44264</v>
      </c>
      <c r="B46" s="1">
        <v>51.720001220703097</v>
      </c>
      <c r="C46" s="1">
        <v>51.880001068115199</v>
      </c>
      <c r="D46" s="1">
        <v>50.819999694824197</v>
      </c>
      <c r="E46" s="1">
        <v>50.860000610351499</v>
      </c>
      <c r="F46" s="1">
        <v>43.757293701171797</v>
      </c>
      <c r="G46" s="1">
        <v>23082700</v>
      </c>
      <c r="H46" s="1">
        <f t="shared" si="0"/>
        <v>-1.5104626831967415E-2</v>
      </c>
    </row>
    <row r="47" spans="1:8" x14ac:dyDescent="0.35">
      <c r="A47" s="3">
        <v>44265</v>
      </c>
      <c r="B47" s="1">
        <v>51.180000305175703</v>
      </c>
      <c r="C47" s="1">
        <v>51.630001068115199</v>
      </c>
      <c r="D47" s="1">
        <v>50.720001220703097</v>
      </c>
      <c r="E47" s="1">
        <v>51.439998626708899</v>
      </c>
      <c r="F47" s="1">
        <v>44.256294250488203</v>
      </c>
      <c r="G47" s="1">
        <v>21331600</v>
      </c>
      <c r="H47" s="1">
        <f t="shared" si="0"/>
        <v>1.1403825673593777E-2</v>
      </c>
    </row>
    <row r="48" spans="1:8" x14ac:dyDescent="0.35">
      <c r="A48" s="3">
        <v>44266</v>
      </c>
      <c r="B48" s="1">
        <v>51.409999847412102</v>
      </c>
      <c r="C48" s="1">
        <v>51.430000305175703</v>
      </c>
      <c r="D48" s="1">
        <v>50.810001373291001</v>
      </c>
      <c r="E48" s="1">
        <v>50.880001068115199</v>
      </c>
      <c r="F48" s="1">
        <v>43.774505615234297</v>
      </c>
      <c r="G48" s="1">
        <v>17417700</v>
      </c>
      <c r="H48" s="1">
        <f t="shared" si="0"/>
        <v>-1.0886330259081544E-2</v>
      </c>
    </row>
    <row r="49" spans="1:8" x14ac:dyDescent="0.35">
      <c r="A49" s="3">
        <v>44267</v>
      </c>
      <c r="B49" s="1">
        <v>50.590000152587798</v>
      </c>
      <c r="C49" s="1">
        <v>50.680000305175703</v>
      </c>
      <c r="D49" s="1">
        <v>50.200000762939403</v>
      </c>
      <c r="E49" s="1">
        <v>50.360000610351499</v>
      </c>
      <c r="F49" s="1">
        <v>43.687755584716797</v>
      </c>
      <c r="G49" s="1">
        <v>17598600</v>
      </c>
      <c r="H49" s="1">
        <f t="shared" si="0"/>
        <v>-1.9817478072741371E-3</v>
      </c>
    </row>
    <row r="50" spans="1:8" x14ac:dyDescent="0.35">
      <c r="A50" s="3">
        <v>44270</v>
      </c>
      <c r="B50" s="1">
        <v>50.5</v>
      </c>
      <c r="C50" s="1">
        <v>51.119998931884702</v>
      </c>
      <c r="D50" s="1">
        <v>50.470001220703097</v>
      </c>
      <c r="E50" s="1">
        <v>51.029998779296797</v>
      </c>
      <c r="F50" s="1">
        <v>44.268985748291001</v>
      </c>
      <c r="G50" s="1">
        <v>13411900</v>
      </c>
      <c r="H50" s="1">
        <f t="shared" si="0"/>
        <v>1.3304189143960858E-2</v>
      </c>
    </row>
    <row r="51" spans="1:8" x14ac:dyDescent="0.35">
      <c r="A51" s="3">
        <v>44271</v>
      </c>
      <c r="B51" s="1">
        <v>51.200000762939403</v>
      </c>
      <c r="C51" s="1">
        <v>51.520000457763601</v>
      </c>
      <c r="D51" s="1">
        <v>51.040000915527301</v>
      </c>
      <c r="E51" s="1">
        <v>51.220001220703097</v>
      </c>
      <c r="F51" s="1">
        <v>44.433815002441399</v>
      </c>
      <c r="G51" s="1">
        <v>14214200</v>
      </c>
      <c r="H51" s="1">
        <f t="shared" si="0"/>
        <v>3.7233573655290021E-3</v>
      </c>
    </row>
    <row r="52" spans="1:8" x14ac:dyDescent="0.35">
      <c r="A52" s="3">
        <v>44272</v>
      </c>
      <c r="B52" s="1">
        <v>51.25</v>
      </c>
      <c r="C52" s="1">
        <v>51.619998931884702</v>
      </c>
      <c r="D52" s="1">
        <v>51.150001525878899</v>
      </c>
      <c r="E52" s="1">
        <v>51.240001678466797</v>
      </c>
      <c r="F52" s="1">
        <v>44.451168060302699</v>
      </c>
      <c r="G52" s="1">
        <v>17502700</v>
      </c>
      <c r="H52" s="1">
        <f t="shared" si="0"/>
        <v>3.9053720371177324E-4</v>
      </c>
    </row>
    <row r="53" spans="1:8" x14ac:dyDescent="0.35">
      <c r="A53" s="3">
        <v>44273</v>
      </c>
      <c r="B53" s="1">
        <v>51.060001373291001</v>
      </c>
      <c r="C53" s="1">
        <v>51.189998626708899</v>
      </c>
      <c r="D53" s="1">
        <v>50.490001678466797</v>
      </c>
      <c r="E53" s="1">
        <v>50.569999694824197</v>
      </c>
      <c r="F53" s="1">
        <v>43.869930267333899</v>
      </c>
      <c r="G53" s="1">
        <v>18007300</v>
      </c>
      <c r="H53" s="1">
        <f t="shared" si="0"/>
        <v>-1.307587220610917E-2</v>
      </c>
    </row>
    <row r="54" spans="1:8" x14ac:dyDescent="0.35">
      <c r="A54" s="3">
        <v>44274</v>
      </c>
      <c r="B54" s="1">
        <v>50.459999084472599</v>
      </c>
      <c r="C54" s="1">
        <v>51.080001831054602</v>
      </c>
      <c r="D54" s="1">
        <v>50.169998168945298</v>
      </c>
      <c r="E54" s="1">
        <v>50.810001373291001</v>
      </c>
      <c r="F54" s="1">
        <v>44.078132629394503</v>
      </c>
      <c r="G54" s="1">
        <v>67845700</v>
      </c>
      <c r="H54" s="1">
        <f t="shared" si="0"/>
        <v>4.7459013677902699E-3</v>
      </c>
    </row>
    <row r="55" spans="1:8" x14ac:dyDescent="0.35">
      <c r="A55" s="3">
        <v>44277</v>
      </c>
      <c r="B55" s="1">
        <v>50.319999694824197</v>
      </c>
      <c r="C55" s="1">
        <v>51.080001831054602</v>
      </c>
      <c r="D55" s="1">
        <v>50.319999694824197</v>
      </c>
      <c r="E55" s="1">
        <v>51</v>
      </c>
      <c r="F55" s="1">
        <v>44.242954254150298</v>
      </c>
      <c r="G55" s="1">
        <v>17911400</v>
      </c>
      <c r="H55" s="1">
        <f t="shared" si="0"/>
        <v>3.7393059760857561E-3</v>
      </c>
    </row>
    <row r="56" spans="1:8" x14ac:dyDescent="0.35">
      <c r="A56" s="3">
        <v>44278</v>
      </c>
      <c r="B56" s="1">
        <v>50.990001678466797</v>
      </c>
      <c r="C56" s="1">
        <v>51.650001525878899</v>
      </c>
      <c r="D56" s="1">
        <v>50.830001831054602</v>
      </c>
      <c r="E56" s="1">
        <v>51.389999389648402</v>
      </c>
      <c r="F56" s="1">
        <v>44.581291198730398</v>
      </c>
      <c r="G56" s="1">
        <v>16936700</v>
      </c>
      <c r="H56" s="1">
        <f t="shared" si="0"/>
        <v>7.6472502861483545E-3</v>
      </c>
    </row>
    <row r="57" spans="1:8" x14ac:dyDescent="0.35">
      <c r="A57" s="3">
        <v>44279</v>
      </c>
      <c r="B57" s="1">
        <v>51.169998168945298</v>
      </c>
      <c r="C57" s="1">
        <v>51.889999389648402</v>
      </c>
      <c r="D57" s="1">
        <v>51.150001525878899</v>
      </c>
      <c r="E57" s="1">
        <v>51.520000457763601</v>
      </c>
      <c r="F57" s="1">
        <v>44.694065093994098</v>
      </c>
      <c r="G57" s="1">
        <v>14997400</v>
      </c>
      <c r="H57" s="1">
        <f t="shared" si="0"/>
        <v>2.5296238002840061E-3</v>
      </c>
    </row>
    <row r="58" spans="1:8" x14ac:dyDescent="0.35">
      <c r="A58" s="3">
        <v>44280</v>
      </c>
      <c r="B58" s="1">
        <v>51.700000762939403</v>
      </c>
      <c r="C58" s="1">
        <v>52.060001373291001</v>
      </c>
      <c r="D58" s="1">
        <v>51.169998168945298</v>
      </c>
      <c r="E58" s="1">
        <v>52.020000457763601</v>
      </c>
      <c r="F58" s="1">
        <v>45.127811431884702</v>
      </c>
      <c r="G58" s="1">
        <v>17091900</v>
      </c>
      <c r="H58" s="1">
        <f t="shared" si="0"/>
        <v>9.7047860152888552E-3</v>
      </c>
    </row>
    <row r="59" spans="1:8" x14ac:dyDescent="0.35">
      <c r="A59" s="3">
        <v>44281</v>
      </c>
      <c r="B59" s="1">
        <v>52.139999389648402</v>
      </c>
      <c r="C59" s="1">
        <v>53.110000610351499</v>
      </c>
      <c r="D59" s="1">
        <v>51.759998321533203</v>
      </c>
      <c r="E59" s="1">
        <v>53.040000915527301</v>
      </c>
      <c r="F59" s="1">
        <v>46.012680053710902</v>
      </c>
      <c r="G59" s="1">
        <v>17126700</v>
      </c>
      <c r="H59" s="1">
        <f t="shared" si="0"/>
        <v>1.960805529339283E-2</v>
      </c>
    </row>
    <row r="60" spans="1:8" x14ac:dyDescent="0.35">
      <c r="A60" s="3">
        <v>44284</v>
      </c>
      <c r="B60" s="1">
        <v>52.7299995422363</v>
      </c>
      <c r="C60" s="1">
        <v>53.939998626708899</v>
      </c>
      <c r="D60" s="1">
        <v>52.709999084472599</v>
      </c>
      <c r="E60" s="1">
        <v>53.849998474121001</v>
      </c>
      <c r="F60" s="1">
        <v>46.715358734130803</v>
      </c>
      <c r="G60" s="1">
        <v>17514100</v>
      </c>
      <c r="H60" s="1">
        <f t="shared" si="0"/>
        <v>1.5271413871125506E-2</v>
      </c>
    </row>
    <row r="61" spans="1:8" x14ac:dyDescent="0.35">
      <c r="A61" s="3">
        <v>44285</v>
      </c>
      <c r="B61" s="1">
        <v>53.75</v>
      </c>
      <c r="C61" s="1">
        <v>53.790000915527301</v>
      </c>
      <c r="D61" s="1">
        <v>52.930000305175703</v>
      </c>
      <c r="E61" s="1">
        <v>53.150001525878899</v>
      </c>
      <c r="F61" s="1">
        <v>46.108100891113203</v>
      </c>
      <c r="G61" s="1">
        <v>14871800</v>
      </c>
      <c r="H61" s="1">
        <f t="shared" si="0"/>
        <v>-1.2999104779943167E-2</v>
      </c>
    </row>
    <row r="62" spans="1:8" x14ac:dyDescent="0.35">
      <c r="A62" s="3">
        <v>44286</v>
      </c>
      <c r="B62" s="1">
        <v>53.029998779296797</v>
      </c>
      <c r="C62" s="1">
        <v>53.169998168945298</v>
      </c>
      <c r="D62" s="1">
        <v>52.5</v>
      </c>
      <c r="E62" s="1">
        <v>52.709999084472599</v>
      </c>
      <c r="F62" s="1">
        <v>45.726402282714801</v>
      </c>
      <c r="G62" s="1">
        <v>15826500</v>
      </c>
      <c r="H62" s="1">
        <f t="shared" si="0"/>
        <v>-8.2783415716861566E-3</v>
      </c>
    </row>
    <row r="63" spans="1:8" x14ac:dyDescent="0.35">
      <c r="A63" s="3">
        <v>44287</v>
      </c>
      <c r="B63" s="1">
        <v>52.959999084472599</v>
      </c>
      <c r="C63" s="1">
        <v>53.150001525878899</v>
      </c>
      <c r="D63" s="1">
        <v>52.459999084472599</v>
      </c>
      <c r="E63" s="1">
        <v>52.509998321533203</v>
      </c>
      <c r="F63" s="1">
        <v>45.552894592285099</v>
      </c>
      <c r="G63" s="1">
        <v>15834700</v>
      </c>
      <c r="H63" s="1">
        <f t="shared" si="0"/>
        <v>-3.7944750027992026E-3</v>
      </c>
    </row>
    <row r="64" spans="1:8" x14ac:dyDescent="0.35">
      <c r="A64" s="3">
        <v>44291</v>
      </c>
      <c r="B64" s="1">
        <v>52.349998474121001</v>
      </c>
      <c r="C64" s="1">
        <v>53.220001220703097</v>
      </c>
      <c r="D64" s="1">
        <v>52.290000915527301</v>
      </c>
      <c r="E64" s="1">
        <v>52.810001373291001</v>
      </c>
      <c r="F64" s="1">
        <v>45.813152313232401</v>
      </c>
      <c r="G64" s="1">
        <v>16368700</v>
      </c>
      <c r="H64" s="1">
        <f t="shared" si="0"/>
        <v>5.7133080845180526E-3</v>
      </c>
    </row>
    <row r="65" spans="1:8" x14ac:dyDescent="0.35">
      <c r="A65" s="3">
        <v>44292</v>
      </c>
      <c r="B65" s="1">
        <v>53.040000915527301</v>
      </c>
      <c r="C65" s="1">
        <v>53.650001525878899</v>
      </c>
      <c r="D65" s="1">
        <v>52.900001525878899</v>
      </c>
      <c r="E65" s="1">
        <v>53.189998626708899</v>
      </c>
      <c r="F65" s="1">
        <v>46.142795562744098</v>
      </c>
      <c r="G65" s="1">
        <v>15614300</v>
      </c>
      <c r="H65" s="1">
        <f t="shared" si="0"/>
        <v>7.1953845755443734E-3</v>
      </c>
    </row>
    <row r="66" spans="1:8" x14ac:dyDescent="0.35">
      <c r="A66" s="3">
        <v>44293</v>
      </c>
      <c r="B66" s="1">
        <v>53.279998779296797</v>
      </c>
      <c r="C66" s="1">
        <v>53.5</v>
      </c>
      <c r="D66" s="1">
        <v>53.119998931884702</v>
      </c>
      <c r="E66" s="1">
        <v>53.279998779296797</v>
      </c>
      <c r="F66" s="1">
        <v>46.220874786376903</v>
      </c>
      <c r="G66" s="1">
        <v>10062700</v>
      </c>
      <c r="H66" s="1">
        <f t="shared" si="0"/>
        <v>1.6921216558419125E-3</v>
      </c>
    </row>
    <row r="67" spans="1:8" x14ac:dyDescent="0.35">
      <c r="A67" s="3">
        <v>44294</v>
      </c>
      <c r="B67" s="1">
        <v>53.169998168945298</v>
      </c>
      <c r="C67" s="1">
        <v>53.380001068115199</v>
      </c>
      <c r="D67" s="1">
        <v>52.970001220703097</v>
      </c>
      <c r="E67" s="1">
        <v>53.119998931884702</v>
      </c>
      <c r="F67" s="1">
        <v>46.082077026367102</v>
      </c>
      <c r="G67" s="1">
        <v>9695600</v>
      </c>
      <c r="H67" s="1">
        <f t="shared" si="0"/>
        <v>-3.0029236930563304E-3</v>
      </c>
    </row>
    <row r="68" spans="1:8" x14ac:dyDescent="0.35">
      <c r="A68" s="3">
        <v>44295</v>
      </c>
      <c r="B68" s="1">
        <v>53.169998168945298</v>
      </c>
      <c r="C68" s="1">
        <v>53.279998779296797</v>
      </c>
      <c r="D68" s="1">
        <v>52.810001373291001</v>
      </c>
      <c r="E68" s="1">
        <v>53.180000305175703</v>
      </c>
      <c r="F68" s="1">
        <v>46.134128570556598</v>
      </c>
      <c r="G68" s="1">
        <v>10828200</v>
      </c>
      <c r="H68" s="1">
        <f t="shared" ref="H68:H131" si="1">(F68-F67)/F67</f>
        <v>1.1295398894392947E-3</v>
      </c>
    </row>
    <row r="69" spans="1:8" x14ac:dyDescent="0.35">
      <c r="A69" s="3">
        <v>44298</v>
      </c>
      <c r="B69" s="1">
        <v>53.330001831054602</v>
      </c>
      <c r="C69" s="1">
        <v>53.549999237060497</v>
      </c>
      <c r="D69" s="1">
        <v>53.099998474121001</v>
      </c>
      <c r="E69" s="1">
        <v>53.349998474121001</v>
      </c>
      <c r="F69" s="1">
        <v>46.281608581542898</v>
      </c>
      <c r="G69" s="1">
        <v>8565300</v>
      </c>
      <c r="H69" s="1">
        <f t="shared" si="1"/>
        <v>3.1967659421754716E-3</v>
      </c>
    </row>
    <row r="70" spans="1:8" x14ac:dyDescent="0.35">
      <c r="A70" s="3">
        <v>44299</v>
      </c>
      <c r="B70" s="1">
        <v>53.040000915527301</v>
      </c>
      <c r="C70" s="1">
        <v>53.290000915527301</v>
      </c>
      <c r="D70" s="1">
        <v>52.810001373291001</v>
      </c>
      <c r="E70" s="1">
        <v>53.090000152587798</v>
      </c>
      <c r="F70" s="1">
        <v>46.056053161621001</v>
      </c>
      <c r="G70" s="1">
        <v>11071700</v>
      </c>
      <c r="H70" s="1">
        <f t="shared" si="1"/>
        <v>-4.8735432245077112E-3</v>
      </c>
    </row>
    <row r="71" spans="1:8" x14ac:dyDescent="0.35">
      <c r="A71" s="3">
        <v>44300</v>
      </c>
      <c r="B71" s="1">
        <v>52.9799995422363</v>
      </c>
      <c r="C71" s="1">
        <v>53.189998626708899</v>
      </c>
      <c r="D71" s="1">
        <v>52.650001525878899</v>
      </c>
      <c r="E71" s="1">
        <v>53.080001831054602</v>
      </c>
      <c r="F71" s="1">
        <v>46.047374725341797</v>
      </c>
      <c r="G71" s="1">
        <v>9787600</v>
      </c>
      <c r="H71" s="1">
        <f t="shared" si="1"/>
        <v>-1.8843204494206069E-4</v>
      </c>
    </row>
    <row r="72" spans="1:8" x14ac:dyDescent="0.35">
      <c r="A72" s="3">
        <v>44301</v>
      </c>
      <c r="B72" s="1">
        <v>53.130001068115199</v>
      </c>
      <c r="C72" s="1">
        <v>53.659999847412102</v>
      </c>
      <c r="D72" s="1">
        <v>53.119998931884702</v>
      </c>
      <c r="E72" s="1">
        <v>53.330001831054602</v>
      </c>
      <c r="F72" s="1">
        <v>46.264255523681598</v>
      </c>
      <c r="G72" s="1">
        <v>13078100</v>
      </c>
      <c r="H72" s="1">
        <f t="shared" si="1"/>
        <v>4.7099492562480989E-3</v>
      </c>
    </row>
    <row r="73" spans="1:8" x14ac:dyDescent="0.35">
      <c r="A73" s="3">
        <v>44302</v>
      </c>
      <c r="B73" s="1">
        <v>53.740001678466797</v>
      </c>
      <c r="C73" s="1">
        <v>53.799999237060497</v>
      </c>
      <c r="D73" s="1">
        <v>53.380001068115199</v>
      </c>
      <c r="E73" s="1">
        <v>53.680000305175703</v>
      </c>
      <c r="F73" s="1">
        <v>46.567886352538999</v>
      </c>
      <c r="G73" s="1">
        <v>17974100</v>
      </c>
      <c r="H73" s="1">
        <f t="shared" si="1"/>
        <v>6.5629680067364098E-3</v>
      </c>
    </row>
    <row r="74" spans="1:8" x14ac:dyDescent="0.35">
      <c r="A74" s="3">
        <v>44305</v>
      </c>
      <c r="B74" s="1">
        <v>54</v>
      </c>
      <c r="C74" s="1">
        <v>54.360000610351499</v>
      </c>
      <c r="D74" s="1">
        <v>53.299999237060497</v>
      </c>
      <c r="E74" s="1">
        <v>54</v>
      </c>
      <c r="F74" s="1">
        <v>46.845481872558501</v>
      </c>
      <c r="G74" s="1">
        <v>19352900</v>
      </c>
      <c r="H74" s="1">
        <f t="shared" si="1"/>
        <v>5.9610934006749825E-3</v>
      </c>
    </row>
    <row r="75" spans="1:8" x14ac:dyDescent="0.35">
      <c r="A75" s="3">
        <v>44306</v>
      </c>
      <c r="B75" s="1">
        <v>53.840000152587798</v>
      </c>
      <c r="C75" s="1">
        <v>54.590000152587798</v>
      </c>
      <c r="D75" s="1">
        <v>53.810001373291001</v>
      </c>
      <c r="E75" s="1">
        <v>54.169998168945298</v>
      </c>
      <c r="F75" s="1">
        <v>46.992961883544901</v>
      </c>
      <c r="G75" s="1">
        <v>14419200</v>
      </c>
      <c r="H75" s="1">
        <f t="shared" si="1"/>
        <v>3.1482227333601434E-3</v>
      </c>
    </row>
    <row r="76" spans="1:8" x14ac:dyDescent="0.35">
      <c r="A76" s="3">
        <v>44307</v>
      </c>
      <c r="B76" s="1">
        <v>54.240001678466797</v>
      </c>
      <c r="C76" s="1">
        <v>54.740001678466797</v>
      </c>
      <c r="D76" s="1">
        <v>54.240001678466797</v>
      </c>
      <c r="E76" s="1">
        <v>54.610000610351499</v>
      </c>
      <c r="F76" s="1">
        <v>47.374664306640597</v>
      </c>
      <c r="G76" s="1">
        <v>13866500</v>
      </c>
      <c r="H76" s="1">
        <f t="shared" si="1"/>
        <v>8.1225444789287324E-3</v>
      </c>
    </row>
    <row r="77" spans="1:8" x14ac:dyDescent="0.35">
      <c r="A77" s="3">
        <v>44308</v>
      </c>
      <c r="B77" s="1">
        <v>54.470001220703097</v>
      </c>
      <c r="C77" s="1">
        <v>54.869998931884702</v>
      </c>
      <c r="D77" s="1">
        <v>54.319999694824197</v>
      </c>
      <c r="E77" s="1">
        <v>54.439998626708899</v>
      </c>
      <c r="F77" s="1">
        <v>47.227188110351499</v>
      </c>
      <c r="G77" s="1">
        <v>12558900</v>
      </c>
      <c r="H77" s="1">
        <f t="shared" si="1"/>
        <v>-3.1129760695407399E-3</v>
      </c>
    </row>
    <row r="78" spans="1:8" x14ac:dyDescent="0.35">
      <c r="A78" s="3">
        <v>44309</v>
      </c>
      <c r="B78" s="1">
        <v>54.400001525878899</v>
      </c>
      <c r="C78" s="1">
        <v>54.590000152587798</v>
      </c>
      <c r="D78" s="1">
        <v>54.169998168945298</v>
      </c>
      <c r="E78" s="1">
        <v>54.470001220703097</v>
      </c>
      <c r="F78" s="1">
        <v>47.253208160400298</v>
      </c>
      <c r="G78" s="1">
        <v>9020500</v>
      </c>
      <c r="H78" s="1">
        <f t="shared" si="1"/>
        <v>5.509548861558517E-4</v>
      </c>
    </row>
    <row r="79" spans="1:8" x14ac:dyDescent="0.35">
      <c r="A79" s="3">
        <v>44312</v>
      </c>
      <c r="B79" s="1">
        <v>54.470001220703097</v>
      </c>
      <c r="C79" s="1">
        <v>54.509998321533203</v>
      </c>
      <c r="D79" s="1">
        <v>53.580001831054602</v>
      </c>
      <c r="E79" s="1">
        <v>53.659999847412102</v>
      </c>
      <c r="F79" s="1">
        <v>46.550533294677699</v>
      </c>
      <c r="G79" s="1">
        <v>11684600</v>
      </c>
      <c r="H79" s="1">
        <f t="shared" si="1"/>
        <v>-1.4870416064394617E-2</v>
      </c>
    </row>
    <row r="80" spans="1:8" x14ac:dyDescent="0.35">
      <c r="A80" s="3">
        <v>44313</v>
      </c>
      <c r="B80" s="1">
        <v>53.560001373291001</v>
      </c>
      <c r="C80" s="1">
        <v>53.700000762939403</v>
      </c>
      <c r="D80" s="1">
        <v>53.319999694824197</v>
      </c>
      <c r="E80" s="1">
        <v>53.580001831054602</v>
      </c>
      <c r="F80" s="1">
        <v>46.481128692626903</v>
      </c>
      <c r="G80" s="1">
        <v>9852400</v>
      </c>
      <c r="H80" s="1">
        <f t="shared" si="1"/>
        <v>-1.4909518138373455E-3</v>
      </c>
    </row>
    <row r="81" spans="1:8" x14ac:dyDescent="0.35">
      <c r="A81" s="3">
        <v>44314</v>
      </c>
      <c r="B81" s="1">
        <v>53.9799995422363</v>
      </c>
      <c r="C81" s="1">
        <v>54.049999237060497</v>
      </c>
      <c r="D81" s="1">
        <v>53.439998626708899</v>
      </c>
      <c r="E81" s="1">
        <v>53.590000152587798</v>
      </c>
      <c r="F81" s="1">
        <v>46.489799499511697</v>
      </c>
      <c r="G81" s="1">
        <v>10868100</v>
      </c>
      <c r="H81" s="1">
        <f t="shared" si="1"/>
        <v>1.8654467154041935E-4</v>
      </c>
    </row>
    <row r="82" spans="1:8" x14ac:dyDescent="0.35">
      <c r="A82" s="3">
        <v>44315</v>
      </c>
      <c r="B82" s="1">
        <v>53.540000915527301</v>
      </c>
      <c r="C82" s="1">
        <v>54.360000610351499</v>
      </c>
      <c r="D82" s="1">
        <v>53.430000305175703</v>
      </c>
      <c r="E82" s="1">
        <v>54.259998321533203</v>
      </c>
      <c r="F82" s="1">
        <v>47.071029663085902</v>
      </c>
      <c r="G82" s="1">
        <v>15391000</v>
      </c>
      <c r="H82" s="1">
        <f t="shared" si="1"/>
        <v>1.2502315988269844E-2</v>
      </c>
    </row>
    <row r="83" spans="1:8" x14ac:dyDescent="0.35">
      <c r="A83" s="3">
        <v>44316</v>
      </c>
      <c r="B83" s="1">
        <v>54.25</v>
      </c>
      <c r="C83" s="1">
        <v>54.270000457763601</v>
      </c>
      <c r="D83" s="1">
        <v>53.689998626708899</v>
      </c>
      <c r="E83" s="1">
        <v>53.9799995422363</v>
      </c>
      <c r="F83" s="1">
        <v>46.828132629394503</v>
      </c>
      <c r="G83" s="1">
        <v>14912600</v>
      </c>
      <c r="H83" s="1">
        <f t="shared" si="1"/>
        <v>-5.160223505411953E-3</v>
      </c>
    </row>
    <row r="84" spans="1:8" x14ac:dyDescent="0.35">
      <c r="A84" s="3">
        <v>44319</v>
      </c>
      <c r="B84" s="1">
        <v>54.270000457763601</v>
      </c>
      <c r="C84" s="1">
        <v>54.799999237060497</v>
      </c>
      <c r="D84" s="1">
        <v>54.159999847412102</v>
      </c>
      <c r="E84" s="1">
        <v>54.4799995422363</v>
      </c>
      <c r="F84" s="1">
        <v>47.261890411376903</v>
      </c>
      <c r="G84" s="1">
        <v>10417900</v>
      </c>
      <c r="H84" s="1">
        <f t="shared" si="1"/>
        <v>9.2627606019490584E-3</v>
      </c>
    </row>
    <row r="85" spans="1:8" x14ac:dyDescent="0.35">
      <c r="A85" s="3">
        <v>44320</v>
      </c>
      <c r="B85" s="1">
        <v>54.569999694824197</v>
      </c>
      <c r="C85" s="1">
        <v>54.619998931884702</v>
      </c>
      <c r="D85" s="1">
        <v>53.939998626708899</v>
      </c>
      <c r="E85" s="1">
        <v>54.139999389648402</v>
      </c>
      <c r="F85" s="1">
        <v>46.966930389404297</v>
      </c>
      <c r="G85" s="1">
        <v>14151000</v>
      </c>
      <c r="H85" s="1">
        <f t="shared" si="1"/>
        <v>-6.2409696143174926E-3</v>
      </c>
    </row>
    <row r="86" spans="1:8" x14ac:dyDescent="0.35">
      <c r="A86" s="3">
        <v>44321</v>
      </c>
      <c r="B86" s="1">
        <v>54.139999389648402</v>
      </c>
      <c r="C86" s="1">
        <v>54.240001678466797</v>
      </c>
      <c r="D86" s="1">
        <v>53.709999084472599</v>
      </c>
      <c r="E86" s="1">
        <v>54</v>
      </c>
      <c r="F86" s="1">
        <v>46.845481872558501</v>
      </c>
      <c r="G86" s="1">
        <v>9665900</v>
      </c>
      <c r="H86" s="1">
        <f t="shared" si="1"/>
        <v>-2.5858304095852554E-3</v>
      </c>
    </row>
    <row r="87" spans="1:8" x14ac:dyDescent="0.35">
      <c r="A87" s="3">
        <v>44322</v>
      </c>
      <c r="B87" s="1">
        <v>54.119998931884702</v>
      </c>
      <c r="C87" s="1">
        <v>54.610000610351499</v>
      </c>
      <c r="D87" s="1">
        <v>54.049999237060497</v>
      </c>
      <c r="E87" s="1">
        <v>54.540000915527301</v>
      </c>
      <c r="F87" s="1">
        <v>47.313934326171797</v>
      </c>
      <c r="G87" s="1">
        <v>11572700</v>
      </c>
      <c r="H87" s="1">
        <f t="shared" si="1"/>
        <v>9.9999495124781512E-3</v>
      </c>
    </row>
    <row r="88" spans="1:8" x14ac:dyDescent="0.35">
      <c r="A88" s="3">
        <v>44323</v>
      </c>
      <c r="B88" s="1">
        <v>54.439998626708899</v>
      </c>
      <c r="C88" s="1">
        <v>54.770000457763601</v>
      </c>
      <c r="D88" s="1">
        <v>54.159999847412102</v>
      </c>
      <c r="E88" s="1">
        <v>54.509998321533203</v>
      </c>
      <c r="F88" s="1">
        <v>47.287910461425703</v>
      </c>
      <c r="G88" s="1">
        <v>10637500</v>
      </c>
      <c r="H88" s="1">
        <f t="shared" si="1"/>
        <v>-5.50025380825255E-4</v>
      </c>
    </row>
    <row r="89" spans="1:8" x14ac:dyDescent="0.35">
      <c r="A89" s="3">
        <v>44326</v>
      </c>
      <c r="B89" s="1">
        <v>54.880001068115199</v>
      </c>
      <c r="C89" s="1">
        <v>55.5</v>
      </c>
      <c r="D89" s="1">
        <v>54.830001831054602</v>
      </c>
      <c r="E89" s="1">
        <v>54.909999847412102</v>
      </c>
      <c r="F89" s="1">
        <v>47.634914398193303</v>
      </c>
      <c r="G89" s="1">
        <v>15545800</v>
      </c>
      <c r="H89" s="1">
        <f t="shared" si="1"/>
        <v>7.3381110178395792E-3</v>
      </c>
    </row>
    <row r="90" spans="1:8" x14ac:dyDescent="0.35">
      <c r="A90" s="3">
        <v>44327</v>
      </c>
      <c r="B90" s="1">
        <v>55.029998779296797</v>
      </c>
      <c r="C90" s="1">
        <v>55.139999389648402</v>
      </c>
      <c r="D90" s="1">
        <v>54.049999237060497</v>
      </c>
      <c r="E90" s="1">
        <v>54.319999694824197</v>
      </c>
      <c r="F90" s="1">
        <v>47.123092651367102</v>
      </c>
      <c r="G90" s="1">
        <v>12986700</v>
      </c>
      <c r="H90" s="1">
        <f t="shared" si="1"/>
        <v>-1.0744676531750263E-2</v>
      </c>
    </row>
    <row r="91" spans="1:8" x14ac:dyDescent="0.35">
      <c r="A91" s="3">
        <v>44328</v>
      </c>
      <c r="B91" s="1">
        <v>54.360000610351499</v>
      </c>
      <c r="C91" s="1">
        <v>54.560001373291001</v>
      </c>
      <c r="D91" s="1">
        <v>53.880001068115199</v>
      </c>
      <c r="E91" s="1">
        <v>54.040000915527301</v>
      </c>
      <c r="F91" s="1">
        <v>46.8801879882812</v>
      </c>
      <c r="G91" s="1">
        <v>15836500</v>
      </c>
      <c r="H91" s="1">
        <f t="shared" si="1"/>
        <v>-5.1546842411849848E-3</v>
      </c>
    </row>
    <row r="92" spans="1:8" x14ac:dyDescent="0.35">
      <c r="A92" s="3">
        <v>44329</v>
      </c>
      <c r="B92" s="1">
        <v>53.970001220703097</v>
      </c>
      <c r="C92" s="1">
        <v>54.779998779296797</v>
      </c>
      <c r="D92" s="1">
        <v>53.830001831054602</v>
      </c>
      <c r="E92" s="1">
        <v>54.509998321533203</v>
      </c>
      <c r="F92" s="1">
        <v>47.287910461425703</v>
      </c>
      <c r="G92" s="1">
        <v>15475800</v>
      </c>
      <c r="H92" s="1">
        <f t="shared" si="1"/>
        <v>8.6971168555557542E-3</v>
      </c>
    </row>
    <row r="93" spans="1:8" x14ac:dyDescent="0.35">
      <c r="A93" s="3">
        <v>44330</v>
      </c>
      <c r="B93" s="1">
        <v>54.900001525878899</v>
      </c>
      <c r="C93" s="1">
        <v>55.099998474121001</v>
      </c>
      <c r="D93" s="1">
        <v>54.689998626708899</v>
      </c>
      <c r="E93" s="1">
        <v>54.7299995422363</v>
      </c>
      <c r="F93" s="1">
        <v>47.478763580322202</v>
      </c>
      <c r="G93" s="1">
        <v>11725300</v>
      </c>
      <c r="H93" s="1">
        <f t="shared" si="1"/>
        <v>4.0359812272141677E-3</v>
      </c>
    </row>
    <row r="94" spans="1:8" x14ac:dyDescent="0.35">
      <c r="A94" s="3">
        <v>44333</v>
      </c>
      <c r="B94" s="1">
        <v>54.840000152587798</v>
      </c>
      <c r="C94" s="1">
        <v>55.020000457763601</v>
      </c>
      <c r="D94" s="1">
        <v>54.5</v>
      </c>
      <c r="E94" s="1">
        <v>54.639999389648402</v>
      </c>
      <c r="F94" s="1">
        <v>47.400691986083899</v>
      </c>
      <c r="G94" s="1">
        <v>12119800</v>
      </c>
      <c r="H94" s="1">
        <f t="shared" si="1"/>
        <v>-1.6443476693790676E-3</v>
      </c>
    </row>
    <row r="95" spans="1:8" x14ac:dyDescent="0.35">
      <c r="A95" s="3">
        <v>44334</v>
      </c>
      <c r="B95" s="1">
        <v>54.389999389648402</v>
      </c>
      <c r="C95" s="1">
        <v>54.560001373291001</v>
      </c>
      <c r="D95" s="1">
        <v>54.099998474121001</v>
      </c>
      <c r="E95" s="1">
        <v>54.340000152587798</v>
      </c>
      <c r="F95" s="1">
        <v>47.1404418945312</v>
      </c>
      <c r="G95" s="1">
        <v>13232500</v>
      </c>
      <c r="H95" s="1">
        <f t="shared" si="1"/>
        <v>-5.4904281066003044E-3</v>
      </c>
    </row>
    <row r="96" spans="1:8" x14ac:dyDescent="0.35">
      <c r="A96" s="3">
        <v>44335</v>
      </c>
      <c r="B96" s="1">
        <v>54.119998931884702</v>
      </c>
      <c r="C96" s="1">
        <v>54.180000305175703</v>
      </c>
      <c r="D96" s="1">
        <v>53.610000610351499</v>
      </c>
      <c r="E96" s="1">
        <v>54.169998168945298</v>
      </c>
      <c r="F96" s="1">
        <v>46.992961883544901</v>
      </c>
      <c r="G96" s="1">
        <v>15126100</v>
      </c>
      <c r="H96" s="1">
        <f t="shared" si="1"/>
        <v>-3.1285241516458709E-3</v>
      </c>
    </row>
    <row r="97" spans="1:8" x14ac:dyDescent="0.35">
      <c r="A97" s="3">
        <v>44336</v>
      </c>
      <c r="B97" s="1">
        <v>54.119998931884702</v>
      </c>
      <c r="C97" s="1">
        <v>54.799999237060497</v>
      </c>
      <c r="D97" s="1">
        <v>54.119998931884702</v>
      </c>
      <c r="E97" s="1">
        <v>54.650001525878899</v>
      </c>
      <c r="F97" s="1">
        <v>47.409366607666001</v>
      </c>
      <c r="G97" s="1">
        <v>10948400</v>
      </c>
      <c r="H97" s="1">
        <f t="shared" si="1"/>
        <v>8.861001891155738E-3</v>
      </c>
    </row>
    <row r="98" spans="1:8" x14ac:dyDescent="0.35">
      <c r="A98" s="3">
        <v>44337</v>
      </c>
      <c r="B98" s="1">
        <v>54.799999237060497</v>
      </c>
      <c r="C98" s="1">
        <v>55.119998931884702</v>
      </c>
      <c r="D98" s="1">
        <v>54.220001220703097</v>
      </c>
      <c r="E98" s="1">
        <v>54.619998931884702</v>
      </c>
      <c r="F98" s="1">
        <v>47.383346557617102</v>
      </c>
      <c r="G98" s="1">
        <v>16033200</v>
      </c>
      <c r="H98" s="1">
        <f t="shared" si="1"/>
        <v>-5.488377489669265E-4</v>
      </c>
    </row>
    <row r="99" spans="1:8" x14ac:dyDescent="0.35">
      <c r="A99" s="3">
        <v>44340</v>
      </c>
      <c r="B99" s="1">
        <v>54.630001068115199</v>
      </c>
      <c r="C99" s="1">
        <v>54.930000305175703</v>
      </c>
      <c r="D99" s="1">
        <v>54.490001678466797</v>
      </c>
      <c r="E99" s="1">
        <v>54.799999237060497</v>
      </c>
      <c r="F99" s="1">
        <v>47.539497375488203</v>
      </c>
      <c r="G99" s="1">
        <v>10326100</v>
      </c>
      <c r="H99" s="1">
        <f t="shared" si="1"/>
        <v>3.2954788805646075E-3</v>
      </c>
    </row>
    <row r="100" spans="1:8" x14ac:dyDescent="0.35">
      <c r="A100" s="3">
        <v>44341</v>
      </c>
      <c r="B100" s="1">
        <v>54.819999694824197</v>
      </c>
      <c r="C100" s="1">
        <v>54.819999694824197</v>
      </c>
      <c r="D100" s="1">
        <v>54.349998474121001</v>
      </c>
      <c r="E100" s="1">
        <v>54.790000915527301</v>
      </c>
      <c r="F100" s="1">
        <v>47.5308227539062</v>
      </c>
      <c r="G100" s="1">
        <v>11916500</v>
      </c>
      <c r="H100" s="1">
        <f t="shared" si="1"/>
        <v>-1.8247188255876559E-4</v>
      </c>
    </row>
    <row r="101" spans="1:8" x14ac:dyDescent="0.35">
      <c r="A101" s="3">
        <v>44342</v>
      </c>
      <c r="B101" s="1">
        <v>54.9799995422363</v>
      </c>
      <c r="C101" s="1">
        <v>55.049999237060497</v>
      </c>
      <c r="D101" s="1">
        <v>54.590000152587798</v>
      </c>
      <c r="E101" s="1">
        <v>55.029998779296797</v>
      </c>
      <c r="F101" s="1">
        <v>47.739021301269503</v>
      </c>
      <c r="G101" s="1">
        <v>16064300</v>
      </c>
      <c r="H101" s="1">
        <f t="shared" si="1"/>
        <v>4.3802849456501839E-3</v>
      </c>
    </row>
    <row r="102" spans="1:8" x14ac:dyDescent="0.35">
      <c r="A102" s="3">
        <v>44343</v>
      </c>
      <c r="B102" s="1">
        <v>55.209999084472599</v>
      </c>
      <c r="C102" s="1">
        <v>55.569999694824197</v>
      </c>
      <c r="D102" s="1">
        <v>54.779998779296797</v>
      </c>
      <c r="E102" s="1">
        <v>55.490001678466797</v>
      </c>
      <c r="F102" s="1">
        <v>48.138069152832003</v>
      </c>
      <c r="G102" s="1">
        <v>59109600</v>
      </c>
      <c r="H102" s="1">
        <f t="shared" si="1"/>
        <v>8.3589449612761178E-3</v>
      </c>
    </row>
    <row r="103" spans="1:8" x14ac:dyDescent="0.35">
      <c r="A103" s="3">
        <v>44344</v>
      </c>
      <c r="B103" s="1">
        <v>55.349998474121001</v>
      </c>
      <c r="C103" s="1">
        <v>55.709999084472599</v>
      </c>
      <c r="D103" s="1">
        <v>55.200000762939403</v>
      </c>
      <c r="E103" s="1">
        <v>55.290000915527301</v>
      </c>
      <c r="F103" s="1">
        <v>47.964561462402301</v>
      </c>
      <c r="G103" s="1">
        <v>17011600</v>
      </c>
      <c r="H103" s="1">
        <f t="shared" si="1"/>
        <v>-3.6043757774919835E-3</v>
      </c>
    </row>
    <row r="104" spans="1:8" x14ac:dyDescent="0.35">
      <c r="A104" s="3">
        <v>44348</v>
      </c>
      <c r="B104" s="1">
        <v>55.340000152587798</v>
      </c>
      <c r="C104" s="1">
        <v>55.650001525878899</v>
      </c>
      <c r="D104" s="1">
        <v>55.099998474121001</v>
      </c>
      <c r="E104" s="1">
        <v>55.279998779296797</v>
      </c>
      <c r="F104" s="1">
        <v>47.955894470214801</v>
      </c>
      <c r="G104" s="1">
        <v>13304000</v>
      </c>
      <c r="H104" s="1">
        <f t="shared" si="1"/>
        <v>-1.8069574542641745E-4</v>
      </c>
    </row>
    <row r="105" spans="1:8" x14ac:dyDescent="0.35">
      <c r="A105" s="3">
        <v>44349</v>
      </c>
      <c r="B105" s="1">
        <v>55.5</v>
      </c>
      <c r="C105" s="1">
        <v>55.560001373291001</v>
      </c>
      <c r="D105" s="1">
        <v>55.259998321533203</v>
      </c>
      <c r="E105" s="1">
        <v>55.5</v>
      </c>
      <c r="F105" s="1">
        <v>48.146755218505803</v>
      </c>
      <c r="G105" s="1">
        <v>11328500</v>
      </c>
      <c r="H105" s="1">
        <f t="shared" si="1"/>
        <v>3.9799226017886956E-3</v>
      </c>
    </row>
    <row r="106" spans="1:8" x14ac:dyDescent="0.35">
      <c r="A106" s="3">
        <v>44350</v>
      </c>
      <c r="B106" s="1">
        <v>55.180000305175703</v>
      </c>
      <c r="C106" s="1">
        <v>55.740001678466797</v>
      </c>
      <c r="D106" s="1">
        <v>55.099998474121001</v>
      </c>
      <c r="E106" s="1">
        <v>55.639999389648402</v>
      </c>
      <c r="F106" s="1">
        <v>48.268199920654297</v>
      </c>
      <c r="G106" s="1">
        <v>17364300</v>
      </c>
      <c r="H106" s="1">
        <f t="shared" si="1"/>
        <v>2.5223860174447554E-3</v>
      </c>
    </row>
    <row r="107" spans="1:8" x14ac:dyDescent="0.35">
      <c r="A107" s="3">
        <v>44351</v>
      </c>
      <c r="B107" s="1">
        <v>55.900001525878899</v>
      </c>
      <c r="C107" s="1">
        <v>56.4799995422363</v>
      </c>
      <c r="D107" s="1">
        <v>55.779998779296797</v>
      </c>
      <c r="E107" s="1">
        <v>56.240001678466797</v>
      </c>
      <c r="F107" s="1">
        <v>48.788707733154297</v>
      </c>
      <c r="G107" s="1">
        <v>18935100</v>
      </c>
      <c r="H107" s="1">
        <f t="shared" si="1"/>
        <v>1.0783659083115529E-2</v>
      </c>
    </row>
    <row r="108" spans="1:8" x14ac:dyDescent="0.35">
      <c r="A108" s="3">
        <v>44354</v>
      </c>
      <c r="B108" s="1">
        <v>56.310001373291001</v>
      </c>
      <c r="C108" s="1">
        <v>56.340000152587798</v>
      </c>
      <c r="D108" s="1">
        <v>55.810001373291001</v>
      </c>
      <c r="E108" s="1">
        <v>56.040000915527301</v>
      </c>
      <c r="F108" s="1">
        <v>48.615207672119098</v>
      </c>
      <c r="G108" s="1">
        <v>14010800</v>
      </c>
      <c r="H108" s="1">
        <f t="shared" si="1"/>
        <v>-3.5561520092752359E-3</v>
      </c>
    </row>
    <row r="109" spans="1:8" x14ac:dyDescent="0.35">
      <c r="A109" s="3">
        <v>44355</v>
      </c>
      <c r="B109" s="1">
        <v>56.25</v>
      </c>
      <c r="C109" s="1">
        <v>56.25</v>
      </c>
      <c r="D109" s="1">
        <v>55.549999237060497</v>
      </c>
      <c r="E109" s="1">
        <v>55.650001525878899</v>
      </c>
      <c r="F109" s="1">
        <v>48.276878356933501</v>
      </c>
      <c r="G109" s="1">
        <v>10968300</v>
      </c>
      <c r="H109" s="1">
        <f t="shared" si="1"/>
        <v>-6.9593308634497315E-3</v>
      </c>
    </row>
    <row r="110" spans="1:8" x14ac:dyDescent="0.35">
      <c r="A110" s="3">
        <v>44356</v>
      </c>
      <c r="B110" s="1">
        <v>55.75</v>
      </c>
      <c r="C110" s="1">
        <v>55.919998168945298</v>
      </c>
      <c r="D110" s="1">
        <v>55.4799995422363</v>
      </c>
      <c r="E110" s="1">
        <v>55.4799995422363</v>
      </c>
      <c r="F110" s="1">
        <v>48.12939453125</v>
      </c>
      <c r="G110" s="1">
        <v>9838800</v>
      </c>
      <c r="H110" s="1">
        <f t="shared" si="1"/>
        <v>-3.0549577914521439E-3</v>
      </c>
    </row>
    <row r="111" spans="1:8" x14ac:dyDescent="0.35">
      <c r="A111" s="3">
        <v>44357</v>
      </c>
      <c r="B111" s="1">
        <v>55.909999847412102</v>
      </c>
      <c r="C111" s="1">
        <v>56.119998931884702</v>
      </c>
      <c r="D111" s="1">
        <v>55.759998321533203</v>
      </c>
      <c r="E111" s="1">
        <v>55.909999847412102</v>
      </c>
      <c r="F111" s="1">
        <v>48.502422332763601</v>
      </c>
      <c r="G111" s="1">
        <v>12444400</v>
      </c>
      <c r="H111" s="1">
        <f t="shared" si="1"/>
        <v>7.750519306271287E-3</v>
      </c>
    </row>
    <row r="112" spans="1:8" x14ac:dyDescent="0.35">
      <c r="A112" s="3">
        <v>44358</v>
      </c>
      <c r="B112" s="1">
        <v>55.990001678466797</v>
      </c>
      <c r="C112" s="1">
        <v>56.209999084472599</v>
      </c>
      <c r="D112" s="1">
        <v>55.659999847412102</v>
      </c>
      <c r="E112" s="1">
        <v>56.159999847412102</v>
      </c>
      <c r="F112" s="1">
        <v>48.7192993164062</v>
      </c>
      <c r="G112" s="1">
        <v>11825800</v>
      </c>
      <c r="H112" s="1">
        <f t="shared" si="1"/>
        <v>4.4714670569370321E-3</v>
      </c>
    </row>
    <row r="113" spans="1:8" x14ac:dyDescent="0.35">
      <c r="A113" s="3">
        <v>44361</v>
      </c>
      <c r="B113" s="1">
        <v>55.689998626708899</v>
      </c>
      <c r="C113" s="1">
        <v>55.709999084472599</v>
      </c>
      <c r="D113" s="1">
        <v>55.200000762939403</v>
      </c>
      <c r="E113" s="1">
        <v>55.549999237060497</v>
      </c>
      <c r="F113" s="1">
        <v>48.5532417297363</v>
      </c>
      <c r="G113" s="1">
        <v>9710800</v>
      </c>
      <c r="H113" s="1">
        <f t="shared" si="1"/>
        <v>-3.4084559712454802E-3</v>
      </c>
    </row>
    <row r="114" spans="1:8" x14ac:dyDescent="0.35">
      <c r="A114" s="3">
        <v>44362</v>
      </c>
      <c r="B114" s="1">
        <v>55.779998779296797</v>
      </c>
      <c r="C114" s="1">
        <v>55.790000915527301</v>
      </c>
      <c r="D114" s="1">
        <v>55.189998626708899</v>
      </c>
      <c r="E114" s="1">
        <v>55.409999847412102</v>
      </c>
      <c r="F114" s="1">
        <v>48.430866241455</v>
      </c>
      <c r="G114" s="1">
        <v>11154200</v>
      </c>
      <c r="H114" s="1">
        <f t="shared" si="1"/>
        <v>-2.5204390875172237E-3</v>
      </c>
    </row>
    <row r="115" spans="1:8" x14ac:dyDescent="0.35">
      <c r="A115" s="3">
        <v>44363</v>
      </c>
      <c r="B115" s="1">
        <v>55.439998626708899</v>
      </c>
      <c r="C115" s="1">
        <v>55.459999084472599</v>
      </c>
      <c r="D115" s="1">
        <v>54.639999389648402</v>
      </c>
      <c r="E115" s="1">
        <v>54.669998168945298</v>
      </c>
      <c r="F115" s="1">
        <v>47.784069061279297</v>
      </c>
      <c r="G115" s="1">
        <v>15211700</v>
      </c>
      <c r="H115" s="1">
        <f t="shared" si="1"/>
        <v>-1.3355061149454912E-2</v>
      </c>
    </row>
    <row r="116" spans="1:8" x14ac:dyDescent="0.35">
      <c r="A116" s="3">
        <v>44364</v>
      </c>
      <c r="B116" s="1">
        <v>54.669998168945298</v>
      </c>
      <c r="C116" s="1">
        <v>55.150001525878899</v>
      </c>
      <c r="D116" s="1">
        <v>54.650001525878899</v>
      </c>
      <c r="E116" s="1">
        <v>54.950000762939403</v>
      </c>
      <c r="F116" s="1">
        <v>48.028816223144503</v>
      </c>
      <c r="G116" s="1">
        <v>10658400</v>
      </c>
      <c r="H116" s="1">
        <f t="shared" si="1"/>
        <v>5.1219405687560225E-3</v>
      </c>
    </row>
    <row r="117" spans="1:8" x14ac:dyDescent="0.35">
      <c r="A117" s="3">
        <v>44365</v>
      </c>
      <c r="B117" s="1">
        <v>54.509998321533203</v>
      </c>
      <c r="C117" s="1">
        <v>54.619998931884702</v>
      </c>
      <c r="D117" s="1">
        <v>53.720001220703097</v>
      </c>
      <c r="E117" s="1">
        <v>53.770000457763601</v>
      </c>
      <c r="F117" s="1">
        <v>46.997432708740199</v>
      </c>
      <c r="G117" s="1">
        <v>31445600</v>
      </c>
      <c r="H117" s="1">
        <f t="shared" si="1"/>
        <v>-2.147426473333092E-2</v>
      </c>
    </row>
    <row r="118" spans="1:8" x14ac:dyDescent="0.35">
      <c r="A118" s="3">
        <v>44368</v>
      </c>
      <c r="B118" s="1">
        <v>54.220001220703097</v>
      </c>
      <c r="C118" s="1">
        <v>54.430000305175703</v>
      </c>
      <c r="D118" s="1">
        <v>54</v>
      </c>
      <c r="E118" s="1">
        <v>54.360000610351499</v>
      </c>
      <c r="F118" s="1">
        <v>47.513126373291001</v>
      </c>
      <c r="G118" s="1">
        <v>14404300</v>
      </c>
      <c r="H118" s="1">
        <f t="shared" si="1"/>
        <v>1.0972804998663216E-2</v>
      </c>
    </row>
    <row r="119" spans="1:8" x14ac:dyDescent="0.35">
      <c r="A119" s="3">
        <v>44369</v>
      </c>
      <c r="B119" s="1">
        <v>54.340000152587798</v>
      </c>
      <c r="C119" s="1">
        <v>54.849998474121001</v>
      </c>
      <c r="D119" s="1">
        <v>54.259998321533203</v>
      </c>
      <c r="E119" s="1">
        <v>54.560001373291001</v>
      </c>
      <c r="F119" s="1">
        <v>47.687931060791001</v>
      </c>
      <c r="G119" s="1">
        <v>13072800</v>
      </c>
      <c r="H119" s="1">
        <f t="shared" si="1"/>
        <v>3.6790819893987147E-3</v>
      </c>
    </row>
    <row r="120" spans="1:8" x14ac:dyDescent="0.35">
      <c r="A120" s="3">
        <v>44370</v>
      </c>
      <c r="B120" s="1">
        <v>54.560001373291001</v>
      </c>
      <c r="C120" s="1">
        <v>54.599998474121001</v>
      </c>
      <c r="D120" s="1">
        <v>54.110000610351499</v>
      </c>
      <c r="E120" s="1">
        <v>54.119998931884702</v>
      </c>
      <c r="F120" s="1">
        <v>47.303352355957003</v>
      </c>
      <c r="G120" s="1">
        <v>12339200</v>
      </c>
      <c r="H120" s="1">
        <f t="shared" si="1"/>
        <v>-8.0644870993407183E-3</v>
      </c>
    </row>
    <row r="121" spans="1:8" x14ac:dyDescent="0.35">
      <c r="A121" s="3">
        <v>44371</v>
      </c>
      <c r="B121" s="1">
        <v>54.259998321533203</v>
      </c>
      <c r="C121" s="1">
        <v>54.419998168945298</v>
      </c>
      <c r="D121" s="1">
        <v>54</v>
      </c>
      <c r="E121" s="1">
        <v>54.389999389648402</v>
      </c>
      <c r="F121" s="1">
        <v>47.539344787597599</v>
      </c>
      <c r="G121" s="1">
        <v>11488400</v>
      </c>
      <c r="H121" s="1">
        <f t="shared" si="1"/>
        <v>4.9889155818124082E-3</v>
      </c>
    </row>
    <row r="122" spans="1:8" x14ac:dyDescent="0.35">
      <c r="A122" s="3">
        <v>44372</v>
      </c>
      <c r="B122" s="1">
        <v>54.240001678466797</v>
      </c>
      <c r="C122" s="1">
        <v>54.470001220703097</v>
      </c>
      <c r="D122" s="1">
        <v>54.009998321533203</v>
      </c>
      <c r="E122" s="1">
        <v>54.319999694824197</v>
      </c>
      <c r="F122" s="1">
        <v>47.4781684875488</v>
      </c>
      <c r="G122" s="1">
        <v>18880300</v>
      </c>
      <c r="H122" s="1">
        <f t="shared" si="1"/>
        <v>-1.2868561887449449E-3</v>
      </c>
    </row>
    <row r="123" spans="1:8" x14ac:dyDescent="0.35">
      <c r="A123" s="3">
        <v>44375</v>
      </c>
      <c r="B123" s="1">
        <v>54.25</v>
      </c>
      <c r="C123" s="1">
        <v>54.369998931884702</v>
      </c>
      <c r="D123" s="1">
        <v>54</v>
      </c>
      <c r="E123" s="1">
        <v>54.259998321533203</v>
      </c>
      <c r="F123" s="1">
        <v>47.425724029541001</v>
      </c>
      <c r="G123" s="1">
        <v>10556900</v>
      </c>
      <c r="H123" s="1">
        <f t="shared" si="1"/>
        <v>-1.1046015395802789E-3</v>
      </c>
    </row>
    <row r="124" spans="1:8" x14ac:dyDescent="0.35">
      <c r="A124" s="3">
        <v>44376</v>
      </c>
      <c r="B124" s="1">
        <v>54.130001068115199</v>
      </c>
      <c r="C124" s="1">
        <v>54.340000152587798</v>
      </c>
      <c r="D124" s="1">
        <v>53.720001220703097</v>
      </c>
      <c r="E124" s="1">
        <v>53.860000610351499</v>
      </c>
      <c r="F124" s="1">
        <v>47.076099395751903</v>
      </c>
      <c r="G124" s="1">
        <v>12300900</v>
      </c>
      <c r="H124" s="1">
        <f t="shared" si="1"/>
        <v>-7.3720463091152891E-3</v>
      </c>
    </row>
    <row r="125" spans="1:8" x14ac:dyDescent="0.35">
      <c r="A125" s="3">
        <v>44377</v>
      </c>
      <c r="B125" s="1">
        <v>53.799999237060497</v>
      </c>
      <c r="C125" s="1">
        <v>54.180000305175703</v>
      </c>
      <c r="D125" s="1">
        <v>53.75</v>
      </c>
      <c r="E125" s="1">
        <v>54.110000610351499</v>
      </c>
      <c r="F125" s="1">
        <v>47.294612884521399</v>
      </c>
      <c r="G125" s="1">
        <v>14614200</v>
      </c>
      <c r="H125" s="1">
        <f t="shared" si="1"/>
        <v>4.6417076090466015E-3</v>
      </c>
    </row>
    <row r="126" spans="1:8" x14ac:dyDescent="0.35">
      <c r="A126" s="3">
        <v>44378</v>
      </c>
      <c r="B126" s="1">
        <v>54.340000152587798</v>
      </c>
      <c r="C126" s="1">
        <v>54.4799995422363</v>
      </c>
      <c r="D126" s="1">
        <v>53.860000610351499</v>
      </c>
      <c r="E126" s="1">
        <v>53.959999084472599</v>
      </c>
      <c r="F126" s="1">
        <v>47.163501739501903</v>
      </c>
      <c r="G126" s="1">
        <v>13214700</v>
      </c>
      <c r="H126" s="1">
        <f t="shared" si="1"/>
        <v>-2.7722215496218984E-3</v>
      </c>
    </row>
    <row r="127" spans="1:8" x14ac:dyDescent="0.35">
      <c r="A127" s="3">
        <v>44379</v>
      </c>
      <c r="B127" s="1">
        <v>54</v>
      </c>
      <c r="C127" s="1">
        <v>54.450000762939403</v>
      </c>
      <c r="D127" s="1">
        <v>54</v>
      </c>
      <c r="E127" s="1">
        <v>54.180000305175703</v>
      </c>
      <c r="F127" s="1">
        <v>47.355796813964801</v>
      </c>
      <c r="G127" s="1">
        <v>10604600</v>
      </c>
      <c r="H127" s="1">
        <f t="shared" si="1"/>
        <v>4.0772009577448431E-3</v>
      </c>
    </row>
    <row r="128" spans="1:8" x14ac:dyDescent="0.35">
      <c r="A128" s="3">
        <v>44383</v>
      </c>
      <c r="B128" s="1">
        <v>53.990001678466797</v>
      </c>
      <c r="C128" s="1">
        <v>54.090000152587798</v>
      </c>
      <c r="D128" s="1">
        <v>53.549999237060497</v>
      </c>
      <c r="E128" s="1">
        <v>53.880001068115199</v>
      </c>
      <c r="F128" s="1">
        <v>47.093582153320298</v>
      </c>
      <c r="G128" s="1">
        <v>15278200</v>
      </c>
      <c r="H128" s="1">
        <f t="shared" si="1"/>
        <v>-5.5371185427330423E-3</v>
      </c>
    </row>
    <row r="129" spans="1:8" x14ac:dyDescent="0.35">
      <c r="A129" s="3">
        <v>44384</v>
      </c>
      <c r="B129" s="1">
        <v>53.720001220703097</v>
      </c>
      <c r="C129" s="1">
        <v>54.380001068115199</v>
      </c>
      <c r="D129" s="1">
        <v>53.720001220703097</v>
      </c>
      <c r="E129" s="1">
        <v>54.319999694824197</v>
      </c>
      <c r="F129" s="1">
        <v>47.4781684875488</v>
      </c>
      <c r="G129" s="1">
        <v>14377700</v>
      </c>
      <c r="H129" s="1">
        <f t="shared" si="1"/>
        <v>8.1664277093303778E-3</v>
      </c>
    </row>
    <row r="130" spans="1:8" x14ac:dyDescent="0.35">
      <c r="A130" s="3">
        <v>44385</v>
      </c>
      <c r="B130" s="1">
        <v>54.009998321533203</v>
      </c>
      <c r="C130" s="1">
        <v>54.169998168945298</v>
      </c>
      <c r="D130" s="1">
        <v>53.740001678466797</v>
      </c>
      <c r="E130" s="1">
        <v>54.130001068115199</v>
      </c>
      <c r="F130" s="1">
        <v>47.312088012695298</v>
      </c>
      <c r="G130" s="1">
        <v>11943900</v>
      </c>
      <c r="H130" s="1">
        <f t="shared" si="1"/>
        <v>-3.4980387859118067E-3</v>
      </c>
    </row>
    <row r="131" spans="1:8" x14ac:dyDescent="0.35">
      <c r="A131" s="3">
        <v>44386</v>
      </c>
      <c r="B131" s="1">
        <v>54.25</v>
      </c>
      <c r="C131" s="1">
        <v>54.520000457763601</v>
      </c>
      <c r="D131" s="1">
        <v>54.180000305175703</v>
      </c>
      <c r="E131" s="1">
        <v>54.459999084472599</v>
      </c>
      <c r="F131" s="1">
        <v>47.6005249023437</v>
      </c>
      <c r="G131" s="1">
        <v>10847000</v>
      </c>
      <c r="H131" s="1">
        <f t="shared" si="1"/>
        <v>6.0964734756793109E-3</v>
      </c>
    </row>
    <row r="132" spans="1:8" x14ac:dyDescent="0.35">
      <c r="A132" s="3">
        <v>44389</v>
      </c>
      <c r="B132" s="1">
        <v>54.319999694824197</v>
      </c>
      <c r="C132" s="1">
        <v>54.599998474121001</v>
      </c>
      <c r="D132" s="1">
        <v>54.270000457763601</v>
      </c>
      <c r="E132" s="1">
        <v>54.4799995422363</v>
      </c>
      <c r="F132" s="1">
        <v>47.618003845214801</v>
      </c>
      <c r="G132" s="1">
        <v>15107600</v>
      </c>
      <c r="H132" s="1">
        <f t="shared" ref="H132:H195" si="2">(F132-F131)/F131</f>
        <v>3.6720063291235358E-4</v>
      </c>
    </row>
    <row r="133" spans="1:8" x14ac:dyDescent="0.35">
      <c r="A133" s="3">
        <v>44390</v>
      </c>
      <c r="B133" s="1">
        <v>54.950000762939403</v>
      </c>
      <c r="C133" s="1">
        <v>55.299999237060497</v>
      </c>
      <c r="D133" s="1">
        <v>54.75</v>
      </c>
      <c r="E133" s="1">
        <v>55.020000457763601</v>
      </c>
      <c r="F133" s="1">
        <v>48.089992523193303</v>
      </c>
      <c r="G133" s="1">
        <v>15170800</v>
      </c>
      <c r="H133" s="1">
        <f t="shared" si="2"/>
        <v>9.9119795007100494E-3</v>
      </c>
    </row>
    <row r="134" spans="1:8" x14ac:dyDescent="0.35">
      <c r="A134" s="3">
        <v>44391</v>
      </c>
      <c r="B134" s="1">
        <v>55.020000457763601</v>
      </c>
      <c r="C134" s="1">
        <v>56.349998474121001</v>
      </c>
      <c r="D134" s="1">
        <v>54.959999084472599</v>
      </c>
      <c r="E134" s="1">
        <v>56.259998321533203</v>
      </c>
      <c r="F134" s="1">
        <v>49.173812866210902</v>
      </c>
      <c r="G134" s="1">
        <v>22002700</v>
      </c>
      <c r="H134" s="1">
        <f t="shared" si="2"/>
        <v>2.2537336484194381E-2</v>
      </c>
    </row>
    <row r="135" spans="1:8" x14ac:dyDescent="0.35">
      <c r="A135" s="3">
        <v>44392</v>
      </c>
      <c r="B135" s="1">
        <v>56.240001678466797</v>
      </c>
      <c r="C135" s="1">
        <v>56.470001220703097</v>
      </c>
      <c r="D135" s="1">
        <v>55.909999847412102</v>
      </c>
      <c r="E135" s="1">
        <v>56.439998626708899</v>
      </c>
      <c r="F135" s="1">
        <v>49.331127166747997</v>
      </c>
      <c r="G135" s="1">
        <v>15068200</v>
      </c>
      <c r="H135" s="1">
        <f t="shared" si="2"/>
        <v>3.1991479075479928E-3</v>
      </c>
    </row>
    <row r="136" spans="1:8" x14ac:dyDescent="0.35">
      <c r="A136" s="3">
        <v>44393</v>
      </c>
      <c r="B136" s="1">
        <v>56.459999084472599</v>
      </c>
      <c r="C136" s="1">
        <v>56.680000305175703</v>
      </c>
      <c r="D136" s="1">
        <v>56.259998321533203</v>
      </c>
      <c r="E136" s="1">
        <v>56.400001525878899</v>
      </c>
      <c r="F136" s="1">
        <v>49.296176910400298</v>
      </c>
      <c r="G136" s="1">
        <v>14860500</v>
      </c>
      <c r="H136" s="1">
        <f t="shared" si="2"/>
        <v>-7.0848282524663977E-4</v>
      </c>
    </row>
    <row r="137" spans="1:8" x14ac:dyDescent="0.35">
      <c r="A137" s="3">
        <v>44396</v>
      </c>
      <c r="B137" s="1">
        <v>56.080001831054602</v>
      </c>
      <c r="C137" s="1">
        <v>56.349998474121001</v>
      </c>
      <c r="D137" s="1">
        <v>55.159999847412102</v>
      </c>
      <c r="E137" s="1">
        <v>55.7299995422363</v>
      </c>
      <c r="F137" s="1">
        <v>48.710567474365199</v>
      </c>
      <c r="G137" s="1">
        <v>19527000</v>
      </c>
      <c r="H137" s="1">
        <f t="shared" si="2"/>
        <v>-1.187940876428391E-2</v>
      </c>
    </row>
    <row r="138" spans="1:8" x14ac:dyDescent="0.35">
      <c r="A138" s="3">
        <v>44397</v>
      </c>
      <c r="B138" s="1">
        <v>55.7299995422363</v>
      </c>
      <c r="C138" s="1">
        <v>56.330001831054602</v>
      </c>
      <c r="D138" s="1">
        <v>55.520000457763601</v>
      </c>
      <c r="E138" s="1">
        <v>55.830001831054602</v>
      </c>
      <c r="F138" s="1">
        <v>48.7979736328125</v>
      </c>
      <c r="G138" s="1">
        <v>16257900</v>
      </c>
      <c r="H138" s="1">
        <f t="shared" si="2"/>
        <v>1.794398279044895E-3</v>
      </c>
    </row>
    <row r="139" spans="1:8" x14ac:dyDescent="0.35">
      <c r="A139" s="3">
        <v>44398</v>
      </c>
      <c r="B139" s="1">
        <v>57.330001831054602</v>
      </c>
      <c r="C139" s="1">
        <v>57.560001373291001</v>
      </c>
      <c r="D139" s="1">
        <v>56.430000305175703</v>
      </c>
      <c r="E139" s="1">
        <v>56.549999237060497</v>
      </c>
      <c r="F139" s="1">
        <v>49.427276611328097</v>
      </c>
      <c r="G139" s="1">
        <v>20918200</v>
      </c>
      <c r="H139" s="1">
        <f t="shared" si="2"/>
        <v>1.2896088334546E-2</v>
      </c>
    </row>
    <row r="140" spans="1:8" x14ac:dyDescent="0.35">
      <c r="A140" s="3">
        <v>44399</v>
      </c>
      <c r="B140" s="1">
        <v>56.619998931884702</v>
      </c>
      <c r="C140" s="1">
        <v>56.740001678466797</v>
      </c>
      <c r="D140" s="1">
        <v>56.049999237060497</v>
      </c>
      <c r="E140" s="1">
        <v>56.470001220703097</v>
      </c>
      <c r="F140" s="1">
        <v>49.3573608398437</v>
      </c>
      <c r="G140" s="1">
        <v>13402700</v>
      </c>
      <c r="H140" s="1">
        <f t="shared" si="2"/>
        <v>-1.4145179803083166E-3</v>
      </c>
    </row>
    <row r="141" spans="1:8" x14ac:dyDescent="0.35">
      <c r="A141" s="3">
        <v>44400</v>
      </c>
      <c r="B141" s="1">
        <v>56.590000152587798</v>
      </c>
      <c r="C141" s="1">
        <v>57.330001831054602</v>
      </c>
      <c r="D141" s="1">
        <v>56.450000762939403</v>
      </c>
      <c r="E141" s="1">
        <v>57.009998321533203</v>
      </c>
      <c r="F141" s="1">
        <v>49.829338073730398</v>
      </c>
      <c r="G141" s="1">
        <v>12144000</v>
      </c>
      <c r="H141" s="1">
        <f t="shared" si="2"/>
        <v>9.5624487585181835E-3</v>
      </c>
    </row>
    <row r="142" spans="1:8" x14ac:dyDescent="0.35">
      <c r="A142" s="3">
        <v>44403</v>
      </c>
      <c r="B142" s="1">
        <v>56.889999389648402</v>
      </c>
      <c r="C142" s="1">
        <v>57.119998931884702</v>
      </c>
      <c r="D142" s="1">
        <v>56.560001373291001</v>
      </c>
      <c r="E142" s="1">
        <v>57.060001373291001</v>
      </c>
      <c r="F142" s="1">
        <v>49.873046875</v>
      </c>
      <c r="G142" s="1">
        <v>8681100</v>
      </c>
      <c r="H142" s="1">
        <f t="shared" si="2"/>
        <v>8.7717001588357867E-4</v>
      </c>
    </row>
    <row r="143" spans="1:8" x14ac:dyDescent="0.35">
      <c r="A143" s="3">
        <v>44404</v>
      </c>
      <c r="B143" s="1">
        <v>57.110000610351499</v>
      </c>
      <c r="C143" s="1">
        <v>57.540000915527301</v>
      </c>
      <c r="D143" s="1">
        <v>56.919998168945298</v>
      </c>
      <c r="E143" s="1">
        <v>57.259998321533203</v>
      </c>
      <c r="F143" s="1">
        <v>50.047855377197202</v>
      </c>
      <c r="G143" s="1">
        <v>12794400</v>
      </c>
      <c r="H143" s="1">
        <f t="shared" si="2"/>
        <v>3.5050696348136777E-3</v>
      </c>
    </row>
    <row r="144" spans="1:8" x14ac:dyDescent="0.35">
      <c r="A144" s="3">
        <v>44405</v>
      </c>
      <c r="B144" s="1">
        <v>56.990001678466797</v>
      </c>
      <c r="C144" s="1">
        <v>57.159999847412102</v>
      </c>
      <c r="D144" s="1">
        <v>56.630001068115199</v>
      </c>
      <c r="E144" s="1">
        <v>56.740001678466797</v>
      </c>
      <c r="F144" s="1">
        <v>49.593353271484297</v>
      </c>
      <c r="G144" s="1">
        <v>9858000</v>
      </c>
      <c r="H144" s="1">
        <f t="shared" si="2"/>
        <v>-9.0813502853907511E-3</v>
      </c>
    </row>
    <row r="145" spans="1:8" x14ac:dyDescent="0.35">
      <c r="A145" s="3">
        <v>44406</v>
      </c>
      <c r="B145" s="1">
        <v>57.069999694824197</v>
      </c>
      <c r="C145" s="1">
        <v>57.25</v>
      </c>
      <c r="D145" s="1">
        <v>56.860000610351499</v>
      </c>
      <c r="E145" s="1">
        <v>57.049999237060497</v>
      </c>
      <c r="F145" s="1">
        <v>49.864299774169901</v>
      </c>
      <c r="G145" s="1">
        <v>9599100</v>
      </c>
      <c r="H145" s="1">
        <f t="shared" si="2"/>
        <v>5.4633632293905679E-3</v>
      </c>
    </row>
    <row r="146" spans="1:8" x14ac:dyDescent="0.35">
      <c r="A146" s="3">
        <v>44407</v>
      </c>
      <c r="B146" s="1">
        <v>57.150001525878899</v>
      </c>
      <c r="C146" s="1">
        <v>57.25</v>
      </c>
      <c r="D146" s="1">
        <v>56.900001525878899</v>
      </c>
      <c r="E146" s="1">
        <v>57.029998779296797</v>
      </c>
      <c r="F146" s="1">
        <v>49.846828460693303</v>
      </c>
      <c r="G146" s="1">
        <v>11727000</v>
      </c>
      <c r="H146" s="1">
        <f t="shared" si="2"/>
        <v>-3.5037719482121967E-4</v>
      </c>
    </row>
    <row r="147" spans="1:8" x14ac:dyDescent="0.35">
      <c r="A147" s="3">
        <v>44410</v>
      </c>
      <c r="B147" s="1">
        <v>57.200000762939403</v>
      </c>
      <c r="C147" s="1">
        <v>57.240001678466797</v>
      </c>
      <c r="D147" s="1">
        <v>56.709999084472599</v>
      </c>
      <c r="E147" s="1">
        <v>56.880001068115199</v>
      </c>
      <c r="F147" s="1">
        <v>49.715721130371001</v>
      </c>
      <c r="G147" s="1">
        <v>9778000</v>
      </c>
      <c r="H147" s="1">
        <f t="shared" si="2"/>
        <v>-2.6302040545204551E-3</v>
      </c>
    </row>
    <row r="148" spans="1:8" x14ac:dyDescent="0.35">
      <c r="A148" s="3">
        <v>44411</v>
      </c>
      <c r="B148" s="1">
        <v>57</v>
      </c>
      <c r="C148" s="1">
        <v>57</v>
      </c>
      <c r="D148" s="1">
        <v>56.75</v>
      </c>
      <c r="E148" s="1">
        <v>56.919998168945298</v>
      </c>
      <c r="F148" s="1">
        <v>49.750679016113203</v>
      </c>
      <c r="G148" s="1">
        <v>8825500</v>
      </c>
      <c r="H148" s="1">
        <f t="shared" si="2"/>
        <v>7.0315556020057756E-4</v>
      </c>
    </row>
    <row r="149" spans="1:8" x14ac:dyDescent="0.35">
      <c r="A149" s="3">
        <v>44412</v>
      </c>
      <c r="B149" s="1">
        <v>56.75</v>
      </c>
      <c r="C149" s="1">
        <v>56.950000762939403</v>
      </c>
      <c r="D149" s="1">
        <v>56.009998321533203</v>
      </c>
      <c r="E149" s="1">
        <v>56.099998474121001</v>
      </c>
      <c r="F149" s="1">
        <v>49.033958435058501</v>
      </c>
      <c r="G149" s="1">
        <v>11888400</v>
      </c>
      <c r="H149" s="1">
        <f t="shared" si="2"/>
        <v>-1.4406247215692693E-2</v>
      </c>
    </row>
    <row r="150" spans="1:8" x14ac:dyDescent="0.35">
      <c r="A150" s="3">
        <v>44413</v>
      </c>
      <c r="B150" s="1">
        <v>56.439998626708899</v>
      </c>
      <c r="C150" s="1">
        <v>56.590000152587798</v>
      </c>
      <c r="D150" s="1">
        <v>56.290000915527301</v>
      </c>
      <c r="E150" s="1">
        <v>56.5</v>
      </c>
      <c r="F150" s="1">
        <v>49.383575439453097</v>
      </c>
      <c r="G150" s="1">
        <v>9806800</v>
      </c>
      <c r="H150" s="1">
        <f t="shared" si="2"/>
        <v>7.1300995382135943E-3</v>
      </c>
    </row>
    <row r="151" spans="1:8" x14ac:dyDescent="0.35">
      <c r="A151" s="3">
        <v>44414</v>
      </c>
      <c r="B151" s="1">
        <v>56.599998474121001</v>
      </c>
      <c r="C151" s="1">
        <v>56.740001678466797</v>
      </c>
      <c r="D151" s="1">
        <v>56.439998626708899</v>
      </c>
      <c r="E151" s="1">
        <v>56.639999389648402</v>
      </c>
      <c r="F151" s="1">
        <v>49.505954742431598</v>
      </c>
      <c r="G151" s="1">
        <v>10409300</v>
      </c>
      <c r="H151" s="1">
        <f t="shared" si="2"/>
        <v>2.4781377591532429E-3</v>
      </c>
    </row>
    <row r="152" spans="1:8" x14ac:dyDescent="0.35">
      <c r="A152" s="3">
        <v>44417</v>
      </c>
      <c r="B152" s="1">
        <v>56.799999237060497</v>
      </c>
      <c r="C152" s="1">
        <v>56.880001068115199</v>
      </c>
      <c r="D152" s="1">
        <v>56.430000305175703</v>
      </c>
      <c r="E152" s="1">
        <v>56.650001525878899</v>
      </c>
      <c r="F152" s="1">
        <v>49.514694213867102</v>
      </c>
      <c r="G152" s="1">
        <v>8859900</v>
      </c>
      <c r="H152" s="1">
        <f t="shared" si="2"/>
        <v>1.7653374186951361E-4</v>
      </c>
    </row>
    <row r="153" spans="1:8" x14ac:dyDescent="0.35">
      <c r="A153" s="3">
        <v>44418</v>
      </c>
      <c r="B153" s="1">
        <v>56.840000152587798</v>
      </c>
      <c r="C153" s="1">
        <v>57.169998168945298</v>
      </c>
      <c r="D153" s="1">
        <v>56.659999847412102</v>
      </c>
      <c r="E153" s="1">
        <v>56.799999237060497</v>
      </c>
      <c r="F153" s="1">
        <v>49.645793914794901</v>
      </c>
      <c r="G153" s="1">
        <v>10906900</v>
      </c>
      <c r="H153" s="1">
        <f t="shared" si="2"/>
        <v>2.6476928315773075E-3</v>
      </c>
    </row>
    <row r="154" spans="1:8" x14ac:dyDescent="0.35">
      <c r="A154" s="3">
        <v>44419</v>
      </c>
      <c r="B154" s="1">
        <v>56.889999389648402</v>
      </c>
      <c r="C154" s="1">
        <v>57.180000305175703</v>
      </c>
      <c r="D154" s="1">
        <v>56.709999084472599</v>
      </c>
      <c r="E154" s="1">
        <v>56.7299995422363</v>
      </c>
      <c r="F154" s="1">
        <v>49.584609985351499</v>
      </c>
      <c r="G154" s="1">
        <v>8370700</v>
      </c>
      <c r="H154" s="1">
        <f t="shared" si="2"/>
        <v>-1.2324091250994907E-3</v>
      </c>
    </row>
    <row r="155" spans="1:8" x14ac:dyDescent="0.35">
      <c r="A155" s="3">
        <v>44420</v>
      </c>
      <c r="B155" s="1">
        <v>56.7299995422363</v>
      </c>
      <c r="C155" s="1">
        <v>56.9799995422363</v>
      </c>
      <c r="D155" s="1">
        <v>56.7299995422363</v>
      </c>
      <c r="E155" s="1">
        <v>56.840000152587798</v>
      </c>
      <c r="F155" s="1">
        <v>49.680755615234297</v>
      </c>
      <c r="G155" s="1">
        <v>6169200</v>
      </c>
      <c r="H155" s="1">
        <f t="shared" si="2"/>
        <v>1.9390216018882079E-3</v>
      </c>
    </row>
    <row r="156" spans="1:8" x14ac:dyDescent="0.35">
      <c r="A156" s="3">
        <v>44421</v>
      </c>
      <c r="B156" s="1">
        <v>56.810001373291001</v>
      </c>
      <c r="C156" s="1">
        <v>57.299999237060497</v>
      </c>
      <c r="D156" s="1">
        <v>56.770000457763601</v>
      </c>
      <c r="E156" s="1">
        <v>57.2299995422363</v>
      </c>
      <c r="F156" s="1">
        <v>50.021633148193303</v>
      </c>
      <c r="G156" s="1">
        <v>7714200</v>
      </c>
      <c r="H156" s="1">
        <f t="shared" si="2"/>
        <v>6.8613596701109295E-3</v>
      </c>
    </row>
    <row r="157" spans="1:8" x14ac:dyDescent="0.35">
      <c r="A157" s="3">
        <v>44424</v>
      </c>
      <c r="B157" s="1">
        <v>57.200000762939403</v>
      </c>
      <c r="C157" s="1">
        <v>57.490001678466797</v>
      </c>
      <c r="D157" s="1">
        <v>57.029998779296797</v>
      </c>
      <c r="E157" s="1">
        <v>57.4799995422363</v>
      </c>
      <c r="F157" s="1">
        <v>50.240146636962798</v>
      </c>
      <c r="G157" s="1">
        <v>7972000</v>
      </c>
      <c r="H157" s="1">
        <f t="shared" si="2"/>
        <v>4.3683797392646316E-3</v>
      </c>
    </row>
    <row r="158" spans="1:8" x14ac:dyDescent="0.35">
      <c r="A158" s="3">
        <v>44425</v>
      </c>
      <c r="B158" s="1">
        <v>57.459999084472599</v>
      </c>
      <c r="C158" s="1">
        <v>57.560001373291001</v>
      </c>
      <c r="D158" s="1">
        <v>57.009998321533203</v>
      </c>
      <c r="E158" s="1">
        <v>57.279998779296797</v>
      </c>
      <c r="F158" s="1">
        <v>50.065334320068303</v>
      </c>
      <c r="G158" s="1">
        <v>10346400</v>
      </c>
      <c r="H158" s="1">
        <f t="shared" si="2"/>
        <v>-3.4795343683547771E-3</v>
      </c>
    </row>
    <row r="159" spans="1:8" x14ac:dyDescent="0.35">
      <c r="A159" s="3">
        <v>44426</v>
      </c>
      <c r="B159" s="1">
        <v>57.189998626708899</v>
      </c>
      <c r="C159" s="1">
        <v>57.2299995422363</v>
      </c>
      <c r="D159" s="1">
        <v>56.419998168945298</v>
      </c>
      <c r="E159" s="1">
        <v>56.5</v>
      </c>
      <c r="F159" s="1">
        <v>49.383575439453097</v>
      </c>
      <c r="G159" s="1">
        <v>13873700</v>
      </c>
      <c r="H159" s="1">
        <f t="shared" si="2"/>
        <v>-1.3617383961858978E-2</v>
      </c>
    </row>
    <row r="160" spans="1:8" x14ac:dyDescent="0.35">
      <c r="A160" s="3">
        <v>44427</v>
      </c>
      <c r="B160" s="1">
        <v>56.060001373291001</v>
      </c>
      <c r="C160" s="1">
        <v>56.9799995422363</v>
      </c>
      <c r="D160" s="1">
        <v>55.950000762939403</v>
      </c>
      <c r="E160" s="1">
        <v>56.860000610351499</v>
      </c>
      <c r="F160" s="1">
        <v>49.6982421875</v>
      </c>
      <c r="G160" s="1">
        <v>9223700</v>
      </c>
      <c r="H160" s="1">
        <f t="shared" si="2"/>
        <v>6.3718907601719053E-3</v>
      </c>
    </row>
    <row r="161" spans="1:8" x14ac:dyDescent="0.35">
      <c r="A161" s="3">
        <v>44428</v>
      </c>
      <c r="B161" s="1">
        <v>56.840000152587798</v>
      </c>
      <c r="C161" s="1">
        <v>57.029998779296797</v>
      </c>
      <c r="D161" s="1">
        <v>56.580001831054602</v>
      </c>
      <c r="E161" s="1">
        <v>56.639999389648402</v>
      </c>
      <c r="F161" s="1">
        <v>49.505954742431598</v>
      </c>
      <c r="G161" s="1">
        <v>10543600</v>
      </c>
      <c r="H161" s="1">
        <f t="shared" si="2"/>
        <v>-3.8690995215272576E-3</v>
      </c>
    </row>
    <row r="162" spans="1:8" x14ac:dyDescent="0.35">
      <c r="A162" s="3">
        <v>44431</v>
      </c>
      <c r="B162" s="1">
        <v>56.669998168945298</v>
      </c>
      <c r="C162" s="1">
        <v>56.75</v>
      </c>
      <c r="D162" s="1">
        <v>56.380001068115199</v>
      </c>
      <c r="E162" s="1">
        <v>56.439998626708899</v>
      </c>
      <c r="F162" s="1">
        <v>49.331127166747997</v>
      </c>
      <c r="G162" s="1">
        <v>8912800</v>
      </c>
      <c r="H162" s="1">
        <f t="shared" si="2"/>
        <v>-3.5314453906240086E-3</v>
      </c>
    </row>
    <row r="163" spans="1:8" x14ac:dyDescent="0.35">
      <c r="A163" s="3">
        <v>44432</v>
      </c>
      <c r="B163" s="1">
        <v>56.639999389648402</v>
      </c>
      <c r="C163" s="1">
        <v>56.639999389648402</v>
      </c>
      <c r="D163" s="1">
        <v>55.900001525878899</v>
      </c>
      <c r="E163" s="1">
        <v>56.009998321533203</v>
      </c>
      <c r="F163" s="1">
        <v>48.955295562744098</v>
      </c>
      <c r="G163" s="1">
        <v>12067200</v>
      </c>
      <c r="H163" s="1">
        <f t="shared" si="2"/>
        <v>-7.6185488876733222E-3</v>
      </c>
    </row>
    <row r="164" spans="1:8" x14ac:dyDescent="0.35">
      <c r="A164" s="3">
        <v>44433</v>
      </c>
      <c r="B164" s="1">
        <v>56.060001373291001</v>
      </c>
      <c r="C164" s="1">
        <v>56.169998168945298</v>
      </c>
      <c r="D164" s="1">
        <v>55.7299995422363</v>
      </c>
      <c r="E164" s="1">
        <v>56.069999694824197</v>
      </c>
      <c r="F164" s="1">
        <v>49.007736206054602</v>
      </c>
      <c r="G164" s="1">
        <v>11270700</v>
      </c>
      <c r="H164" s="1">
        <f t="shared" si="2"/>
        <v>1.071194499138364E-3</v>
      </c>
    </row>
    <row r="165" spans="1:8" x14ac:dyDescent="0.35">
      <c r="A165" s="3">
        <v>44434</v>
      </c>
      <c r="B165" s="1">
        <v>55.950000762939403</v>
      </c>
      <c r="C165" s="1">
        <v>55.9799995422363</v>
      </c>
      <c r="D165" s="1">
        <v>55.509998321533203</v>
      </c>
      <c r="E165" s="1">
        <v>55.540000915527301</v>
      </c>
      <c r="F165" s="1">
        <v>48.5444946289062</v>
      </c>
      <c r="G165" s="1">
        <v>10331500</v>
      </c>
      <c r="H165" s="1">
        <f t="shared" si="2"/>
        <v>-9.4524173734670761E-3</v>
      </c>
    </row>
    <row r="166" spans="1:8" x14ac:dyDescent="0.35">
      <c r="A166" s="3">
        <v>44435</v>
      </c>
      <c r="B166" s="1">
        <v>55.659999847412102</v>
      </c>
      <c r="C166" s="1">
        <v>55.790000915527301</v>
      </c>
      <c r="D166" s="1">
        <v>55.450000762939403</v>
      </c>
      <c r="E166" s="1">
        <v>55.650001525878899</v>
      </c>
      <c r="F166" s="1">
        <v>48.6406440734863</v>
      </c>
      <c r="G166" s="1">
        <v>8844100</v>
      </c>
      <c r="H166" s="1">
        <f t="shared" si="2"/>
        <v>1.9806457007144635E-3</v>
      </c>
    </row>
    <row r="167" spans="1:8" x14ac:dyDescent="0.35">
      <c r="A167" s="3">
        <v>44438</v>
      </c>
      <c r="B167" s="1">
        <v>55.689998626708899</v>
      </c>
      <c r="C167" s="1">
        <v>56.200000762939403</v>
      </c>
      <c r="D167" s="1">
        <v>55.639999389648402</v>
      </c>
      <c r="E167" s="1">
        <v>56.180000305175703</v>
      </c>
      <c r="F167" s="1">
        <v>49.1038818359375</v>
      </c>
      <c r="G167" s="1">
        <v>10034700</v>
      </c>
      <c r="H167" s="1">
        <f t="shared" si="2"/>
        <v>9.523676572854186E-3</v>
      </c>
    </row>
    <row r="168" spans="1:8" x14ac:dyDescent="0.35">
      <c r="A168" s="3">
        <v>44439</v>
      </c>
      <c r="B168" s="1">
        <v>56.159999847412102</v>
      </c>
      <c r="C168" s="1">
        <v>56.520000457763601</v>
      </c>
      <c r="D168" s="1">
        <v>56</v>
      </c>
      <c r="E168" s="1">
        <v>56.310001373291001</v>
      </c>
      <c r="F168" s="1">
        <v>49.217517852783203</v>
      </c>
      <c r="G168" s="1">
        <v>14185700</v>
      </c>
      <c r="H168" s="1">
        <f t="shared" si="2"/>
        <v>2.3141962019494903E-3</v>
      </c>
    </row>
    <row r="169" spans="1:8" x14ac:dyDescent="0.35">
      <c r="A169" s="3">
        <v>44440</v>
      </c>
      <c r="B169" s="1">
        <v>56.380001068115199</v>
      </c>
      <c r="C169" s="1">
        <v>56.799999237060497</v>
      </c>
      <c r="D169" s="1">
        <v>56.279998779296797</v>
      </c>
      <c r="E169" s="1">
        <v>56.689998626708899</v>
      </c>
      <c r="F169" s="1">
        <v>49.549648284912102</v>
      </c>
      <c r="G169" s="1">
        <v>9518900</v>
      </c>
      <c r="H169" s="1">
        <f t="shared" si="2"/>
        <v>6.7482158105240065E-3</v>
      </c>
    </row>
    <row r="170" spans="1:8" x14ac:dyDescent="0.35">
      <c r="A170" s="3">
        <v>44441</v>
      </c>
      <c r="B170" s="1">
        <v>56.770000457763601</v>
      </c>
      <c r="C170" s="1">
        <v>57.029998779296797</v>
      </c>
      <c r="D170" s="1">
        <v>56.409999847412102</v>
      </c>
      <c r="E170" s="1">
        <v>56.770000457763601</v>
      </c>
      <c r="F170" s="1">
        <v>49.619571685791001</v>
      </c>
      <c r="G170" s="1">
        <v>11653200</v>
      </c>
      <c r="H170" s="1">
        <f t="shared" si="2"/>
        <v>1.4111785511944969E-3</v>
      </c>
    </row>
    <row r="171" spans="1:8" x14ac:dyDescent="0.35">
      <c r="A171" s="3">
        <v>44442</v>
      </c>
      <c r="B171" s="1">
        <v>56.459999084472599</v>
      </c>
      <c r="C171" s="1">
        <v>56.770000457763601</v>
      </c>
      <c r="D171" s="1">
        <v>56.25</v>
      </c>
      <c r="E171" s="1">
        <v>56.7299995422363</v>
      </c>
      <c r="F171" s="1">
        <v>49.584609985351499</v>
      </c>
      <c r="G171" s="1">
        <v>13220400</v>
      </c>
      <c r="H171" s="1">
        <f t="shared" si="2"/>
        <v>-7.0459496629460933E-4</v>
      </c>
    </row>
    <row r="172" spans="1:8" x14ac:dyDescent="0.35">
      <c r="A172" s="3">
        <v>44446</v>
      </c>
      <c r="B172" s="1">
        <v>56.599998474121001</v>
      </c>
      <c r="C172" s="1">
        <v>56.689998626708899</v>
      </c>
      <c r="D172" s="1">
        <v>55.509998321533203</v>
      </c>
      <c r="E172" s="1">
        <v>55.669998168945298</v>
      </c>
      <c r="F172" s="1">
        <v>48.658123016357401</v>
      </c>
      <c r="G172" s="1">
        <v>20035300</v>
      </c>
      <c r="H172" s="1">
        <f t="shared" si="2"/>
        <v>-1.8684970382298154E-2</v>
      </c>
    </row>
    <row r="173" spans="1:8" x14ac:dyDescent="0.35">
      <c r="A173" s="3">
        <v>44447</v>
      </c>
      <c r="B173" s="1">
        <v>55.610000610351499</v>
      </c>
      <c r="C173" s="1">
        <v>56.4799995422363</v>
      </c>
      <c r="D173" s="1">
        <v>55.610000610351499</v>
      </c>
      <c r="E173" s="1">
        <v>56.419998168945298</v>
      </c>
      <c r="F173" s="1">
        <v>49.313655853271399</v>
      </c>
      <c r="G173" s="1">
        <v>12040100</v>
      </c>
      <c r="H173" s="1">
        <f t="shared" si="2"/>
        <v>1.3472217921222076E-2</v>
      </c>
    </row>
    <row r="174" spans="1:8" x14ac:dyDescent="0.35">
      <c r="A174" s="3">
        <v>44448</v>
      </c>
      <c r="B174" s="1">
        <v>56.180000305175703</v>
      </c>
      <c r="C174" s="1">
        <v>56.419998168945298</v>
      </c>
      <c r="D174" s="1">
        <v>55.799999237060497</v>
      </c>
      <c r="E174" s="1">
        <v>55.860000610351499</v>
      </c>
      <c r="F174" s="1">
        <v>48.824188232421797</v>
      </c>
      <c r="G174" s="1">
        <v>12545400</v>
      </c>
      <c r="H174" s="1">
        <f t="shared" si="2"/>
        <v>-9.9255999657776681E-3</v>
      </c>
    </row>
    <row r="175" spans="1:8" x14ac:dyDescent="0.35">
      <c r="A175" s="3">
        <v>44449</v>
      </c>
      <c r="B175" s="1">
        <v>56.009998321533203</v>
      </c>
      <c r="C175" s="1">
        <v>56.130001068115199</v>
      </c>
      <c r="D175" s="1">
        <v>55.520000457763601</v>
      </c>
      <c r="E175" s="1">
        <v>55.610000610351499</v>
      </c>
      <c r="F175" s="1">
        <v>48.605682373046797</v>
      </c>
      <c r="G175" s="1">
        <v>10573700</v>
      </c>
      <c r="H175" s="1">
        <f t="shared" si="2"/>
        <v>-4.4753608259666009E-3</v>
      </c>
    </row>
    <row r="176" spans="1:8" x14ac:dyDescent="0.35">
      <c r="A176" s="3">
        <v>44452</v>
      </c>
      <c r="B176" s="1">
        <v>55.740001678466797</v>
      </c>
      <c r="C176" s="1">
        <v>56.400001525878899</v>
      </c>
      <c r="D176" s="1">
        <v>55.740001678466797</v>
      </c>
      <c r="E176" s="1">
        <v>56.069999694824197</v>
      </c>
      <c r="F176" s="1">
        <v>49.007736206054602</v>
      </c>
      <c r="G176" s="1">
        <v>20274300</v>
      </c>
      <c r="H176" s="1">
        <f t="shared" si="2"/>
        <v>8.2717454704587263E-3</v>
      </c>
    </row>
    <row r="177" spans="1:8" x14ac:dyDescent="0.35">
      <c r="A177" s="3">
        <v>44453</v>
      </c>
      <c r="B177" s="1">
        <v>55.919998168945298</v>
      </c>
      <c r="C177" s="1">
        <v>55.9799995422363</v>
      </c>
      <c r="D177" s="1">
        <v>55.549999237060497</v>
      </c>
      <c r="E177" s="1">
        <v>55.689998626708899</v>
      </c>
      <c r="F177" s="1">
        <v>49.04296875</v>
      </c>
      <c r="G177" s="1">
        <v>13918900</v>
      </c>
      <c r="H177" s="1">
        <f t="shared" si="2"/>
        <v>7.1891800505253709E-4</v>
      </c>
    </row>
    <row r="178" spans="1:8" x14ac:dyDescent="0.35">
      <c r="A178" s="3">
        <v>44454</v>
      </c>
      <c r="B178" s="1">
        <v>55.680000305175703</v>
      </c>
      <c r="C178" s="1">
        <v>56</v>
      </c>
      <c r="D178" s="1">
        <v>55.419998168945298</v>
      </c>
      <c r="E178" s="1">
        <v>55.880001068115199</v>
      </c>
      <c r="F178" s="1">
        <v>49.210277557372997</v>
      </c>
      <c r="G178" s="1">
        <v>15746000</v>
      </c>
      <c r="H178" s="1">
        <f t="shared" si="2"/>
        <v>3.4114738898834941E-3</v>
      </c>
    </row>
    <row r="179" spans="1:8" x14ac:dyDescent="0.35">
      <c r="A179" s="3">
        <v>44455</v>
      </c>
      <c r="B179" s="1">
        <v>55.720001220703097</v>
      </c>
      <c r="C179" s="1">
        <v>55.990001678466797</v>
      </c>
      <c r="D179" s="1">
        <v>54.819999694824197</v>
      </c>
      <c r="E179" s="1">
        <v>55.349998474121001</v>
      </c>
      <c r="F179" s="1">
        <v>48.743545532226499</v>
      </c>
      <c r="G179" s="1">
        <v>17430400</v>
      </c>
      <c r="H179" s="1">
        <f t="shared" si="2"/>
        <v>-9.4844420375875295E-3</v>
      </c>
    </row>
    <row r="180" spans="1:8" x14ac:dyDescent="0.35">
      <c r="A180" s="3">
        <v>44456</v>
      </c>
      <c r="B180" s="1">
        <v>55.020000457763601</v>
      </c>
      <c r="C180" s="1">
        <v>55.189998626708899</v>
      </c>
      <c r="D180" s="1">
        <v>54.369998931884702</v>
      </c>
      <c r="E180" s="1">
        <v>54.439998626708899</v>
      </c>
      <c r="F180" s="1">
        <v>47.942165374755803</v>
      </c>
      <c r="G180" s="1">
        <v>33370200</v>
      </c>
      <c r="H180" s="1">
        <f t="shared" si="2"/>
        <v>-1.6440744076379681E-2</v>
      </c>
    </row>
    <row r="181" spans="1:8" x14ac:dyDescent="0.35">
      <c r="A181" s="3">
        <v>44459</v>
      </c>
      <c r="B181" s="1">
        <v>54.110000610351499</v>
      </c>
      <c r="C181" s="1">
        <v>54.400001525878899</v>
      </c>
      <c r="D181" s="1">
        <v>53.7299995422363</v>
      </c>
      <c r="E181" s="1">
        <v>54.060001373291001</v>
      </c>
      <c r="F181" s="1">
        <v>47.607524871826101</v>
      </c>
      <c r="G181" s="1">
        <v>27542500</v>
      </c>
      <c r="H181" s="1">
        <f t="shared" si="2"/>
        <v>-6.9800873680584399E-3</v>
      </c>
    </row>
    <row r="182" spans="1:8" x14ac:dyDescent="0.35">
      <c r="A182" s="3">
        <v>44460</v>
      </c>
      <c r="B182" s="1">
        <v>54.389999389648402</v>
      </c>
      <c r="C182" s="1">
        <v>54.819999694824197</v>
      </c>
      <c r="D182" s="1">
        <v>53.939998626708899</v>
      </c>
      <c r="E182" s="1">
        <v>54.049999237060497</v>
      </c>
      <c r="F182" s="1">
        <v>47.598709106445298</v>
      </c>
      <c r="G182" s="1">
        <v>16418200</v>
      </c>
      <c r="H182" s="1">
        <f t="shared" si="2"/>
        <v>-1.8517588142919099E-4</v>
      </c>
    </row>
    <row r="183" spans="1:8" x14ac:dyDescent="0.35">
      <c r="A183" s="3">
        <v>44461</v>
      </c>
      <c r="B183" s="1">
        <v>54.509998321533203</v>
      </c>
      <c r="C183" s="1">
        <v>54.560001373291001</v>
      </c>
      <c r="D183" s="1">
        <v>54.060001373291001</v>
      </c>
      <c r="E183" s="1">
        <v>54.130001068115199</v>
      </c>
      <c r="F183" s="1">
        <v>47.669158935546797</v>
      </c>
      <c r="G183" s="1">
        <v>12719700</v>
      </c>
      <c r="H183" s="1">
        <f t="shared" si="2"/>
        <v>1.4800785656592314E-3</v>
      </c>
    </row>
    <row r="184" spans="1:8" x14ac:dyDescent="0.35">
      <c r="A184" s="3">
        <v>44462</v>
      </c>
      <c r="B184" s="1">
        <v>54.259998321533203</v>
      </c>
      <c r="C184" s="1">
        <v>54.619998931884702</v>
      </c>
      <c r="D184" s="1">
        <v>54</v>
      </c>
      <c r="E184" s="1">
        <v>54.040000915527301</v>
      </c>
      <c r="F184" s="1">
        <v>47.589908599853501</v>
      </c>
      <c r="G184" s="1">
        <v>13836200</v>
      </c>
      <c r="H184" s="1">
        <f t="shared" si="2"/>
        <v>-1.6625075302975109E-3</v>
      </c>
    </row>
    <row r="185" spans="1:8" x14ac:dyDescent="0.35">
      <c r="A185" s="3">
        <v>44463</v>
      </c>
      <c r="B185" s="1">
        <v>54</v>
      </c>
      <c r="C185" s="1">
        <v>54.240001678466797</v>
      </c>
      <c r="D185" s="1">
        <v>53.860000610351499</v>
      </c>
      <c r="E185" s="1">
        <v>53.889999389648402</v>
      </c>
      <c r="F185" s="1">
        <v>47.457809448242102</v>
      </c>
      <c r="G185" s="1">
        <v>9682200</v>
      </c>
      <c r="H185" s="1">
        <f t="shared" si="2"/>
        <v>-2.7757807379316089E-3</v>
      </c>
    </row>
    <row r="186" spans="1:8" x14ac:dyDescent="0.35">
      <c r="A186" s="3">
        <v>44466</v>
      </c>
      <c r="B186" s="1">
        <v>53.849998474121001</v>
      </c>
      <c r="C186" s="1">
        <v>54.25</v>
      </c>
      <c r="D186" s="1">
        <v>53.569999694824197</v>
      </c>
      <c r="E186" s="1">
        <v>53.610000610351499</v>
      </c>
      <c r="F186" s="1">
        <v>47.211231231689403</v>
      </c>
      <c r="G186" s="1">
        <v>12429500</v>
      </c>
      <c r="H186" s="1">
        <f t="shared" si="2"/>
        <v>-5.1957353156305954E-3</v>
      </c>
    </row>
    <row r="187" spans="1:8" x14ac:dyDescent="0.35">
      <c r="A187" s="3">
        <v>44467</v>
      </c>
      <c r="B187" s="1">
        <v>53.459999084472599</v>
      </c>
      <c r="C187" s="1">
        <v>53.459999084472599</v>
      </c>
      <c r="D187" s="1">
        <v>52.430000305175703</v>
      </c>
      <c r="E187" s="1">
        <v>52.639999389648402</v>
      </c>
      <c r="F187" s="1">
        <v>46.357009887695298</v>
      </c>
      <c r="G187" s="1">
        <v>19926100</v>
      </c>
      <c r="H187" s="1">
        <f t="shared" si="2"/>
        <v>-1.8093604460388008E-2</v>
      </c>
    </row>
    <row r="188" spans="1:8" x14ac:dyDescent="0.35">
      <c r="A188" s="3">
        <v>44468</v>
      </c>
      <c r="B188" s="1">
        <v>52.639999389648402</v>
      </c>
      <c r="C188" s="1">
        <v>53.159999847412102</v>
      </c>
      <c r="D188" s="1">
        <v>52.560001373291001</v>
      </c>
      <c r="E188" s="1">
        <v>52.959999084472599</v>
      </c>
      <c r="F188" s="1">
        <v>46.638809204101499</v>
      </c>
      <c r="G188" s="1">
        <v>13941500</v>
      </c>
      <c r="H188" s="1">
        <f t="shared" si="2"/>
        <v>6.0788932911956259E-3</v>
      </c>
    </row>
    <row r="189" spans="1:8" x14ac:dyDescent="0.35">
      <c r="A189" s="3">
        <v>44469</v>
      </c>
      <c r="B189" s="1">
        <v>53.169998168945298</v>
      </c>
      <c r="C189" s="1">
        <v>53.330001831054602</v>
      </c>
      <c r="D189" s="1">
        <v>52.430000305175703</v>
      </c>
      <c r="E189" s="1">
        <v>52.470001220703097</v>
      </c>
      <c r="F189" s="1">
        <v>46.207305908203097</v>
      </c>
      <c r="G189" s="1">
        <v>17672000</v>
      </c>
      <c r="H189" s="1">
        <f t="shared" si="2"/>
        <v>-9.2520221519818476E-3</v>
      </c>
    </row>
    <row r="190" spans="1:8" x14ac:dyDescent="0.35">
      <c r="A190" s="3">
        <v>44470</v>
      </c>
      <c r="B190" s="1">
        <v>52.779998779296797</v>
      </c>
      <c r="C190" s="1">
        <v>53.200000762939403</v>
      </c>
      <c r="D190" s="1">
        <v>52.569999694824197</v>
      </c>
      <c r="E190" s="1">
        <v>53.020000457763601</v>
      </c>
      <c r="F190" s="1">
        <v>46.691650390625</v>
      </c>
      <c r="G190" s="1">
        <v>16277400</v>
      </c>
      <c r="H190" s="1">
        <f t="shared" si="2"/>
        <v>1.0481989220148813E-2</v>
      </c>
    </row>
    <row r="191" spans="1:8" x14ac:dyDescent="0.35">
      <c r="A191" s="3">
        <v>44473</v>
      </c>
      <c r="B191" s="1">
        <v>53.060001373291001</v>
      </c>
      <c r="C191" s="1">
        <v>53.529998779296797</v>
      </c>
      <c r="D191" s="1">
        <v>52.400001525878899</v>
      </c>
      <c r="E191" s="1">
        <v>52.990001678466797</v>
      </c>
      <c r="F191" s="1">
        <v>46.665229797363203</v>
      </c>
      <c r="G191" s="1">
        <v>18973400</v>
      </c>
      <c r="H191" s="1">
        <f t="shared" si="2"/>
        <v>-5.6585263191086038E-4</v>
      </c>
    </row>
    <row r="192" spans="1:8" x14ac:dyDescent="0.35">
      <c r="A192" s="3">
        <v>44474</v>
      </c>
      <c r="B192" s="1">
        <v>53.020000457763601</v>
      </c>
      <c r="C192" s="1">
        <v>53.470001220703097</v>
      </c>
      <c r="D192" s="1">
        <v>52.930000305175703</v>
      </c>
      <c r="E192" s="1">
        <v>53.080001831054602</v>
      </c>
      <c r="F192" s="1">
        <v>46.744491577148402</v>
      </c>
      <c r="G192" s="1">
        <v>17173100</v>
      </c>
      <c r="H192" s="1">
        <f t="shared" si="2"/>
        <v>1.6985190071790353E-3</v>
      </c>
    </row>
    <row r="193" spans="1:8" x14ac:dyDescent="0.35">
      <c r="A193" s="3">
        <v>44475</v>
      </c>
      <c r="B193" s="1">
        <v>52.770000457763601</v>
      </c>
      <c r="C193" s="1">
        <v>53.770000457763601</v>
      </c>
      <c r="D193" s="1">
        <v>52.509998321533203</v>
      </c>
      <c r="E193" s="1">
        <v>53.709999084472599</v>
      </c>
      <c r="F193" s="1">
        <v>47.299297332763601</v>
      </c>
      <c r="G193" s="1">
        <v>21284500</v>
      </c>
      <c r="H193" s="1">
        <f t="shared" si="2"/>
        <v>1.1868901273629901E-2</v>
      </c>
    </row>
    <row r="194" spans="1:8" x14ac:dyDescent="0.35">
      <c r="A194" s="3">
        <v>44476</v>
      </c>
      <c r="B194" s="1">
        <v>53.990001678466797</v>
      </c>
      <c r="C194" s="1">
        <v>54.279998779296797</v>
      </c>
      <c r="D194" s="1">
        <v>53.810001373291001</v>
      </c>
      <c r="E194" s="1">
        <v>53.880001068115199</v>
      </c>
      <c r="F194" s="1">
        <v>47.449005126953097</v>
      </c>
      <c r="G194" s="1">
        <v>13774400</v>
      </c>
      <c r="H194" s="1">
        <f t="shared" si="2"/>
        <v>3.1651166641284358E-3</v>
      </c>
    </row>
    <row r="195" spans="1:8" x14ac:dyDescent="0.35">
      <c r="A195" s="3">
        <v>44477</v>
      </c>
      <c r="B195" s="1">
        <v>54</v>
      </c>
      <c r="C195" s="1">
        <v>54.389999389648402</v>
      </c>
      <c r="D195" s="1">
        <v>53.900001525878899</v>
      </c>
      <c r="E195" s="1">
        <v>54.119998931884702</v>
      </c>
      <c r="F195" s="1">
        <v>47.660358428955</v>
      </c>
      <c r="G195" s="1">
        <v>13786800</v>
      </c>
      <c r="H195" s="1">
        <f t="shared" si="2"/>
        <v>4.4543252579566841E-3</v>
      </c>
    </row>
    <row r="196" spans="1:8" x14ac:dyDescent="0.35">
      <c r="A196" s="3">
        <v>44480</v>
      </c>
      <c r="B196" s="1">
        <v>54.209999084472599</v>
      </c>
      <c r="C196" s="1">
        <v>54.389999389648402</v>
      </c>
      <c r="D196" s="1">
        <v>54.009998321533203</v>
      </c>
      <c r="E196" s="1">
        <v>54.2299995422363</v>
      </c>
      <c r="F196" s="1">
        <v>47.757228851318303</v>
      </c>
      <c r="G196" s="1">
        <v>12378500</v>
      </c>
      <c r="H196" s="1">
        <f t="shared" ref="H196:H259" si="3">(F196-F195)/F195</f>
        <v>2.0325156074456016E-3</v>
      </c>
    </row>
    <row r="197" spans="1:8" x14ac:dyDescent="0.35">
      <c r="A197" s="3">
        <v>44481</v>
      </c>
      <c r="B197" s="1">
        <v>54.419998168945298</v>
      </c>
      <c r="C197" s="1">
        <v>54.830001831054602</v>
      </c>
      <c r="D197" s="1">
        <v>54.220001220703097</v>
      </c>
      <c r="E197" s="1">
        <v>54.2299995422363</v>
      </c>
      <c r="F197" s="1">
        <v>47.757228851318303</v>
      </c>
      <c r="G197" s="1">
        <v>19474400</v>
      </c>
      <c r="H197" s="1">
        <f t="shared" si="3"/>
        <v>0</v>
      </c>
    </row>
    <row r="198" spans="1:8" x14ac:dyDescent="0.35">
      <c r="A198" s="3">
        <v>44482</v>
      </c>
      <c r="B198" s="1">
        <v>54.169998168945298</v>
      </c>
      <c r="C198" s="1">
        <v>54.430000305175703</v>
      </c>
      <c r="D198" s="1">
        <v>53.790000915527301</v>
      </c>
      <c r="E198" s="1">
        <v>54.240001678466797</v>
      </c>
      <c r="F198" s="1">
        <v>47.766033172607401</v>
      </c>
      <c r="G198" s="1">
        <v>12143300</v>
      </c>
      <c r="H198" s="1">
        <f t="shared" si="3"/>
        <v>1.843557823781685E-4</v>
      </c>
    </row>
    <row r="199" spans="1:8" x14ac:dyDescent="0.35">
      <c r="A199" s="3">
        <v>44483</v>
      </c>
      <c r="B199" s="1">
        <v>54.389999389648402</v>
      </c>
      <c r="C199" s="1">
        <v>54.810001373291001</v>
      </c>
      <c r="D199" s="1">
        <v>54.310001373291001</v>
      </c>
      <c r="E199" s="1">
        <v>54.610000610351499</v>
      </c>
      <c r="F199" s="1">
        <v>48.091865539550703</v>
      </c>
      <c r="G199" s="1">
        <v>13704000</v>
      </c>
      <c r="H199" s="1">
        <f t="shared" si="3"/>
        <v>6.8214240392513708E-3</v>
      </c>
    </row>
    <row r="200" spans="1:8" x14ac:dyDescent="0.35">
      <c r="A200" s="3">
        <v>44484</v>
      </c>
      <c r="B200" s="1">
        <v>54.639999389648402</v>
      </c>
      <c r="C200" s="1">
        <v>54.880001068115199</v>
      </c>
      <c r="D200" s="1">
        <v>54.290000915527301</v>
      </c>
      <c r="E200" s="1">
        <v>54.4799995422363</v>
      </c>
      <c r="F200" s="1">
        <v>47.977382659912102</v>
      </c>
      <c r="G200" s="1">
        <v>17867000</v>
      </c>
      <c r="H200" s="1">
        <f t="shared" si="3"/>
        <v>-2.3805040281594026E-3</v>
      </c>
    </row>
    <row r="201" spans="1:8" x14ac:dyDescent="0.35">
      <c r="A201" s="3">
        <v>44487</v>
      </c>
      <c r="B201" s="1">
        <v>54.349998474121001</v>
      </c>
      <c r="C201" s="1">
        <v>54.389999389648402</v>
      </c>
      <c r="D201" s="1">
        <v>53.860000610351499</v>
      </c>
      <c r="E201" s="1">
        <v>53.939998626708899</v>
      </c>
      <c r="F201" s="1">
        <v>47.501838684082003</v>
      </c>
      <c r="G201" s="1">
        <v>15861800</v>
      </c>
      <c r="H201" s="1">
        <f t="shared" si="3"/>
        <v>-9.9118365668464051E-3</v>
      </c>
    </row>
    <row r="202" spans="1:8" x14ac:dyDescent="0.35">
      <c r="A202" s="3">
        <v>44488</v>
      </c>
      <c r="B202" s="1">
        <v>54.040000915527301</v>
      </c>
      <c r="C202" s="1">
        <v>54.200000762939403</v>
      </c>
      <c r="D202" s="1">
        <v>53.770000457763601</v>
      </c>
      <c r="E202" s="1">
        <v>54.150001525878899</v>
      </c>
      <c r="F202" s="1">
        <v>47.686775207519503</v>
      </c>
      <c r="G202" s="1">
        <v>11068500</v>
      </c>
      <c r="H202" s="1">
        <f t="shared" si="3"/>
        <v>3.8932497890754856E-3</v>
      </c>
    </row>
    <row r="203" spans="1:8" x14ac:dyDescent="0.35">
      <c r="A203" s="3">
        <v>44489</v>
      </c>
      <c r="B203" s="1">
        <v>54.180000305175703</v>
      </c>
      <c r="C203" s="1">
        <v>54.759998321533203</v>
      </c>
      <c r="D203" s="1">
        <v>54.110000610351499</v>
      </c>
      <c r="E203" s="1">
        <v>54.630001068115199</v>
      </c>
      <c r="F203" s="1">
        <v>48.109485626220703</v>
      </c>
      <c r="G203" s="1">
        <v>12474800</v>
      </c>
      <c r="H203" s="1">
        <f t="shared" si="3"/>
        <v>8.8643112657897875E-3</v>
      </c>
    </row>
    <row r="204" spans="1:8" x14ac:dyDescent="0.35">
      <c r="A204" s="3">
        <v>44490</v>
      </c>
      <c r="B204" s="1">
        <v>54.599998474121001</v>
      </c>
      <c r="C204" s="1">
        <v>54.669998168945298</v>
      </c>
      <c r="D204" s="1">
        <v>54.209999084472599</v>
      </c>
      <c r="E204" s="1">
        <v>54.349998474121001</v>
      </c>
      <c r="F204" s="1">
        <v>47.862903594970703</v>
      </c>
      <c r="G204" s="1">
        <v>14388300</v>
      </c>
      <c r="H204" s="1">
        <f t="shared" si="3"/>
        <v>-5.1254347877626753E-3</v>
      </c>
    </row>
    <row r="205" spans="1:8" x14ac:dyDescent="0.35">
      <c r="A205" s="3">
        <v>44491</v>
      </c>
      <c r="B205" s="1">
        <v>54.389999389648402</v>
      </c>
      <c r="C205" s="1">
        <v>54.529998779296797</v>
      </c>
      <c r="D205" s="1">
        <v>54.069999694824197</v>
      </c>
      <c r="E205" s="1">
        <v>54.450000762939403</v>
      </c>
      <c r="F205" s="1">
        <v>47.950965881347599</v>
      </c>
      <c r="G205" s="1">
        <v>12828600</v>
      </c>
      <c r="H205" s="1">
        <f t="shared" si="3"/>
        <v>1.8398860027821131E-3</v>
      </c>
    </row>
    <row r="206" spans="1:8" x14ac:dyDescent="0.35">
      <c r="A206" s="3">
        <v>44494</v>
      </c>
      <c r="B206" s="1">
        <v>54.380001068115199</v>
      </c>
      <c r="C206" s="1">
        <v>54.470001220703097</v>
      </c>
      <c r="D206" s="1">
        <v>54.020000457763601</v>
      </c>
      <c r="E206" s="1">
        <v>54.2299995422363</v>
      </c>
      <c r="F206" s="1">
        <v>47.757228851318303</v>
      </c>
      <c r="G206" s="1">
        <v>11855000</v>
      </c>
      <c r="H206" s="1">
        <f t="shared" si="3"/>
        <v>-4.0403154862133544E-3</v>
      </c>
    </row>
    <row r="207" spans="1:8" x14ac:dyDescent="0.35">
      <c r="A207" s="3">
        <v>44495</v>
      </c>
      <c r="B207" s="1">
        <v>54.319999694824197</v>
      </c>
      <c r="C207" s="1">
        <v>54.580001831054602</v>
      </c>
      <c r="D207" s="1">
        <v>54.2299995422363</v>
      </c>
      <c r="E207" s="1">
        <v>54.470001220703097</v>
      </c>
      <c r="F207" s="1">
        <v>47.968582153320298</v>
      </c>
      <c r="G207" s="1">
        <v>12086700</v>
      </c>
      <c r="H207" s="1">
        <f t="shared" si="3"/>
        <v>4.4255771761799265E-3</v>
      </c>
    </row>
    <row r="208" spans="1:8" x14ac:dyDescent="0.35">
      <c r="A208" s="3">
        <v>44496</v>
      </c>
      <c r="B208" s="1">
        <v>55.970001220703097</v>
      </c>
      <c r="C208" s="1">
        <v>56.080001831054602</v>
      </c>
      <c r="D208" s="1">
        <v>55.270000457763601</v>
      </c>
      <c r="E208" s="1">
        <v>55.520000457763601</v>
      </c>
      <c r="F208" s="1">
        <v>48.893245697021399</v>
      </c>
      <c r="G208" s="1">
        <v>24019800</v>
      </c>
      <c r="H208" s="1">
        <f t="shared" si="3"/>
        <v>1.9276440999353099E-2</v>
      </c>
    </row>
    <row r="209" spans="1:8" x14ac:dyDescent="0.35">
      <c r="A209" s="3">
        <v>44497</v>
      </c>
      <c r="B209" s="1">
        <v>55.75</v>
      </c>
      <c r="C209" s="1">
        <v>56.110000610351499</v>
      </c>
      <c r="D209" s="1">
        <v>55.619998931884702</v>
      </c>
      <c r="E209" s="1">
        <v>56.040000915527301</v>
      </c>
      <c r="F209" s="1">
        <v>49.351192474365199</v>
      </c>
      <c r="G209" s="1">
        <v>15928000</v>
      </c>
      <c r="H209" s="1">
        <f t="shared" si="3"/>
        <v>9.3662584844862954E-3</v>
      </c>
    </row>
    <row r="210" spans="1:8" x14ac:dyDescent="0.35">
      <c r="A210" s="3">
        <v>44498</v>
      </c>
      <c r="B210" s="1">
        <v>55.869998931884702</v>
      </c>
      <c r="C210" s="1">
        <v>56.470001220703097</v>
      </c>
      <c r="D210" s="1">
        <v>55.779998779296797</v>
      </c>
      <c r="E210" s="1">
        <v>56.369998931884702</v>
      </c>
      <c r="F210" s="1">
        <v>49.641803741455</v>
      </c>
      <c r="G210" s="1">
        <v>24463700</v>
      </c>
      <c r="H210" s="1">
        <f t="shared" si="3"/>
        <v>5.8886371842130289E-3</v>
      </c>
    </row>
    <row r="211" spans="1:8" x14ac:dyDescent="0.35">
      <c r="A211" s="3">
        <v>44501</v>
      </c>
      <c r="B211" s="1">
        <v>56.389999389648402</v>
      </c>
      <c r="C211" s="1">
        <v>56.400001525878899</v>
      </c>
      <c r="D211" s="1">
        <v>55.900001525878899</v>
      </c>
      <c r="E211" s="1">
        <v>56.169998168945298</v>
      </c>
      <c r="F211" s="1">
        <v>49.465679168701101</v>
      </c>
      <c r="G211" s="1">
        <v>11651100</v>
      </c>
      <c r="H211" s="1">
        <f t="shared" si="3"/>
        <v>-3.5479084054075294E-3</v>
      </c>
    </row>
    <row r="212" spans="1:8" x14ac:dyDescent="0.35">
      <c r="A212" s="3">
        <v>44502</v>
      </c>
      <c r="B212" s="1">
        <v>56.470001220703097</v>
      </c>
      <c r="C212" s="1">
        <v>56.5</v>
      </c>
      <c r="D212" s="1">
        <v>55.970001220703097</v>
      </c>
      <c r="E212" s="1">
        <v>56.099998474121001</v>
      </c>
      <c r="F212" s="1">
        <v>49.404029846191399</v>
      </c>
      <c r="G212" s="1">
        <v>11498900</v>
      </c>
      <c r="H212" s="1">
        <f t="shared" si="3"/>
        <v>-1.2463049845014491E-3</v>
      </c>
    </row>
    <row r="213" spans="1:8" x14ac:dyDescent="0.35">
      <c r="A213" s="3">
        <v>44503</v>
      </c>
      <c r="B213" s="1">
        <v>56</v>
      </c>
      <c r="C213" s="1">
        <v>56.330001831054602</v>
      </c>
      <c r="D213" s="1">
        <v>55.779998779296797</v>
      </c>
      <c r="E213" s="1">
        <v>56.290000915527301</v>
      </c>
      <c r="F213" s="1">
        <v>49.571365356445298</v>
      </c>
      <c r="G213" s="1">
        <v>10788300</v>
      </c>
      <c r="H213" s="1">
        <f t="shared" si="3"/>
        <v>3.3870822031089676E-3</v>
      </c>
    </row>
    <row r="214" spans="1:8" x14ac:dyDescent="0.35">
      <c r="A214" s="3">
        <v>44504</v>
      </c>
      <c r="B214" s="1">
        <v>56.110000610351499</v>
      </c>
      <c r="C214" s="1">
        <v>56.630001068115199</v>
      </c>
      <c r="D214" s="1">
        <v>56.029998779296797</v>
      </c>
      <c r="E214" s="1">
        <v>56.599998474121001</v>
      </c>
      <c r="F214" s="1">
        <v>49.844352722167898</v>
      </c>
      <c r="G214" s="1">
        <v>10820200</v>
      </c>
      <c r="H214" s="1">
        <f t="shared" si="3"/>
        <v>5.5069567634393477E-3</v>
      </c>
    </row>
    <row r="215" spans="1:8" x14ac:dyDescent="0.35">
      <c r="A215" s="3">
        <v>44505</v>
      </c>
      <c r="B215" s="1">
        <v>56.840000152587798</v>
      </c>
      <c r="C215" s="1">
        <v>57.159999847412102</v>
      </c>
      <c r="D215" s="1">
        <v>56.590000152587798</v>
      </c>
      <c r="E215" s="1">
        <v>56.840000152587798</v>
      </c>
      <c r="F215" s="1">
        <v>50.055706024169901</v>
      </c>
      <c r="G215" s="1">
        <v>12886700</v>
      </c>
      <c r="H215" s="1">
        <f t="shared" si="3"/>
        <v>4.2402657564856909E-3</v>
      </c>
    </row>
    <row r="216" spans="1:8" x14ac:dyDescent="0.35">
      <c r="A216" s="3">
        <v>44508</v>
      </c>
      <c r="B216" s="1">
        <v>56.75</v>
      </c>
      <c r="C216" s="1">
        <v>56.889999389648402</v>
      </c>
      <c r="D216" s="1">
        <v>56.130001068115199</v>
      </c>
      <c r="E216" s="1">
        <v>56.330001831054602</v>
      </c>
      <c r="F216" s="1">
        <v>49.606578826904297</v>
      </c>
      <c r="G216" s="1">
        <v>12828000</v>
      </c>
      <c r="H216" s="1">
        <f t="shared" si="3"/>
        <v>-8.9725474464137627E-3</v>
      </c>
    </row>
    <row r="217" spans="1:8" x14ac:dyDescent="0.35">
      <c r="A217" s="3">
        <v>44509</v>
      </c>
      <c r="B217" s="1">
        <v>56.409999847412102</v>
      </c>
      <c r="C217" s="1">
        <v>56.520000457763601</v>
      </c>
      <c r="D217" s="1">
        <v>56.090000152587798</v>
      </c>
      <c r="E217" s="1">
        <v>56.490001678466797</v>
      </c>
      <c r="F217" s="1">
        <v>49.747482299804602</v>
      </c>
      <c r="G217" s="1">
        <v>10155800</v>
      </c>
      <c r="H217" s="1">
        <f t="shared" si="3"/>
        <v>2.8404190781220712E-3</v>
      </c>
    </row>
    <row r="218" spans="1:8" x14ac:dyDescent="0.35">
      <c r="A218" s="3">
        <v>44510</v>
      </c>
      <c r="B218" s="1">
        <v>56.540000915527301</v>
      </c>
      <c r="C218" s="1">
        <v>56.919998168945298</v>
      </c>
      <c r="D218" s="1">
        <v>56.290000915527301</v>
      </c>
      <c r="E218" s="1">
        <v>56.720001220703097</v>
      </c>
      <c r="F218" s="1">
        <v>49.950027465820298</v>
      </c>
      <c r="G218" s="1">
        <v>8813600</v>
      </c>
      <c r="H218" s="1">
        <f t="shared" si="3"/>
        <v>4.0714656632279784E-3</v>
      </c>
    </row>
    <row r="219" spans="1:8" x14ac:dyDescent="0.35">
      <c r="A219" s="3">
        <v>44511</v>
      </c>
      <c r="B219" s="1">
        <v>56.830001831054602</v>
      </c>
      <c r="C219" s="1">
        <v>56.880001068115199</v>
      </c>
      <c r="D219" s="1">
        <v>56.569999694824197</v>
      </c>
      <c r="E219" s="1">
        <v>56.740001678466797</v>
      </c>
      <c r="F219" s="1">
        <v>49.967643737792898</v>
      </c>
      <c r="G219" s="1">
        <v>7257700</v>
      </c>
      <c r="H219" s="1">
        <f t="shared" si="3"/>
        <v>3.5267792364386254E-4</v>
      </c>
    </row>
    <row r="220" spans="1:8" x14ac:dyDescent="0.35">
      <c r="A220" s="3">
        <v>44512</v>
      </c>
      <c r="B220" s="1">
        <v>56.75</v>
      </c>
      <c r="C220" s="1">
        <v>56.990001678466797</v>
      </c>
      <c r="D220" s="1">
        <v>56.549999237060497</v>
      </c>
      <c r="E220" s="1">
        <v>56.610000610351499</v>
      </c>
      <c r="F220" s="1">
        <v>49.853153228759702</v>
      </c>
      <c r="G220" s="1">
        <v>10162500</v>
      </c>
      <c r="H220" s="1">
        <f t="shared" si="3"/>
        <v>-2.2912929341633416E-3</v>
      </c>
    </row>
    <row r="221" spans="1:8" x14ac:dyDescent="0.35">
      <c r="A221" s="3">
        <v>44515</v>
      </c>
      <c r="B221" s="1">
        <v>56.529998779296797</v>
      </c>
      <c r="C221" s="1">
        <v>56.680000305175703</v>
      </c>
      <c r="D221" s="1">
        <v>56.270000457763601</v>
      </c>
      <c r="E221" s="1">
        <v>56.619998931884702</v>
      </c>
      <c r="F221" s="1">
        <v>49.861965179443303</v>
      </c>
      <c r="G221" s="1">
        <v>10289200</v>
      </c>
      <c r="H221" s="1">
        <f t="shared" si="3"/>
        <v>1.7675814091770115E-4</v>
      </c>
    </row>
    <row r="222" spans="1:8" x14ac:dyDescent="0.35">
      <c r="A222" s="3">
        <v>44516</v>
      </c>
      <c r="B222" s="1">
        <v>56.619998931884702</v>
      </c>
      <c r="C222" s="1">
        <v>56.939998626708899</v>
      </c>
      <c r="D222" s="1">
        <v>56.189998626708899</v>
      </c>
      <c r="E222" s="1">
        <v>56.220001220703097</v>
      </c>
      <c r="F222" s="1">
        <v>49.5097045898437</v>
      </c>
      <c r="G222" s="1">
        <v>13756500</v>
      </c>
      <c r="H222" s="1">
        <f t="shared" si="3"/>
        <v>-7.0647153262388762E-3</v>
      </c>
    </row>
    <row r="223" spans="1:8" x14ac:dyDescent="0.35">
      <c r="A223" s="3">
        <v>44517</v>
      </c>
      <c r="B223" s="1">
        <v>56.040000915527301</v>
      </c>
      <c r="C223" s="1">
        <v>56.049999237060497</v>
      </c>
      <c r="D223" s="1">
        <v>55.650001525878899</v>
      </c>
      <c r="E223" s="1">
        <v>55.909999847412102</v>
      </c>
      <c r="F223" s="1">
        <v>49.2367134094238</v>
      </c>
      <c r="G223" s="1">
        <v>13288700</v>
      </c>
      <c r="H223" s="1">
        <f t="shared" si="3"/>
        <v>-5.5138923304321489E-3</v>
      </c>
    </row>
    <row r="224" spans="1:8" x14ac:dyDescent="0.35">
      <c r="A224" s="3">
        <v>44518</v>
      </c>
      <c r="B224" s="1">
        <v>55.830001831054602</v>
      </c>
      <c r="C224" s="1">
        <v>55.930000305175703</v>
      </c>
      <c r="D224" s="1">
        <v>55.139999389648402</v>
      </c>
      <c r="E224" s="1">
        <v>55.409999847412102</v>
      </c>
      <c r="F224" s="1">
        <v>48.796382904052699</v>
      </c>
      <c r="G224" s="1">
        <v>15380100</v>
      </c>
      <c r="H224" s="1">
        <f t="shared" si="3"/>
        <v>-8.9431335863051856E-3</v>
      </c>
    </row>
    <row r="225" spans="1:8" x14ac:dyDescent="0.35">
      <c r="A225" s="3">
        <v>44519</v>
      </c>
      <c r="B225" s="1">
        <v>55.439998626708899</v>
      </c>
      <c r="C225" s="1">
        <v>55.490001678466797</v>
      </c>
      <c r="D225" s="1">
        <v>54.900001525878899</v>
      </c>
      <c r="E225" s="1">
        <v>55.130001068115199</v>
      </c>
      <c r="F225" s="1">
        <v>48.549808502197202</v>
      </c>
      <c r="G225" s="1">
        <v>15813700</v>
      </c>
      <c r="H225" s="1">
        <f t="shared" si="3"/>
        <v>-5.0531286784172352E-3</v>
      </c>
    </row>
    <row r="226" spans="1:8" x14ac:dyDescent="0.35">
      <c r="A226" s="3">
        <v>44522</v>
      </c>
      <c r="B226" s="1">
        <v>55.099998474121001</v>
      </c>
      <c r="C226" s="1">
        <v>56.020000457763601</v>
      </c>
      <c r="D226" s="1">
        <v>55.080001831054602</v>
      </c>
      <c r="E226" s="1">
        <v>55.470001220703097</v>
      </c>
      <c r="F226" s="1">
        <v>48.849220275878899</v>
      </c>
      <c r="G226" s="1">
        <v>16905600</v>
      </c>
      <c r="H226" s="1">
        <f t="shared" si="3"/>
        <v>6.1671051425083809E-3</v>
      </c>
    </row>
    <row r="227" spans="1:8" x14ac:dyDescent="0.35">
      <c r="A227" s="3">
        <v>44523</v>
      </c>
      <c r="B227" s="1">
        <v>55.659999847412102</v>
      </c>
      <c r="C227" s="1">
        <v>56.110000610351499</v>
      </c>
      <c r="D227" s="1">
        <v>55.5</v>
      </c>
      <c r="E227" s="1">
        <v>55.880001068115199</v>
      </c>
      <c r="F227" s="1">
        <v>49.210277557372997</v>
      </c>
      <c r="G227" s="1">
        <v>13835900</v>
      </c>
      <c r="H227" s="1">
        <f t="shared" si="3"/>
        <v>7.3912598697585211E-3</v>
      </c>
    </row>
    <row r="228" spans="1:8" x14ac:dyDescent="0.35">
      <c r="A228" s="3">
        <v>44524</v>
      </c>
      <c r="B228" s="1">
        <v>55.709999084472599</v>
      </c>
      <c r="C228" s="1">
        <v>55.840000152587798</v>
      </c>
      <c r="D228" s="1">
        <v>55.029998779296797</v>
      </c>
      <c r="E228" s="1">
        <v>55.430000305175703</v>
      </c>
      <c r="F228" s="1">
        <v>48.813999176025298</v>
      </c>
      <c r="G228" s="1">
        <v>12598900</v>
      </c>
      <c r="H228" s="1">
        <f t="shared" si="3"/>
        <v>-8.0527564772559582E-3</v>
      </c>
    </row>
    <row r="229" spans="1:8" x14ac:dyDescent="0.35">
      <c r="A229" s="3">
        <v>44526</v>
      </c>
      <c r="B229" s="1">
        <v>54.590000152587798</v>
      </c>
      <c r="C229" s="1">
        <v>54.75</v>
      </c>
      <c r="D229" s="1">
        <v>53.580001831054602</v>
      </c>
      <c r="E229" s="1">
        <v>53.7299995422363</v>
      </c>
      <c r="F229" s="1">
        <v>47.3169136047363</v>
      </c>
      <c r="G229" s="1">
        <v>14754300</v>
      </c>
      <c r="H229" s="1">
        <f t="shared" si="3"/>
        <v>-3.0669184999377864E-2</v>
      </c>
    </row>
    <row r="230" spans="1:8" x14ac:dyDescent="0.35">
      <c r="A230" s="3">
        <v>44529</v>
      </c>
      <c r="B230" s="1">
        <v>54.049999237060497</v>
      </c>
      <c r="C230" s="1">
        <v>54.7299995422363</v>
      </c>
      <c r="D230" s="1">
        <v>53.930000305175703</v>
      </c>
      <c r="E230" s="1">
        <v>54.580001831054602</v>
      </c>
      <c r="F230" s="1">
        <v>48.0654487609863</v>
      </c>
      <c r="G230" s="1">
        <v>22712500</v>
      </c>
      <c r="H230" s="1">
        <f t="shared" si="3"/>
        <v>1.5819610773917289E-2</v>
      </c>
    </row>
    <row r="231" spans="1:8" x14ac:dyDescent="0.35">
      <c r="A231" s="3">
        <v>44530</v>
      </c>
      <c r="B231" s="1">
        <v>53.599998474121001</v>
      </c>
      <c r="C231" s="1">
        <v>53.630001068115199</v>
      </c>
      <c r="D231" s="1">
        <v>52.439998626708899</v>
      </c>
      <c r="E231" s="1">
        <v>52.450000762939403</v>
      </c>
      <c r="F231" s="1">
        <v>46.547878265380803</v>
      </c>
      <c r="G231" s="1">
        <v>30485200</v>
      </c>
      <c r="H231" s="1">
        <f t="shared" si="3"/>
        <v>-3.1573001703403977E-2</v>
      </c>
    </row>
    <row r="232" spans="1:8" x14ac:dyDescent="0.35">
      <c r="A232" s="3">
        <v>44531</v>
      </c>
      <c r="B232" s="1">
        <v>52.9799995422363</v>
      </c>
      <c r="C232" s="1">
        <v>53.520000457763601</v>
      </c>
      <c r="D232" s="1">
        <v>52.279998779296797</v>
      </c>
      <c r="E232" s="1">
        <v>52.299999237060497</v>
      </c>
      <c r="F232" s="1">
        <v>46.414756774902301</v>
      </c>
      <c r="G232" s="1">
        <v>18719600</v>
      </c>
      <c r="H232" s="1">
        <f t="shared" si="3"/>
        <v>-2.8598831018579051E-3</v>
      </c>
    </row>
    <row r="233" spans="1:8" x14ac:dyDescent="0.35">
      <c r="A233" s="3">
        <v>44532</v>
      </c>
      <c r="B233" s="1">
        <v>52.599998474121001</v>
      </c>
      <c r="C233" s="1">
        <v>53.340000152587798</v>
      </c>
      <c r="D233" s="1">
        <v>52.509998321533203</v>
      </c>
      <c r="E233" s="1">
        <v>53.069999694824197</v>
      </c>
      <c r="F233" s="1">
        <v>47.098114013671797</v>
      </c>
      <c r="G233" s="1">
        <v>17074200</v>
      </c>
      <c r="H233" s="1">
        <f t="shared" si="3"/>
        <v>1.4722844333399701E-2</v>
      </c>
    </row>
    <row r="234" spans="1:8" x14ac:dyDescent="0.35">
      <c r="A234" s="3">
        <v>44533</v>
      </c>
      <c r="B234" s="1">
        <v>53.330001831054602</v>
      </c>
      <c r="C234" s="1">
        <v>53.610000610351499</v>
      </c>
      <c r="D234" s="1">
        <v>52.9799995422363</v>
      </c>
      <c r="E234" s="1">
        <v>53.540000915527301</v>
      </c>
      <c r="F234" s="1">
        <v>47.515220642089801</v>
      </c>
      <c r="G234" s="1">
        <v>21064400</v>
      </c>
      <c r="H234" s="1">
        <f t="shared" si="3"/>
        <v>8.8561216760595796E-3</v>
      </c>
    </row>
    <row r="235" spans="1:8" x14ac:dyDescent="0.35">
      <c r="A235" s="3">
        <v>44536</v>
      </c>
      <c r="B235" s="1">
        <v>54.310001373291001</v>
      </c>
      <c r="C235" s="1">
        <v>55.25</v>
      </c>
      <c r="D235" s="1">
        <v>54.139999389648402</v>
      </c>
      <c r="E235" s="1">
        <v>54.909999847412102</v>
      </c>
      <c r="F235" s="1">
        <v>48.731060028076101</v>
      </c>
      <c r="G235" s="1">
        <v>26624100</v>
      </c>
      <c r="H235" s="1">
        <f t="shared" si="3"/>
        <v>2.5588419238219598E-2</v>
      </c>
    </row>
    <row r="236" spans="1:8" x14ac:dyDescent="0.35">
      <c r="A236" s="3">
        <v>44537</v>
      </c>
      <c r="B236" s="1">
        <v>55.020000457763601</v>
      </c>
      <c r="C236" s="1">
        <v>55.419998168945298</v>
      </c>
      <c r="D236" s="1">
        <v>54.849998474121001</v>
      </c>
      <c r="E236" s="1">
        <v>55.209999084472599</v>
      </c>
      <c r="F236" s="1">
        <v>48.997303009033203</v>
      </c>
      <c r="G236" s="1">
        <v>23832700</v>
      </c>
      <c r="H236" s="1">
        <f t="shared" si="3"/>
        <v>5.4635171244727292E-3</v>
      </c>
    </row>
    <row r="237" spans="1:8" x14ac:dyDescent="0.35">
      <c r="A237" s="3">
        <v>44538</v>
      </c>
      <c r="B237" s="1">
        <v>55.119998931884702</v>
      </c>
      <c r="C237" s="1">
        <v>55.349998474121001</v>
      </c>
      <c r="D237" s="1">
        <v>54.360000610351499</v>
      </c>
      <c r="E237" s="1">
        <v>55</v>
      </c>
      <c r="F237" s="1">
        <v>48.810935974121001</v>
      </c>
      <c r="G237" s="1">
        <v>18026300</v>
      </c>
      <c r="H237" s="1">
        <f t="shared" si="3"/>
        <v>-3.8036182293103541E-3</v>
      </c>
    </row>
    <row r="238" spans="1:8" x14ac:dyDescent="0.35">
      <c r="A238" s="3">
        <v>44539</v>
      </c>
      <c r="B238" s="1">
        <v>54.75</v>
      </c>
      <c r="C238" s="1">
        <v>55.130001068115199</v>
      </c>
      <c r="D238" s="1">
        <v>54.590000152587798</v>
      </c>
      <c r="E238" s="1">
        <v>54.860000610351499</v>
      </c>
      <c r="F238" s="1">
        <v>48.686695098876903</v>
      </c>
      <c r="G238" s="1">
        <v>13846400</v>
      </c>
      <c r="H238" s="1">
        <f t="shared" si="3"/>
        <v>-2.5453491674482351E-3</v>
      </c>
    </row>
    <row r="239" spans="1:8" x14ac:dyDescent="0.35">
      <c r="A239" s="3">
        <v>44540</v>
      </c>
      <c r="B239" s="1">
        <v>55.25</v>
      </c>
      <c r="C239" s="1">
        <v>56.319999694824197</v>
      </c>
      <c r="D239" s="1">
        <v>55.069999694824197</v>
      </c>
      <c r="E239" s="1">
        <v>56.279998779296797</v>
      </c>
      <c r="F239" s="1">
        <v>49.946891784667898</v>
      </c>
      <c r="G239" s="1">
        <v>23153600</v>
      </c>
      <c r="H239" s="1">
        <f t="shared" si="3"/>
        <v>2.5883800147693006E-2</v>
      </c>
    </row>
    <row r="240" spans="1:8" x14ac:dyDescent="0.35">
      <c r="A240" s="3">
        <v>44543</v>
      </c>
      <c r="B240" s="1">
        <v>56.9799995422363</v>
      </c>
      <c r="C240" s="1">
        <v>57.930000305175703</v>
      </c>
      <c r="D240" s="1">
        <v>56.959999084472599</v>
      </c>
      <c r="E240" s="1">
        <v>57.759998321533203</v>
      </c>
      <c r="F240" s="1">
        <v>51.260353088378899</v>
      </c>
      <c r="G240" s="1">
        <v>31362800</v>
      </c>
      <c r="H240" s="1">
        <f t="shared" si="3"/>
        <v>2.6297157976789103E-2</v>
      </c>
    </row>
    <row r="241" spans="1:8" x14ac:dyDescent="0.35">
      <c r="A241" s="3">
        <v>44544</v>
      </c>
      <c r="B241" s="1">
        <v>57.400001525878899</v>
      </c>
      <c r="C241" s="1">
        <v>58.169998168945298</v>
      </c>
      <c r="D241" s="1">
        <v>57.400001525878899</v>
      </c>
      <c r="E241" s="1">
        <v>57.799999237060497</v>
      </c>
      <c r="F241" s="1">
        <v>51.295852661132798</v>
      </c>
      <c r="G241" s="1">
        <v>24806600</v>
      </c>
      <c r="H241" s="1">
        <f t="shared" si="3"/>
        <v>6.9253469036184144E-4</v>
      </c>
    </row>
    <row r="242" spans="1:8" x14ac:dyDescent="0.35">
      <c r="A242" s="3">
        <v>44545</v>
      </c>
      <c r="B242" s="1">
        <v>57.930000305175703</v>
      </c>
      <c r="C242" s="1">
        <v>58.25</v>
      </c>
      <c r="D242" s="1">
        <v>57.650001525878899</v>
      </c>
      <c r="E242" s="1">
        <v>58.060001373291001</v>
      </c>
      <c r="F242" s="1">
        <v>51.526596069335902</v>
      </c>
      <c r="G242" s="1">
        <v>24923800</v>
      </c>
      <c r="H242" s="1">
        <f t="shared" si="3"/>
        <v>4.4982858502699086E-3</v>
      </c>
    </row>
    <row r="243" spans="1:8" x14ac:dyDescent="0.35">
      <c r="A243" s="3">
        <v>44546</v>
      </c>
      <c r="B243" s="1">
        <v>57.9799995422363</v>
      </c>
      <c r="C243" s="1">
        <v>58.880001068115199</v>
      </c>
      <c r="D243" s="1">
        <v>57.900001525878899</v>
      </c>
      <c r="E243" s="1">
        <v>58.650001525878899</v>
      </c>
      <c r="F243" s="1">
        <v>52.050201416015597</v>
      </c>
      <c r="G243" s="1">
        <v>24696900</v>
      </c>
      <c r="H243" s="1">
        <f t="shared" si="3"/>
        <v>1.0161846242959923E-2</v>
      </c>
    </row>
    <row r="244" spans="1:8" x14ac:dyDescent="0.35">
      <c r="A244" s="3">
        <v>44547</v>
      </c>
      <c r="B244" s="1">
        <v>58.490001678466797</v>
      </c>
      <c r="C244" s="1">
        <v>58.919998168945298</v>
      </c>
      <c r="D244" s="1">
        <v>57.700000762939403</v>
      </c>
      <c r="E244" s="1">
        <v>57.7299995422363</v>
      </c>
      <c r="F244" s="1">
        <v>51.2337226867675</v>
      </c>
      <c r="G244" s="1">
        <v>51874400</v>
      </c>
      <c r="H244" s="1">
        <f t="shared" si="3"/>
        <v>-1.5686370216367117E-2</v>
      </c>
    </row>
    <row r="245" spans="1:8" x14ac:dyDescent="0.35">
      <c r="A245" s="3">
        <v>44550</v>
      </c>
      <c r="B245" s="1">
        <v>57.200000762939403</v>
      </c>
      <c r="C245" s="1">
        <v>57.779998779296797</v>
      </c>
      <c r="D245" s="1">
        <v>57</v>
      </c>
      <c r="E245" s="1">
        <v>57.540000915527301</v>
      </c>
      <c r="F245" s="1">
        <v>51.065109252929602</v>
      </c>
      <c r="G245" s="1">
        <v>20879500</v>
      </c>
      <c r="H245" s="1">
        <f t="shared" si="3"/>
        <v>-3.291063483104005E-3</v>
      </c>
    </row>
    <row r="246" spans="1:8" x14ac:dyDescent="0.35">
      <c r="A246" s="3">
        <v>44551</v>
      </c>
      <c r="B246" s="1">
        <v>57.610000610351499</v>
      </c>
      <c r="C246" s="1">
        <v>57.970001220703097</v>
      </c>
      <c r="D246" s="1">
        <v>57.529998779296797</v>
      </c>
      <c r="E246" s="1">
        <v>57.770000457763601</v>
      </c>
      <c r="F246" s="1">
        <v>51.269229888916001</v>
      </c>
      <c r="G246" s="1">
        <v>15864900</v>
      </c>
      <c r="H246" s="1">
        <f t="shared" si="3"/>
        <v>3.9972622985172367E-3</v>
      </c>
    </row>
    <row r="247" spans="1:8" x14ac:dyDescent="0.35">
      <c r="A247" s="3">
        <v>44552</v>
      </c>
      <c r="B247" s="1">
        <v>57.709999084472599</v>
      </c>
      <c r="C247" s="1">
        <v>58.189998626708899</v>
      </c>
      <c r="D247" s="1">
        <v>57.490001678466797</v>
      </c>
      <c r="E247" s="1">
        <v>58.180000305175703</v>
      </c>
      <c r="F247" s="1">
        <v>51.633090972900298</v>
      </c>
      <c r="G247" s="1">
        <v>12447400</v>
      </c>
      <c r="H247" s="1">
        <f t="shared" si="3"/>
        <v>7.0970655259044706E-3</v>
      </c>
    </row>
    <row r="248" spans="1:8" x14ac:dyDescent="0.35">
      <c r="A248" s="3">
        <v>44553</v>
      </c>
      <c r="B248" s="1">
        <v>58.520000457763601</v>
      </c>
      <c r="C248" s="1">
        <v>58.610000610351499</v>
      </c>
      <c r="D248" s="1">
        <v>57.939998626708899</v>
      </c>
      <c r="E248" s="1">
        <v>58.220001220703097</v>
      </c>
      <c r="F248" s="1">
        <v>51.668590545654297</v>
      </c>
      <c r="G248" s="1">
        <v>11027300</v>
      </c>
      <c r="H248" s="1">
        <f t="shared" si="3"/>
        <v>6.8753530120113518E-4</v>
      </c>
    </row>
    <row r="249" spans="1:8" x14ac:dyDescent="0.35">
      <c r="A249" s="3">
        <v>44557</v>
      </c>
      <c r="B249" s="1">
        <v>58</v>
      </c>
      <c r="C249" s="1">
        <v>58.689998626708899</v>
      </c>
      <c r="D249" s="1">
        <v>58</v>
      </c>
      <c r="E249" s="1">
        <v>58.650001525878899</v>
      </c>
      <c r="F249" s="1">
        <v>52.050201416015597</v>
      </c>
      <c r="G249" s="1">
        <v>9860000</v>
      </c>
      <c r="H249" s="1">
        <f t="shared" si="3"/>
        <v>7.3857418275056069E-3</v>
      </c>
    </row>
    <row r="250" spans="1:8" x14ac:dyDescent="0.35">
      <c r="A250" s="3">
        <v>44558</v>
      </c>
      <c r="B250" s="1">
        <v>58.400001525878899</v>
      </c>
      <c r="C250" s="1">
        <v>58.939998626708899</v>
      </c>
      <c r="D250" s="1">
        <v>58.299999237060497</v>
      </c>
      <c r="E250" s="1">
        <v>58.880001068115199</v>
      </c>
      <c r="F250" s="1">
        <v>52.254318237304602</v>
      </c>
      <c r="G250" s="1">
        <v>8979900</v>
      </c>
      <c r="H250" s="1">
        <f t="shared" si="3"/>
        <v>3.9215375874837614E-3</v>
      </c>
    </row>
    <row r="251" spans="1:8" x14ac:dyDescent="0.35">
      <c r="A251" s="3">
        <v>44559</v>
      </c>
      <c r="B251" s="1">
        <v>58.950000762939403</v>
      </c>
      <c r="C251" s="1">
        <v>59.099998474121001</v>
      </c>
      <c r="D251" s="1">
        <v>58.659999847412102</v>
      </c>
      <c r="E251" s="1">
        <v>58.950000762939403</v>
      </c>
      <c r="F251" s="1">
        <v>52.316440582275298</v>
      </c>
      <c r="G251" s="1">
        <v>9996000</v>
      </c>
      <c r="H251" s="1">
        <f t="shared" si="3"/>
        <v>1.1888461483427525E-3</v>
      </c>
    </row>
    <row r="252" spans="1:8" x14ac:dyDescent="0.35">
      <c r="A252" s="3">
        <v>44560</v>
      </c>
      <c r="B252" s="1">
        <v>59.060001373291001</v>
      </c>
      <c r="C252" s="1">
        <v>59.2299995422363</v>
      </c>
      <c r="D252" s="1">
        <v>58.759998321533203</v>
      </c>
      <c r="E252" s="1">
        <v>58.779998779296797</v>
      </c>
      <c r="F252" s="1">
        <v>52.165569305419901</v>
      </c>
      <c r="G252" s="1">
        <v>7703900</v>
      </c>
      <c r="H252" s="1">
        <f t="shared" si="3"/>
        <v>-2.8838215133946358E-3</v>
      </c>
    </row>
    <row r="253" spans="1:8" x14ac:dyDescent="0.35">
      <c r="A253" s="3">
        <v>44561</v>
      </c>
      <c r="B253" s="1">
        <v>58.75</v>
      </c>
      <c r="C253" s="1">
        <v>59.349998474121001</v>
      </c>
      <c r="D253" s="1">
        <v>58.700000762939403</v>
      </c>
      <c r="E253" s="1">
        <v>59.209999084472599</v>
      </c>
      <c r="F253" s="1">
        <v>52.547183990478501</v>
      </c>
      <c r="G253" s="1">
        <v>10021300</v>
      </c>
      <c r="H253" s="1">
        <f t="shared" si="3"/>
        <v>7.3154513626471976E-3</v>
      </c>
    </row>
    <row r="254" spans="1:8" x14ac:dyDescent="0.35">
      <c r="A254" s="3">
        <v>44564</v>
      </c>
      <c r="B254" s="1">
        <v>58.819999694824197</v>
      </c>
      <c r="C254" s="1">
        <v>59.310001373291001</v>
      </c>
      <c r="D254" s="1">
        <v>58.380001068115199</v>
      </c>
      <c r="E254" s="1">
        <v>59.299999237060497</v>
      </c>
      <c r="F254" s="1">
        <v>52.627056121826101</v>
      </c>
      <c r="G254" s="1">
        <v>20187300</v>
      </c>
      <c r="H254" s="1">
        <f t="shared" si="3"/>
        <v>1.5200078345220585E-3</v>
      </c>
    </row>
    <row r="255" spans="1:8" x14ac:dyDescent="0.35">
      <c r="A255" s="3">
        <v>44565</v>
      </c>
      <c r="B255" s="1">
        <v>59.7299995422363</v>
      </c>
      <c r="C255" s="1">
        <v>60.540000915527301</v>
      </c>
      <c r="D255" s="1">
        <v>59.590000152587798</v>
      </c>
      <c r="E255" s="1">
        <v>60.290000915527301</v>
      </c>
      <c r="F255" s="1">
        <v>53.505657196044901</v>
      </c>
      <c r="G255" s="1">
        <v>26141600</v>
      </c>
      <c r="H255" s="1">
        <f t="shared" si="3"/>
        <v>1.6694855060578169E-2</v>
      </c>
    </row>
    <row r="256" spans="1:8" x14ac:dyDescent="0.35">
      <c r="A256" s="3">
        <v>44566</v>
      </c>
      <c r="B256" s="1">
        <v>60.090000152587798</v>
      </c>
      <c r="C256" s="1">
        <v>61.200000762939403</v>
      </c>
      <c r="D256" s="1">
        <v>60.049999237060497</v>
      </c>
      <c r="E256" s="1">
        <v>60.790000915527301</v>
      </c>
      <c r="F256" s="1">
        <v>53.949394226074197</v>
      </c>
      <c r="G256" s="1">
        <v>22507300</v>
      </c>
      <c r="H256" s="1">
        <f t="shared" si="3"/>
        <v>8.293273146864507E-3</v>
      </c>
    </row>
    <row r="257" spans="1:8" x14ac:dyDescent="0.35">
      <c r="A257" s="3">
        <v>44567</v>
      </c>
      <c r="B257" s="1">
        <v>60.470001220703097</v>
      </c>
      <c r="C257" s="1">
        <v>61.119998931884702</v>
      </c>
      <c r="D257" s="1">
        <v>60.439998626708899</v>
      </c>
      <c r="E257" s="1">
        <v>60.470001220703097</v>
      </c>
      <c r="F257" s="1">
        <v>53.665409088134702</v>
      </c>
      <c r="G257" s="1">
        <v>17902300</v>
      </c>
      <c r="H257" s="1">
        <f t="shared" si="3"/>
        <v>-5.2639170840261878E-3</v>
      </c>
    </row>
    <row r="258" spans="1:8" x14ac:dyDescent="0.35">
      <c r="A258" s="3">
        <v>44568</v>
      </c>
      <c r="B258" s="1">
        <v>60.279998779296797</v>
      </c>
      <c r="C258" s="1">
        <v>60.720001220703097</v>
      </c>
      <c r="D258" s="1">
        <v>60.060001373291001</v>
      </c>
      <c r="E258" s="1">
        <v>60.330001831054602</v>
      </c>
      <c r="F258" s="1">
        <v>53.541149139404297</v>
      </c>
      <c r="G258" s="1">
        <v>12307900</v>
      </c>
      <c r="H258" s="1">
        <f t="shared" si="3"/>
        <v>-2.3154570298035498E-3</v>
      </c>
    </row>
    <row r="259" spans="1:8" x14ac:dyDescent="0.35">
      <c r="A259" s="3">
        <v>44571</v>
      </c>
      <c r="B259" s="1">
        <v>60.549999237060497</v>
      </c>
      <c r="C259" s="1">
        <v>60.819999694824197</v>
      </c>
      <c r="D259" s="1">
        <v>60.180000305175703</v>
      </c>
      <c r="E259" s="1">
        <v>60.430000305175703</v>
      </c>
      <c r="F259" s="1">
        <v>53.629905700683501</v>
      </c>
      <c r="G259" s="1">
        <v>20954300</v>
      </c>
      <c r="H259" s="1">
        <f t="shared" si="3"/>
        <v>1.6577261173104515E-3</v>
      </c>
    </row>
    <row r="260" spans="1:8" x14ac:dyDescent="0.35">
      <c r="A260" s="3">
        <v>44572</v>
      </c>
      <c r="B260" s="1">
        <v>60.430000305175703</v>
      </c>
      <c r="C260" s="1">
        <v>60.490001678466797</v>
      </c>
      <c r="D260" s="1">
        <v>59.840000152587798</v>
      </c>
      <c r="E260" s="1">
        <v>60.450000762939403</v>
      </c>
      <c r="F260" s="1">
        <v>53.647647857666001</v>
      </c>
      <c r="G260" s="1">
        <v>19369600</v>
      </c>
      <c r="H260" s="1">
        <f t="shared" ref="H260:H323" si="4">(F260-F259)/F259</f>
        <v>3.3082580979205256E-4</v>
      </c>
    </row>
    <row r="261" spans="1:8" x14ac:dyDescent="0.35">
      <c r="A261" s="3">
        <v>44573</v>
      </c>
      <c r="B261" s="1">
        <v>60.529998779296797</v>
      </c>
      <c r="C261" s="1">
        <v>60.689998626708899</v>
      </c>
      <c r="D261" s="1">
        <v>60.189998626708899</v>
      </c>
      <c r="E261" s="1">
        <v>60.540000915527301</v>
      </c>
      <c r="F261" s="1">
        <v>53.727523803710902</v>
      </c>
      <c r="G261" s="1">
        <v>15753800</v>
      </c>
      <c r="H261" s="1">
        <f t="shared" si="4"/>
        <v>1.4888993131035595E-3</v>
      </c>
    </row>
    <row r="262" spans="1:8" x14ac:dyDescent="0.35">
      <c r="A262" s="3">
        <v>44574</v>
      </c>
      <c r="B262" s="1">
        <v>60.540000915527301</v>
      </c>
      <c r="C262" s="1">
        <v>61.040000915527301</v>
      </c>
      <c r="D262" s="1">
        <v>60.389999389648402</v>
      </c>
      <c r="E262" s="1">
        <v>60.900001525878899</v>
      </c>
      <c r="F262" s="1">
        <v>54.047008514404297</v>
      </c>
      <c r="G262" s="1">
        <v>14318000</v>
      </c>
      <c r="H262" s="1">
        <f t="shared" si="4"/>
        <v>5.9463881466156167E-3</v>
      </c>
    </row>
    <row r="263" spans="1:8" x14ac:dyDescent="0.35">
      <c r="A263" s="3">
        <v>44575</v>
      </c>
      <c r="B263" s="1">
        <v>60.939998626708899</v>
      </c>
      <c r="C263" s="1">
        <v>61.450000762939403</v>
      </c>
      <c r="D263" s="1">
        <v>60.360000610351499</v>
      </c>
      <c r="E263" s="1">
        <v>61.389999389648402</v>
      </c>
      <c r="F263" s="1">
        <v>54.481876373291001</v>
      </c>
      <c r="G263" s="1">
        <v>19729600</v>
      </c>
      <c r="H263" s="1">
        <f t="shared" si="4"/>
        <v>8.0461041386001245E-3</v>
      </c>
    </row>
    <row r="264" spans="1:8" x14ac:dyDescent="0.35">
      <c r="A264" s="3">
        <v>44579</v>
      </c>
      <c r="B264" s="1">
        <v>61.060001373291001</v>
      </c>
      <c r="C264" s="1">
        <v>61.189998626708899</v>
      </c>
      <c r="D264" s="1">
        <v>60.450000762939403</v>
      </c>
      <c r="E264" s="1">
        <v>60.900001525878899</v>
      </c>
      <c r="F264" s="1">
        <v>54.047008514404297</v>
      </c>
      <c r="G264" s="1">
        <v>21976700</v>
      </c>
      <c r="H264" s="1">
        <f t="shared" si="4"/>
        <v>-7.9818810921110754E-3</v>
      </c>
    </row>
    <row r="265" spans="1:8" x14ac:dyDescent="0.35">
      <c r="A265" s="3">
        <v>44580</v>
      </c>
      <c r="B265" s="1">
        <v>60.659999847412102</v>
      </c>
      <c r="C265" s="1">
        <v>61.180000305175703</v>
      </c>
      <c r="D265" s="1">
        <v>60.560001373291001</v>
      </c>
      <c r="E265" s="1">
        <v>61</v>
      </c>
      <c r="F265" s="1">
        <v>54.135757446288999</v>
      </c>
      <c r="G265" s="1">
        <v>18654700</v>
      </c>
      <c r="H265" s="1">
        <f t="shared" si="4"/>
        <v>1.642069271253909E-3</v>
      </c>
    </row>
    <row r="266" spans="1:8" x14ac:dyDescent="0.35">
      <c r="A266" s="3">
        <v>44581</v>
      </c>
      <c r="B266" s="1">
        <v>61</v>
      </c>
      <c r="C266" s="1">
        <v>61.439998626708899</v>
      </c>
      <c r="D266" s="1">
        <v>60.720001220703097</v>
      </c>
      <c r="E266" s="1">
        <v>60.75</v>
      </c>
      <c r="F266" s="1">
        <v>53.913890838622997</v>
      </c>
      <c r="G266" s="1">
        <v>23002400</v>
      </c>
      <c r="H266" s="1">
        <f t="shared" si="4"/>
        <v>-4.0983375523308638E-3</v>
      </c>
    </row>
    <row r="267" spans="1:8" x14ac:dyDescent="0.35">
      <c r="A267" s="3">
        <v>44582</v>
      </c>
      <c r="B267" s="1">
        <v>61.080001831054602</v>
      </c>
      <c r="C267" s="1">
        <v>61.299999237060497</v>
      </c>
      <c r="D267" s="1">
        <v>60.400001525878899</v>
      </c>
      <c r="E267" s="1">
        <v>60.450000762939403</v>
      </c>
      <c r="F267" s="1">
        <v>53.647647857666001</v>
      </c>
      <c r="G267" s="1">
        <v>26643200</v>
      </c>
      <c r="H267" s="1">
        <f t="shared" si="4"/>
        <v>-4.9383002564946351E-3</v>
      </c>
    </row>
    <row r="268" spans="1:8" x14ac:dyDescent="0.35">
      <c r="A268" s="3">
        <v>44585</v>
      </c>
      <c r="B268" s="1">
        <v>59.900001525878899</v>
      </c>
      <c r="C268" s="1">
        <v>60.349998474121001</v>
      </c>
      <c r="D268" s="1">
        <v>58.569999694824197</v>
      </c>
      <c r="E268" s="1">
        <v>59.959999084472599</v>
      </c>
      <c r="F268" s="1">
        <v>53.212779998779297</v>
      </c>
      <c r="G268" s="1">
        <v>30185100</v>
      </c>
      <c r="H268" s="1">
        <f t="shared" si="4"/>
        <v>-8.1060004725736351E-3</v>
      </c>
    </row>
    <row r="269" spans="1:8" x14ac:dyDescent="0.35">
      <c r="A269" s="3">
        <v>44586</v>
      </c>
      <c r="B269" s="1">
        <v>59.360000610351499</v>
      </c>
      <c r="C269" s="1">
        <v>60.049999237060497</v>
      </c>
      <c r="D269" s="1">
        <v>58.689998626708899</v>
      </c>
      <c r="E269" s="1">
        <v>59.819999694824197</v>
      </c>
      <c r="F269" s="1">
        <v>53.088550567626903</v>
      </c>
      <c r="G269" s="1">
        <v>19027100</v>
      </c>
      <c r="H269" s="1">
        <f t="shared" si="4"/>
        <v>-2.334578857846617E-3</v>
      </c>
    </row>
    <row r="270" spans="1:8" x14ac:dyDescent="0.35">
      <c r="A270" s="3">
        <v>44587</v>
      </c>
      <c r="B270" s="1">
        <v>59.790000915527301</v>
      </c>
      <c r="C270" s="1">
        <v>60.349998474121001</v>
      </c>
      <c r="D270" s="1">
        <v>59.209999084472599</v>
      </c>
      <c r="E270" s="1">
        <v>59.599998474121001</v>
      </c>
      <c r="F270" s="1">
        <v>52.893302917480398</v>
      </c>
      <c r="G270" s="1">
        <v>19190200</v>
      </c>
      <c r="H270" s="1">
        <f t="shared" si="4"/>
        <v>-3.6777732309302602E-3</v>
      </c>
    </row>
    <row r="271" spans="1:8" x14ac:dyDescent="0.35">
      <c r="A271" s="3">
        <v>44588</v>
      </c>
      <c r="B271" s="1">
        <v>59.880001068115199</v>
      </c>
      <c r="C271" s="1">
        <v>60.930000305175703</v>
      </c>
      <c r="D271" s="1">
        <v>59.5</v>
      </c>
      <c r="E271" s="1">
        <v>59.650001525878899</v>
      </c>
      <c r="F271" s="1">
        <v>52.937667846679602</v>
      </c>
      <c r="G271" s="1">
        <v>18893800</v>
      </c>
      <c r="H271" s="1">
        <f t="shared" si="4"/>
        <v>8.3876269304677194E-4</v>
      </c>
    </row>
    <row r="272" spans="1:8" x14ac:dyDescent="0.35">
      <c r="A272" s="3">
        <v>44589</v>
      </c>
      <c r="B272" s="1">
        <v>59.389999389648402</v>
      </c>
      <c r="C272" s="1">
        <v>60.889999389648402</v>
      </c>
      <c r="D272" s="1">
        <v>58.939998626708899</v>
      </c>
      <c r="E272" s="1">
        <v>60.840000152587798</v>
      </c>
      <c r="F272" s="1">
        <v>53.993759155273402</v>
      </c>
      <c r="G272" s="1">
        <v>19101500</v>
      </c>
      <c r="H272" s="1">
        <f t="shared" si="4"/>
        <v>1.9949713532007071E-2</v>
      </c>
    </row>
    <row r="273" spans="1:8" x14ac:dyDescent="0.35">
      <c r="A273" s="3">
        <v>44592</v>
      </c>
      <c r="B273" s="1">
        <v>60.299999237060497</v>
      </c>
      <c r="C273" s="1">
        <v>61.139999389648402</v>
      </c>
      <c r="D273" s="1">
        <v>60.150001525878899</v>
      </c>
      <c r="E273" s="1">
        <v>61.009998321533203</v>
      </c>
      <c r="F273" s="1">
        <v>54.144630432128899</v>
      </c>
      <c r="G273" s="1">
        <v>22045300</v>
      </c>
      <c r="H273" s="1">
        <f t="shared" si="4"/>
        <v>2.7942354675033225E-3</v>
      </c>
    </row>
    <row r="274" spans="1:8" x14ac:dyDescent="0.35">
      <c r="A274" s="3">
        <v>44593</v>
      </c>
      <c r="B274" s="1">
        <v>60.909999847412102</v>
      </c>
      <c r="C274" s="1">
        <v>61.139999389648402</v>
      </c>
      <c r="D274" s="1">
        <v>60.159999847412102</v>
      </c>
      <c r="E274" s="1">
        <v>60.560001373291001</v>
      </c>
      <c r="F274" s="1">
        <v>53.745265960693303</v>
      </c>
      <c r="G274" s="1">
        <v>20841700</v>
      </c>
      <c r="H274" s="1">
        <f t="shared" si="4"/>
        <v>-7.3758832269841777E-3</v>
      </c>
    </row>
    <row r="275" spans="1:8" x14ac:dyDescent="0.35">
      <c r="A275" s="3">
        <v>44594</v>
      </c>
      <c r="B275" s="1">
        <v>60.619998931884702</v>
      </c>
      <c r="C275" s="1">
        <v>61.270000457763601</v>
      </c>
      <c r="D275" s="1">
        <v>60.560001373291001</v>
      </c>
      <c r="E275" s="1">
        <v>61.180000305175703</v>
      </c>
      <c r="F275" s="1">
        <v>54.295505523681598</v>
      </c>
      <c r="G275" s="1">
        <v>20225600</v>
      </c>
      <c r="H275" s="1">
        <f t="shared" si="4"/>
        <v>1.0237916831423147E-2</v>
      </c>
    </row>
    <row r="276" spans="1:8" x14ac:dyDescent="0.35">
      <c r="A276" s="3">
        <v>44595</v>
      </c>
      <c r="B276" s="1">
        <v>60.939998626708899</v>
      </c>
      <c r="C276" s="1">
        <v>61.779998779296797</v>
      </c>
      <c r="D276" s="1">
        <v>60.590000152587798</v>
      </c>
      <c r="E276" s="1">
        <v>61.610000610351499</v>
      </c>
      <c r="F276" s="1">
        <v>54.677112579345703</v>
      </c>
      <c r="G276" s="1">
        <v>19440500</v>
      </c>
      <c r="H276" s="1">
        <f t="shared" si="4"/>
        <v>7.0283359917822832E-3</v>
      </c>
    </row>
    <row r="277" spans="1:8" x14ac:dyDescent="0.35">
      <c r="A277" s="3">
        <v>44596</v>
      </c>
      <c r="B277" s="1">
        <v>61.490001678466797</v>
      </c>
      <c r="C277" s="1">
        <v>61.680000305175703</v>
      </c>
      <c r="D277" s="1">
        <v>60.569999694824197</v>
      </c>
      <c r="E277" s="1">
        <v>60.959999084472599</v>
      </c>
      <c r="F277" s="1">
        <v>54.100257873535099</v>
      </c>
      <c r="G277" s="1">
        <v>17403700</v>
      </c>
      <c r="H277" s="1">
        <f t="shared" si="4"/>
        <v>-1.0550204255454974E-2</v>
      </c>
    </row>
    <row r="278" spans="1:8" x14ac:dyDescent="0.35">
      <c r="A278" s="3">
        <v>44599</v>
      </c>
      <c r="B278" s="1">
        <v>61.380001068115199</v>
      </c>
      <c r="C278" s="1">
        <v>61.720001220703097</v>
      </c>
      <c r="D278" s="1">
        <v>60.860000610351499</v>
      </c>
      <c r="E278" s="1">
        <v>61.599998474121001</v>
      </c>
      <c r="F278" s="1">
        <v>54.668239593505803</v>
      </c>
      <c r="G278" s="1">
        <v>17846400</v>
      </c>
      <c r="H278" s="1">
        <f t="shared" si="4"/>
        <v>1.0498687849111897E-2</v>
      </c>
    </row>
    <row r="279" spans="1:8" x14ac:dyDescent="0.35">
      <c r="A279" s="3">
        <v>44600</v>
      </c>
      <c r="B279" s="1">
        <v>61.830001831054602</v>
      </c>
      <c r="C279" s="1">
        <v>62.330001831054602</v>
      </c>
      <c r="D279" s="1">
        <v>61.740001678466797</v>
      </c>
      <c r="E279" s="1">
        <v>62</v>
      </c>
      <c r="F279" s="1">
        <v>55.023239135742102</v>
      </c>
      <c r="G279" s="1">
        <v>18771700</v>
      </c>
      <c r="H279" s="1">
        <f t="shared" si="4"/>
        <v>6.493707221523027E-3</v>
      </c>
    </row>
    <row r="280" spans="1:8" x14ac:dyDescent="0.35">
      <c r="A280" s="3">
        <v>44601</v>
      </c>
      <c r="B280" s="1">
        <v>62.169998168945298</v>
      </c>
      <c r="C280" s="1">
        <v>62.319999694824197</v>
      </c>
      <c r="D280" s="1">
        <v>60.900001525878899</v>
      </c>
      <c r="E280" s="1">
        <v>61.040000915527301</v>
      </c>
      <c r="F280" s="1">
        <v>54.171260833740199</v>
      </c>
      <c r="G280" s="1">
        <v>23595600</v>
      </c>
      <c r="H280" s="1">
        <f t="shared" si="4"/>
        <v>-1.5483972143117137E-2</v>
      </c>
    </row>
    <row r="281" spans="1:8" x14ac:dyDescent="0.35">
      <c r="A281" s="3">
        <v>44602</v>
      </c>
      <c r="B281" s="1">
        <v>60.360000610351499</v>
      </c>
      <c r="C281" s="1">
        <v>62.299999237060497</v>
      </c>
      <c r="D281" s="1">
        <v>60.200000762939403</v>
      </c>
      <c r="E281" s="1">
        <v>61.380001068115199</v>
      </c>
      <c r="F281" s="1">
        <v>54.473007202148402</v>
      </c>
      <c r="G281" s="1">
        <v>23561500</v>
      </c>
      <c r="H281" s="1">
        <f t="shared" si="4"/>
        <v>5.5702297447775568E-3</v>
      </c>
    </row>
    <row r="282" spans="1:8" x14ac:dyDescent="0.35">
      <c r="A282" s="3">
        <v>44603</v>
      </c>
      <c r="B282" s="1">
        <v>61.770000457763601</v>
      </c>
      <c r="C282" s="1">
        <v>61.9799995422363</v>
      </c>
      <c r="D282" s="1">
        <v>60.150001525878899</v>
      </c>
      <c r="E282" s="1">
        <v>60.290000915527301</v>
      </c>
      <c r="F282" s="1">
        <v>53.505657196044901</v>
      </c>
      <c r="G282" s="1">
        <v>22781400</v>
      </c>
      <c r="H282" s="1">
        <f t="shared" si="4"/>
        <v>-1.7758336757757509E-2</v>
      </c>
    </row>
    <row r="283" spans="1:8" x14ac:dyDescent="0.35">
      <c r="A283" s="3">
        <v>44606</v>
      </c>
      <c r="B283" s="1">
        <v>60.159999847412102</v>
      </c>
      <c r="C283" s="1">
        <v>60.790000915527301</v>
      </c>
      <c r="D283" s="1">
        <v>59.279998779296797</v>
      </c>
      <c r="E283" s="1">
        <v>60.680000305175703</v>
      </c>
      <c r="F283" s="1">
        <v>53.851779937744098</v>
      </c>
      <c r="G283" s="1">
        <v>23641300</v>
      </c>
      <c r="H283" s="1">
        <f t="shared" si="4"/>
        <v>6.4688999226942042E-3</v>
      </c>
    </row>
    <row r="284" spans="1:8" x14ac:dyDescent="0.35">
      <c r="A284" s="3">
        <v>44607</v>
      </c>
      <c r="B284" s="1">
        <v>60.959999084472599</v>
      </c>
      <c r="C284" s="1">
        <v>61.779998779296797</v>
      </c>
      <c r="D284" s="1">
        <v>60.630001068115199</v>
      </c>
      <c r="E284" s="1">
        <v>60.909999847412102</v>
      </c>
      <c r="F284" s="1">
        <v>54.055889129638601</v>
      </c>
      <c r="G284" s="1">
        <v>13408700</v>
      </c>
      <c r="H284" s="1">
        <f t="shared" si="4"/>
        <v>3.7902032603279847E-3</v>
      </c>
    </row>
    <row r="285" spans="1:8" x14ac:dyDescent="0.35">
      <c r="A285" s="3">
        <v>44608</v>
      </c>
      <c r="B285" s="1">
        <v>60.860000610351499</v>
      </c>
      <c r="C285" s="1">
        <v>61.400001525878899</v>
      </c>
      <c r="D285" s="1">
        <v>60.560001373291001</v>
      </c>
      <c r="E285" s="1">
        <v>60.900001525878899</v>
      </c>
      <c r="F285" s="1">
        <v>54.047008514404297</v>
      </c>
      <c r="G285" s="1">
        <v>15484700</v>
      </c>
      <c r="H285" s="1">
        <f t="shared" si="4"/>
        <v>-1.6428580451255116E-4</v>
      </c>
    </row>
    <row r="286" spans="1:8" x14ac:dyDescent="0.35">
      <c r="A286" s="3">
        <v>44609</v>
      </c>
      <c r="B286" s="1">
        <v>60.549999237060497</v>
      </c>
      <c r="C286" s="1">
        <v>62.279998779296797</v>
      </c>
      <c r="D286" s="1">
        <v>60.409999847412102</v>
      </c>
      <c r="E286" s="1">
        <v>62.119998931884702</v>
      </c>
      <c r="F286" s="1">
        <v>55.1297187805175</v>
      </c>
      <c r="G286" s="1">
        <v>21468700</v>
      </c>
      <c r="H286" s="1">
        <f t="shared" si="4"/>
        <v>2.003275104161677E-2</v>
      </c>
    </row>
    <row r="287" spans="1:8" x14ac:dyDescent="0.35">
      <c r="A287" s="3">
        <v>44610</v>
      </c>
      <c r="B287" s="1">
        <v>62.119998931884702</v>
      </c>
      <c r="C287" s="1">
        <v>62.819999694824197</v>
      </c>
      <c r="D287" s="1">
        <v>61.990001678466797</v>
      </c>
      <c r="E287" s="1">
        <v>62.540000915527301</v>
      </c>
      <c r="F287" s="1">
        <v>55.502464294433501</v>
      </c>
      <c r="G287" s="1">
        <v>21975000</v>
      </c>
      <c r="H287" s="1">
        <f t="shared" si="4"/>
        <v>6.7612446092819066E-3</v>
      </c>
    </row>
    <row r="288" spans="1:8" x14ac:dyDescent="0.35">
      <c r="A288" s="3">
        <v>44614</v>
      </c>
      <c r="B288" s="1">
        <v>62.430000305175703</v>
      </c>
      <c r="C288" s="1">
        <v>62.639999389648402</v>
      </c>
      <c r="D288" s="1">
        <v>61.720001220703097</v>
      </c>
      <c r="E288" s="1">
        <v>62.279998779296797</v>
      </c>
      <c r="F288" s="1">
        <v>55.271720886230398</v>
      </c>
      <c r="G288" s="1">
        <v>21731400</v>
      </c>
      <c r="H288" s="1">
        <f t="shared" si="4"/>
        <v>-4.1573542929380447E-3</v>
      </c>
    </row>
    <row r="289" spans="1:8" x14ac:dyDescent="0.35">
      <c r="A289" s="3">
        <v>44615</v>
      </c>
      <c r="B289" s="1">
        <v>62.240001678466797</v>
      </c>
      <c r="C289" s="1">
        <v>62.330001831054602</v>
      </c>
      <c r="D289" s="1">
        <v>61.340000152587798</v>
      </c>
      <c r="E289" s="1">
        <v>61.590000152587798</v>
      </c>
      <c r="F289" s="1">
        <v>54.659370422363203</v>
      </c>
      <c r="G289" s="1">
        <v>19248500</v>
      </c>
      <c r="H289" s="1">
        <f t="shared" si="4"/>
        <v>-1.1078910771163393E-2</v>
      </c>
    </row>
    <row r="290" spans="1:8" x14ac:dyDescent="0.35">
      <c r="A290" s="3">
        <v>44616</v>
      </c>
      <c r="B290" s="1">
        <v>59.970001220703097</v>
      </c>
      <c r="C290" s="1">
        <v>60.619998931884702</v>
      </c>
      <c r="D290" s="1">
        <v>59.220001220703097</v>
      </c>
      <c r="E290" s="1">
        <v>60.509998321533203</v>
      </c>
      <c r="F290" s="1">
        <v>53.700893402099602</v>
      </c>
      <c r="G290" s="1">
        <v>27207400</v>
      </c>
      <c r="H290" s="1">
        <f t="shared" si="4"/>
        <v>-1.7535456644620476E-2</v>
      </c>
    </row>
    <row r="291" spans="1:8" x14ac:dyDescent="0.35">
      <c r="A291" s="3">
        <v>44617</v>
      </c>
      <c r="B291" s="1">
        <v>60.939998626708899</v>
      </c>
      <c r="C291" s="1">
        <v>62.900001525878899</v>
      </c>
      <c r="D291" s="1">
        <v>60.919998168945298</v>
      </c>
      <c r="E291" s="1">
        <v>62.849998474121001</v>
      </c>
      <c r="F291" s="1">
        <v>55.777580261230398</v>
      </c>
      <c r="G291" s="1">
        <v>21487800</v>
      </c>
      <c r="H291" s="1">
        <f t="shared" si="4"/>
        <v>3.8671365177876185E-2</v>
      </c>
    </row>
    <row r="292" spans="1:8" x14ac:dyDescent="0.35">
      <c r="A292" s="3">
        <v>44620</v>
      </c>
      <c r="B292" s="1">
        <v>61.650001525878899</v>
      </c>
      <c r="C292" s="1">
        <v>62.340000152587798</v>
      </c>
      <c r="D292" s="1">
        <v>61.409999847412102</v>
      </c>
      <c r="E292" s="1">
        <v>62.240001678466797</v>
      </c>
      <c r="F292" s="1">
        <v>55.236221313476499</v>
      </c>
      <c r="G292" s="1">
        <v>25879100</v>
      </c>
      <c r="H292" s="1">
        <f t="shared" si="4"/>
        <v>-9.7056728746295982E-3</v>
      </c>
    </row>
    <row r="293" spans="1:8" x14ac:dyDescent="0.35">
      <c r="A293" s="3">
        <v>44621</v>
      </c>
      <c r="B293" s="1">
        <v>62.139999389648402</v>
      </c>
      <c r="C293" s="1">
        <v>62.75</v>
      </c>
      <c r="D293" s="1">
        <v>61.509998321533203</v>
      </c>
      <c r="E293" s="1">
        <v>61.970001220703097</v>
      </c>
      <c r="F293" s="1">
        <v>54.996604919433501</v>
      </c>
      <c r="G293" s="1">
        <v>15871100</v>
      </c>
      <c r="H293" s="1">
        <f t="shared" si="4"/>
        <v>-4.3380301610989403E-3</v>
      </c>
    </row>
    <row r="294" spans="1:8" x14ac:dyDescent="0.35">
      <c r="A294" s="3">
        <v>44622</v>
      </c>
      <c r="B294" s="1">
        <v>62.2299995422363</v>
      </c>
      <c r="C294" s="1">
        <v>62.880001068115199</v>
      </c>
      <c r="D294" s="1">
        <v>61.779998779296797</v>
      </c>
      <c r="E294" s="1">
        <v>62.430000305175703</v>
      </c>
      <c r="F294" s="1">
        <v>55.404842376708899</v>
      </c>
      <c r="G294" s="1">
        <v>17319100</v>
      </c>
      <c r="H294" s="1">
        <f t="shared" si="4"/>
        <v>7.4229574329804432E-3</v>
      </c>
    </row>
    <row r="295" spans="1:8" x14ac:dyDescent="0.35">
      <c r="A295" s="3">
        <v>44623</v>
      </c>
      <c r="B295" s="1">
        <v>62.610000610351499</v>
      </c>
      <c r="C295" s="1">
        <v>63.020000457763601</v>
      </c>
      <c r="D295" s="1">
        <v>62.290000915527301</v>
      </c>
      <c r="E295" s="1">
        <v>62.470001220703097</v>
      </c>
      <c r="F295" s="1">
        <v>55.440345764160099</v>
      </c>
      <c r="G295" s="1">
        <v>21262800</v>
      </c>
      <c r="H295" s="1">
        <f t="shared" si="4"/>
        <v>6.4079935847133134E-4</v>
      </c>
    </row>
    <row r="296" spans="1:8" x14ac:dyDescent="0.35">
      <c r="A296" s="3">
        <v>44624</v>
      </c>
      <c r="B296" s="1">
        <v>61.459999084472599</v>
      </c>
      <c r="C296" s="1">
        <v>62.590000152587798</v>
      </c>
      <c r="D296" s="1">
        <v>61.200000762939403</v>
      </c>
      <c r="E296" s="1">
        <v>62.569999694824197</v>
      </c>
      <c r="F296" s="1">
        <v>55.529083251953097</v>
      </c>
      <c r="G296" s="1">
        <v>17163000</v>
      </c>
      <c r="H296" s="1">
        <f t="shared" si="4"/>
        <v>1.6005940542016298E-3</v>
      </c>
    </row>
    <row r="297" spans="1:8" x14ac:dyDescent="0.35">
      <c r="A297" s="3">
        <v>44627</v>
      </c>
      <c r="B297" s="1">
        <v>62.009998321533203</v>
      </c>
      <c r="C297" s="1">
        <v>62.069999694824197</v>
      </c>
      <c r="D297" s="1">
        <v>60.720001220703097</v>
      </c>
      <c r="E297" s="1">
        <v>61.080001831054602</v>
      </c>
      <c r="F297" s="1">
        <v>54.206760406494098</v>
      </c>
      <c r="G297" s="1">
        <v>29151400</v>
      </c>
      <c r="H297" s="1">
        <f t="shared" si="4"/>
        <v>-2.3813158223037822E-2</v>
      </c>
    </row>
    <row r="298" spans="1:8" x14ac:dyDescent="0.35">
      <c r="A298" s="3">
        <v>44628</v>
      </c>
      <c r="B298" s="1">
        <v>61.450000762939403</v>
      </c>
      <c r="C298" s="1">
        <v>61.540000915527301</v>
      </c>
      <c r="D298" s="1">
        <v>58.590000152587798</v>
      </c>
      <c r="E298" s="1">
        <v>58.659999847412102</v>
      </c>
      <c r="F298" s="1">
        <v>52.059070587158203</v>
      </c>
      <c r="G298" s="1">
        <v>30242100</v>
      </c>
      <c r="H298" s="1">
        <f t="shared" si="4"/>
        <v>-3.9620331545926445E-2</v>
      </c>
    </row>
    <row r="299" spans="1:8" x14ac:dyDescent="0.35">
      <c r="A299" s="3">
        <v>44629</v>
      </c>
      <c r="B299" s="1">
        <v>59.819999694824197</v>
      </c>
      <c r="C299" s="1">
        <v>59.840000152587798</v>
      </c>
      <c r="D299" s="1">
        <v>58.659999847412102</v>
      </c>
      <c r="E299" s="1">
        <v>58.959999084472599</v>
      </c>
      <c r="F299" s="1">
        <v>52.325309753417898</v>
      </c>
      <c r="G299" s="1">
        <v>23022700</v>
      </c>
      <c r="H299" s="1">
        <f t="shared" si="4"/>
        <v>5.1141744033626636E-3</v>
      </c>
    </row>
    <row r="300" spans="1:8" x14ac:dyDescent="0.35">
      <c r="A300" s="3">
        <v>44630</v>
      </c>
      <c r="B300" s="1">
        <v>58.4799995422363</v>
      </c>
      <c r="C300" s="1">
        <v>58.659999847412102</v>
      </c>
      <c r="D300" s="1">
        <v>57.5</v>
      </c>
      <c r="E300" s="1">
        <v>57.880001068115199</v>
      </c>
      <c r="F300" s="1">
        <v>51.366855621337798</v>
      </c>
      <c r="G300" s="1">
        <v>20887300</v>
      </c>
      <c r="H300" s="1">
        <f t="shared" si="4"/>
        <v>-1.8317218504712112E-2</v>
      </c>
    </row>
    <row r="301" spans="1:8" x14ac:dyDescent="0.35">
      <c r="A301" s="3">
        <v>44631</v>
      </c>
      <c r="B301" s="1">
        <v>57.959999084472599</v>
      </c>
      <c r="C301" s="1">
        <v>58.849998474121001</v>
      </c>
      <c r="D301" s="1">
        <v>57.860000610351499</v>
      </c>
      <c r="E301" s="1">
        <v>57.919998168945298</v>
      </c>
      <c r="F301" s="1">
        <v>51.402339935302699</v>
      </c>
      <c r="G301" s="1">
        <v>19855600</v>
      </c>
      <c r="H301" s="1">
        <f t="shared" si="4"/>
        <v>6.9080175408207012E-4</v>
      </c>
    </row>
    <row r="302" spans="1:8" x14ac:dyDescent="0.35">
      <c r="A302" s="3">
        <v>44634</v>
      </c>
      <c r="B302" s="1">
        <v>57.970001220703097</v>
      </c>
      <c r="C302" s="1">
        <v>59.040000915527301</v>
      </c>
      <c r="D302" s="1">
        <v>57.970001220703097</v>
      </c>
      <c r="E302" s="1">
        <v>58.540000915527301</v>
      </c>
      <c r="F302" s="1">
        <v>52.350269317626903</v>
      </c>
      <c r="G302" s="1">
        <v>17799400</v>
      </c>
      <c r="H302" s="1">
        <f t="shared" si="4"/>
        <v>1.8441366356420956E-2</v>
      </c>
    </row>
    <row r="303" spans="1:8" x14ac:dyDescent="0.35">
      <c r="A303" s="3">
        <v>44635</v>
      </c>
      <c r="B303" s="1">
        <v>59.080001831054602</v>
      </c>
      <c r="C303" s="1">
        <v>59.889999389648402</v>
      </c>
      <c r="D303" s="1">
        <v>58.9799995422363</v>
      </c>
      <c r="E303" s="1">
        <v>59.619998931884702</v>
      </c>
      <c r="F303" s="1">
        <v>53.316070556640597</v>
      </c>
      <c r="G303" s="1">
        <v>18607200</v>
      </c>
      <c r="H303" s="1">
        <f t="shared" si="4"/>
        <v>1.8448830380486649E-2</v>
      </c>
    </row>
    <row r="304" spans="1:8" x14ac:dyDescent="0.35">
      <c r="A304" s="3">
        <v>44636</v>
      </c>
      <c r="B304" s="1">
        <v>59.779998779296797</v>
      </c>
      <c r="C304" s="1">
        <v>59.939998626708899</v>
      </c>
      <c r="D304" s="1">
        <v>58.610000610351499</v>
      </c>
      <c r="E304" s="1">
        <v>59.459999084472599</v>
      </c>
      <c r="F304" s="1">
        <v>53.172996520996001</v>
      </c>
      <c r="G304" s="1">
        <v>17347300</v>
      </c>
      <c r="H304" s="1">
        <f t="shared" si="4"/>
        <v>-2.6835067579220749E-3</v>
      </c>
    </row>
    <row r="305" spans="1:8" x14ac:dyDescent="0.35">
      <c r="A305" s="3">
        <v>44637</v>
      </c>
      <c r="B305" s="1">
        <v>59.459999084472599</v>
      </c>
      <c r="C305" s="1">
        <v>60.139999389648402</v>
      </c>
      <c r="D305" s="1">
        <v>59.2299995422363</v>
      </c>
      <c r="E305" s="1">
        <v>60.090000152587798</v>
      </c>
      <c r="F305" s="1">
        <v>53.736377716064403</v>
      </c>
      <c r="G305" s="1">
        <v>15586200</v>
      </c>
      <c r="H305" s="1">
        <f t="shared" si="4"/>
        <v>1.0595250069195256E-2</v>
      </c>
    </row>
    <row r="306" spans="1:8" x14ac:dyDescent="0.35">
      <c r="A306" s="3">
        <v>44638</v>
      </c>
      <c r="B306" s="1">
        <v>60.299999237060497</v>
      </c>
      <c r="C306" s="1">
        <v>60.299999237060497</v>
      </c>
      <c r="D306" s="1">
        <v>59.709999084472599</v>
      </c>
      <c r="E306" s="1">
        <v>60.099998474121001</v>
      </c>
      <c r="F306" s="1">
        <v>53.745311737060497</v>
      </c>
      <c r="G306" s="1">
        <v>30197800</v>
      </c>
      <c r="H306" s="1">
        <f t="shared" si="4"/>
        <v>1.6625647979660784E-4</v>
      </c>
    </row>
    <row r="307" spans="1:8" x14ac:dyDescent="0.35">
      <c r="A307" s="3">
        <v>44641</v>
      </c>
      <c r="B307" s="1">
        <v>60.5</v>
      </c>
      <c r="C307" s="1">
        <v>61.099998474121001</v>
      </c>
      <c r="D307" s="1">
        <v>60.25</v>
      </c>
      <c r="E307" s="1">
        <v>60.580001831054602</v>
      </c>
      <c r="F307" s="1">
        <v>54.174560546875</v>
      </c>
      <c r="G307" s="1">
        <v>17440100</v>
      </c>
      <c r="H307" s="1">
        <f t="shared" si="4"/>
        <v>7.986720998373352E-3</v>
      </c>
    </row>
    <row r="308" spans="1:8" x14ac:dyDescent="0.35">
      <c r="A308" s="3">
        <v>44642</v>
      </c>
      <c r="B308" s="1">
        <v>60.930000305175703</v>
      </c>
      <c r="C308" s="1">
        <v>60.950000762939403</v>
      </c>
      <c r="D308" s="1">
        <v>60.060001373291001</v>
      </c>
      <c r="E308" s="1">
        <v>60.799999237060497</v>
      </c>
      <c r="F308" s="1">
        <v>54.371299743652301</v>
      </c>
      <c r="G308" s="1">
        <v>17559500</v>
      </c>
      <c r="H308" s="1">
        <f t="shared" si="4"/>
        <v>3.6315790066644075E-3</v>
      </c>
    </row>
    <row r="309" spans="1:8" x14ac:dyDescent="0.35">
      <c r="A309" s="3">
        <v>44643</v>
      </c>
      <c r="B309" s="1">
        <v>60.75</v>
      </c>
      <c r="C309" s="1">
        <v>60.9799995422363</v>
      </c>
      <c r="D309" s="1">
        <v>60</v>
      </c>
      <c r="E309" s="1">
        <v>60.400001525878899</v>
      </c>
      <c r="F309" s="1">
        <v>54.013603210449197</v>
      </c>
      <c r="G309" s="1">
        <v>15529200</v>
      </c>
      <c r="H309" s="1">
        <f t="shared" si="4"/>
        <v>-6.5787747375832002E-3</v>
      </c>
    </row>
    <row r="310" spans="1:8" x14ac:dyDescent="0.35">
      <c r="A310" s="3">
        <v>44644</v>
      </c>
      <c r="B310" s="1">
        <v>60.639999389648402</v>
      </c>
      <c r="C310" s="1">
        <v>61.020000457763601</v>
      </c>
      <c r="D310" s="1">
        <v>60.459999084472599</v>
      </c>
      <c r="E310" s="1">
        <v>60.9799995422363</v>
      </c>
      <c r="F310" s="1">
        <v>54.532276153564403</v>
      </c>
      <c r="G310" s="1">
        <v>13151300</v>
      </c>
      <c r="H310" s="1">
        <f t="shared" si="4"/>
        <v>9.6026354896994928E-3</v>
      </c>
    </row>
    <row r="311" spans="1:8" x14ac:dyDescent="0.35">
      <c r="A311" s="3">
        <v>44645</v>
      </c>
      <c r="B311" s="1">
        <v>61.119998931884702</v>
      </c>
      <c r="C311" s="1">
        <v>61.610000610351499</v>
      </c>
      <c r="D311" s="1">
        <v>61.049999237060497</v>
      </c>
      <c r="E311" s="1">
        <v>61.529998779296797</v>
      </c>
      <c r="F311" s="1">
        <v>55.024120330810497</v>
      </c>
      <c r="G311" s="1">
        <v>12259800</v>
      </c>
      <c r="H311" s="1">
        <f t="shared" si="4"/>
        <v>9.0193223525283795E-3</v>
      </c>
    </row>
    <row r="312" spans="1:8" x14ac:dyDescent="0.35">
      <c r="A312" s="3">
        <v>44648</v>
      </c>
      <c r="B312" s="1">
        <v>61.529998779296797</v>
      </c>
      <c r="C312" s="1">
        <v>61.939998626708899</v>
      </c>
      <c r="D312" s="1">
        <v>61.209999084472599</v>
      </c>
      <c r="E312" s="1">
        <v>61.919998168945298</v>
      </c>
      <c r="F312" s="1">
        <v>55.3728828430175</v>
      </c>
      <c r="G312" s="1">
        <v>11485200</v>
      </c>
      <c r="H312" s="1">
        <f t="shared" si="4"/>
        <v>6.3383568898549916E-3</v>
      </c>
    </row>
    <row r="313" spans="1:8" x14ac:dyDescent="0.35">
      <c r="A313" s="3">
        <v>44649</v>
      </c>
      <c r="B313" s="1">
        <v>62.209999084472599</v>
      </c>
      <c r="C313" s="1">
        <v>62.529998779296797</v>
      </c>
      <c r="D313" s="1">
        <v>61.740001678466797</v>
      </c>
      <c r="E313" s="1">
        <v>62.159999847412102</v>
      </c>
      <c r="F313" s="1">
        <v>55.587505340576101</v>
      </c>
      <c r="G313" s="1">
        <v>14720600</v>
      </c>
      <c r="H313" s="1">
        <f t="shared" si="4"/>
        <v>3.8759494998130599E-3</v>
      </c>
    </row>
    <row r="314" spans="1:8" x14ac:dyDescent="0.35">
      <c r="A314" s="3">
        <v>44650</v>
      </c>
      <c r="B314" s="1">
        <v>62.009998321533203</v>
      </c>
      <c r="C314" s="1">
        <v>62.209999084472599</v>
      </c>
      <c r="D314" s="1">
        <v>61.560001373291001</v>
      </c>
      <c r="E314" s="1">
        <v>62.209999084472599</v>
      </c>
      <c r="F314" s="1">
        <v>55.632217407226499</v>
      </c>
      <c r="G314" s="1">
        <v>13641000</v>
      </c>
      <c r="H314" s="1">
        <f t="shared" si="4"/>
        <v>8.04354618478627E-4</v>
      </c>
    </row>
    <row r="315" spans="1:8" x14ac:dyDescent="0.35">
      <c r="A315" s="3">
        <v>44651</v>
      </c>
      <c r="B315" s="1">
        <v>62.220001220703097</v>
      </c>
      <c r="C315" s="1">
        <v>62.639999389648402</v>
      </c>
      <c r="D315" s="1">
        <v>62</v>
      </c>
      <c r="E315" s="1">
        <v>62</v>
      </c>
      <c r="F315" s="1">
        <v>55.4444160461425</v>
      </c>
      <c r="G315" s="1">
        <v>16822900</v>
      </c>
      <c r="H315" s="1">
        <f t="shared" si="4"/>
        <v>-3.3757662346855081E-3</v>
      </c>
    </row>
    <row r="316" spans="1:8" x14ac:dyDescent="0.35">
      <c r="A316" s="3">
        <v>44652</v>
      </c>
      <c r="B316" s="1">
        <v>62.330001831054602</v>
      </c>
      <c r="C316" s="1">
        <v>62.950000762939403</v>
      </c>
      <c r="D316" s="1">
        <v>62.090000152587798</v>
      </c>
      <c r="E316" s="1">
        <v>62.869998931884702</v>
      </c>
      <c r="F316" s="1">
        <v>56.2224311828613</v>
      </c>
      <c r="G316" s="1">
        <v>12644900</v>
      </c>
      <c r="H316" s="1">
        <f t="shared" si="4"/>
        <v>1.4032344322488892E-2</v>
      </c>
    </row>
    <row r="317" spans="1:8" x14ac:dyDescent="0.35">
      <c r="A317" s="3">
        <v>44655</v>
      </c>
      <c r="B317" s="1">
        <v>62.599998474121001</v>
      </c>
      <c r="C317" s="1">
        <v>62.790000915527301</v>
      </c>
      <c r="D317" s="1">
        <v>61.720001220703097</v>
      </c>
      <c r="E317" s="1">
        <v>62.540000915527301</v>
      </c>
      <c r="F317" s="1">
        <v>55.927330017089801</v>
      </c>
      <c r="G317" s="1">
        <v>11505800</v>
      </c>
      <c r="H317" s="1">
        <f t="shared" si="4"/>
        <v>-5.2488154560889292E-3</v>
      </c>
    </row>
    <row r="318" spans="1:8" x14ac:dyDescent="0.35">
      <c r="A318" s="3">
        <v>44656</v>
      </c>
      <c r="B318" s="1">
        <v>62.400001525878899</v>
      </c>
      <c r="C318" s="1">
        <v>63.240001678466797</v>
      </c>
      <c r="D318" s="1">
        <v>62.369998931884702</v>
      </c>
      <c r="E318" s="1">
        <v>62.470001220703097</v>
      </c>
      <c r="F318" s="1">
        <v>55.864730834960902</v>
      </c>
      <c r="G318" s="1">
        <v>15721200</v>
      </c>
      <c r="H318" s="1">
        <f t="shared" si="4"/>
        <v>-1.1192950228407223E-3</v>
      </c>
    </row>
    <row r="319" spans="1:8" x14ac:dyDescent="0.35">
      <c r="A319" s="3">
        <v>44657</v>
      </c>
      <c r="B319" s="1">
        <v>62.770000457763601</v>
      </c>
      <c r="C319" s="1">
        <v>63.259998321533203</v>
      </c>
      <c r="D319" s="1">
        <v>62.299999237060497</v>
      </c>
      <c r="E319" s="1">
        <v>63.099998474121001</v>
      </c>
      <c r="F319" s="1">
        <v>56.428112030029297</v>
      </c>
      <c r="G319" s="1">
        <v>19267400</v>
      </c>
      <c r="H319" s="1">
        <f t="shared" si="4"/>
        <v>1.0084738378723618E-2</v>
      </c>
    </row>
    <row r="320" spans="1:8" x14ac:dyDescent="0.35">
      <c r="A320" s="3">
        <v>44658</v>
      </c>
      <c r="B320" s="1">
        <v>63.130001068115199</v>
      </c>
      <c r="C320" s="1">
        <v>63.669998168945298</v>
      </c>
      <c r="D320" s="1">
        <v>62.709999084472599</v>
      </c>
      <c r="E320" s="1">
        <v>63.439998626708899</v>
      </c>
      <c r="F320" s="1">
        <v>56.732162475585902</v>
      </c>
      <c r="G320" s="1">
        <v>13960800</v>
      </c>
      <c r="H320" s="1">
        <f t="shared" si="4"/>
        <v>5.3882796113185367E-3</v>
      </c>
    </row>
    <row r="321" spans="1:8" x14ac:dyDescent="0.35">
      <c r="A321" s="3">
        <v>44659</v>
      </c>
      <c r="B321" s="1">
        <v>63.4799995422363</v>
      </c>
      <c r="C321" s="1">
        <v>64.040000915527301</v>
      </c>
      <c r="D321" s="1">
        <v>63.159999847412102</v>
      </c>
      <c r="E321" s="1">
        <v>63.830001831054602</v>
      </c>
      <c r="F321" s="1">
        <v>57.080924987792898</v>
      </c>
      <c r="G321" s="1">
        <v>12703500</v>
      </c>
      <c r="H321" s="1">
        <f t="shared" si="4"/>
        <v>6.1475272048211113E-3</v>
      </c>
    </row>
    <row r="322" spans="1:8" x14ac:dyDescent="0.35">
      <c r="A322" s="3">
        <v>44662</v>
      </c>
      <c r="B322" s="1">
        <v>63.909999847412102</v>
      </c>
      <c r="C322" s="1">
        <v>64.300003051757798</v>
      </c>
      <c r="D322" s="1">
        <v>63.639999389648402</v>
      </c>
      <c r="E322" s="1">
        <v>63.810001373291001</v>
      </c>
      <c r="F322" s="1">
        <v>57.063041687011697</v>
      </c>
      <c r="G322" s="1">
        <v>12720100</v>
      </c>
      <c r="H322" s="1">
        <f t="shared" si="4"/>
        <v>-3.1329731928879417E-4</v>
      </c>
    </row>
    <row r="323" spans="1:8" x14ac:dyDescent="0.35">
      <c r="A323" s="3">
        <v>44663</v>
      </c>
      <c r="B323" s="1">
        <v>64.379997253417898</v>
      </c>
      <c r="C323" s="1">
        <v>64.809997558593693</v>
      </c>
      <c r="D323" s="1">
        <v>63.889999389648402</v>
      </c>
      <c r="E323" s="1">
        <v>64.559997558593693</v>
      </c>
      <c r="F323" s="1">
        <v>57.733737945556598</v>
      </c>
      <c r="G323" s="1">
        <v>18089900</v>
      </c>
      <c r="H323" s="1">
        <f t="shared" si="4"/>
        <v>1.1753601608264073E-2</v>
      </c>
    </row>
    <row r="324" spans="1:8" x14ac:dyDescent="0.35">
      <c r="A324" s="3">
        <v>44664</v>
      </c>
      <c r="B324" s="1">
        <v>64.440002441406193</v>
      </c>
      <c r="C324" s="1">
        <v>64.870002746582003</v>
      </c>
      <c r="D324" s="1">
        <v>64.230003356933594</v>
      </c>
      <c r="E324" s="1">
        <v>64.730003356933594</v>
      </c>
      <c r="F324" s="1">
        <v>57.8857612609863</v>
      </c>
      <c r="G324" s="1">
        <v>11883000</v>
      </c>
      <c r="H324" s="1">
        <f t="shared" ref="H324:H387" si="5">(F324-F323)/F323</f>
        <v>2.6331798501088043E-3</v>
      </c>
    </row>
    <row r="325" spans="1:8" x14ac:dyDescent="0.35">
      <c r="A325" s="3">
        <v>44665</v>
      </c>
      <c r="B325" s="1">
        <v>64.959999084472599</v>
      </c>
      <c r="C325" s="1">
        <v>65.569999694824205</v>
      </c>
      <c r="D325" s="1">
        <v>64.819999694824205</v>
      </c>
      <c r="E325" s="1">
        <v>65.019996643066406</v>
      </c>
      <c r="F325" s="1">
        <v>58.145095825195298</v>
      </c>
      <c r="G325" s="1">
        <v>16388400</v>
      </c>
      <c r="H325" s="1">
        <f t="shared" si="5"/>
        <v>4.4801097637768173E-3</v>
      </c>
    </row>
    <row r="326" spans="1:8" x14ac:dyDescent="0.35">
      <c r="A326" s="3">
        <v>44669</v>
      </c>
      <c r="B326" s="1">
        <v>64.769996643066406</v>
      </c>
      <c r="C326" s="1">
        <v>65.180000305175696</v>
      </c>
      <c r="D326" s="1">
        <v>64.180000305175696</v>
      </c>
      <c r="E326" s="1">
        <v>64.440002441406193</v>
      </c>
      <c r="F326" s="1">
        <v>57.626430511474602</v>
      </c>
      <c r="G326" s="1">
        <v>11679400</v>
      </c>
      <c r="H326" s="1">
        <f t="shared" si="5"/>
        <v>-8.9201901959193117E-3</v>
      </c>
    </row>
    <row r="327" spans="1:8" x14ac:dyDescent="0.35">
      <c r="A327" s="3">
        <v>44670</v>
      </c>
      <c r="B327" s="1">
        <v>64.5</v>
      </c>
      <c r="C327" s="1">
        <v>65.25</v>
      </c>
      <c r="D327" s="1">
        <v>64.440002441406193</v>
      </c>
      <c r="E327" s="1">
        <v>65.069999694824205</v>
      </c>
      <c r="F327" s="1">
        <v>58.189823150634702</v>
      </c>
      <c r="G327" s="1">
        <v>11993800</v>
      </c>
      <c r="H327" s="1">
        <f t="shared" si="5"/>
        <v>9.7766360706293687E-3</v>
      </c>
    </row>
    <row r="328" spans="1:8" x14ac:dyDescent="0.35">
      <c r="A328" s="3">
        <v>44671</v>
      </c>
      <c r="B328" s="1">
        <v>65.440002441406193</v>
      </c>
      <c r="C328" s="1">
        <v>66.239997863769503</v>
      </c>
      <c r="D328" s="1">
        <v>65.400001525878906</v>
      </c>
      <c r="E328" s="1">
        <v>65.959999084472599</v>
      </c>
      <c r="F328" s="1">
        <v>58.985713958740199</v>
      </c>
      <c r="G328" s="1">
        <v>14827100</v>
      </c>
      <c r="H328" s="1">
        <f t="shared" si="5"/>
        <v>1.3677491441161323E-2</v>
      </c>
    </row>
    <row r="329" spans="1:8" x14ac:dyDescent="0.35">
      <c r="A329" s="3">
        <v>44672</v>
      </c>
      <c r="B329" s="1">
        <v>65.980003356933594</v>
      </c>
      <c r="C329" s="1">
        <v>67</v>
      </c>
      <c r="D329" s="1">
        <v>65.720001220703097</v>
      </c>
      <c r="E329" s="1">
        <v>66.209999084472599</v>
      </c>
      <c r="F329" s="1">
        <v>59.209281921386697</v>
      </c>
      <c r="G329" s="1">
        <v>15120400</v>
      </c>
      <c r="H329" s="1">
        <f t="shared" si="5"/>
        <v>3.7902052487299161E-3</v>
      </c>
    </row>
    <row r="330" spans="1:8" x14ac:dyDescent="0.35">
      <c r="A330" s="3">
        <v>44673</v>
      </c>
      <c r="B330" s="1">
        <v>66.080001831054602</v>
      </c>
      <c r="C330" s="1">
        <v>66.339996337890597</v>
      </c>
      <c r="D330" s="1">
        <v>65.180000305175696</v>
      </c>
      <c r="E330" s="1">
        <v>65.25</v>
      </c>
      <c r="F330" s="1">
        <v>58.350788116455</v>
      </c>
      <c r="G330" s="1">
        <v>14902200</v>
      </c>
      <c r="H330" s="1">
        <f t="shared" si="5"/>
        <v>-1.4499311207177554E-2</v>
      </c>
    </row>
    <row r="331" spans="1:8" x14ac:dyDescent="0.35">
      <c r="A331" s="3">
        <v>44676</v>
      </c>
      <c r="B331" s="1">
        <v>67</v>
      </c>
      <c r="C331" s="1">
        <v>67.199996948242102</v>
      </c>
      <c r="D331" s="1">
        <v>64.779998779296804</v>
      </c>
      <c r="E331" s="1">
        <v>65.940002441406193</v>
      </c>
      <c r="F331" s="1">
        <v>58.967823028564403</v>
      </c>
      <c r="G331" s="1">
        <v>25082000</v>
      </c>
      <c r="H331" s="1">
        <f t="shared" si="5"/>
        <v>1.0574577174141007E-2</v>
      </c>
    </row>
    <row r="332" spans="1:8" x14ac:dyDescent="0.35">
      <c r="A332" s="3">
        <v>44677</v>
      </c>
      <c r="B332" s="1">
        <v>65.519996643066406</v>
      </c>
      <c r="C332" s="1">
        <v>66.370002746582003</v>
      </c>
      <c r="D332" s="1">
        <v>65.040000915527301</v>
      </c>
      <c r="E332" s="1">
        <v>65.050003051757798</v>
      </c>
      <c r="F332" s="1">
        <v>58.171932220458899</v>
      </c>
      <c r="G332" s="1">
        <v>21982600</v>
      </c>
      <c r="H332" s="1">
        <f t="shared" si="5"/>
        <v>-1.3497035624326329E-2</v>
      </c>
    </row>
    <row r="333" spans="1:8" x14ac:dyDescent="0.35">
      <c r="A333" s="3">
        <v>44678</v>
      </c>
      <c r="B333" s="1">
        <v>65</v>
      </c>
      <c r="C333" s="1">
        <v>66.279998779296804</v>
      </c>
      <c r="D333" s="1">
        <v>65</v>
      </c>
      <c r="E333" s="1">
        <v>65.559997558593693</v>
      </c>
      <c r="F333" s="1">
        <v>58.628005981445298</v>
      </c>
      <c r="G333" s="1">
        <v>16971000</v>
      </c>
      <c r="H333" s="1">
        <f t="shared" si="5"/>
        <v>7.8400999172243309E-3</v>
      </c>
    </row>
    <row r="334" spans="1:8" x14ac:dyDescent="0.35">
      <c r="A334" s="3">
        <v>44679</v>
      </c>
      <c r="B334" s="1">
        <v>64.660003662109304</v>
      </c>
      <c r="C334" s="1">
        <v>66.279998779296804</v>
      </c>
      <c r="D334" s="1">
        <v>64.5</v>
      </c>
      <c r="E334" s="1">
        <v>66.190002441406193</v>
      </c>
      <c r="F334" s="1">
        <v>59.191398620605398</v>
      </c>
      <c r="G334" s="1">
        <v>22010600</v>
      </c>
      <c r="H334" s="1">
        <f t="shared" si="5"/>
        <v>9.6096162529969546E-3</v>
      </c>
    </row>
    <row r="335" spans="1:8" x14ac:dyDescent="0.35">
      <c r="A335" s="3">
        <v>44680</v>
      </c>
      <c r="B335" s="1">
        <v>65.870002746582003</v>
      </c>
      <c r="C335" s="1">
        <v>66.029998779296804</v>
      </c>
      <c r="D335" s="1">
        <v>64.489997863769503</v>
      </c>
      <c r="E335" s="1">
        <v>64.610000610351506</v>
      </c>
      <c r="F335" s="1">
        <v>57.778453826904297</v>
      </c>
      <c r="G335" s="1">
        <v>20137100</v>
      </c>
      <c r="H335" s="1">
        <f t="shared" si="5"/>
        <v>-2.3870778975126867E-2</v>
      </c>
    </row>
    <row r="336" spans="1:8" x14ac:dyDescent="0.35">
      <c r="A336" s="3">
        <v>44683</v>
      </c>
      <c r="B336" s="1">
        <v>65.279998779296804</v>
      </c>
      <c r="C336" s="1">
        <v>65.309997558593693</v>
      </c>
      <c r="D336" s="1">
        <v>62.580001831054602</v>
      </c>
      <c r="E336" s="1">
        <v>63.439998626708899</v>
      </c>
      <c r="F336" s="1">
        <v>56.732162475585902</v>
      </c>
      <c r="G336" s="1">
        <v>24970300</v>
      </c>
      <c r="H336" s="1">
        <f t="shared" si="5"/>
        <v>-1.8108676885901603E-2</v>
      </c>
    </row>
    <row r="337" spans="1:8" x14ac:dyDescent="0.35">
      <c r="A337" s="3">
        <v>44684</v>
      </c>
      <c r="B337" s="1">
        <v>63.720001220703097</v>
      </c>
      <c r="C337" s="1">
        <v>63.939998626708899</v>
      </c>
      <c r="D337" s="1">
        <v>62.669998168945298</v>
      </c>
      <c r="E337" s="1">
        <v>63.080001831054602</v>
      </c>
      <c r="F337" s="1">
        <v>56.410228729247997</v>
      </c>
      <c r="G337" s="1">
        <v>21686300</v>
      </c>
      <c r="H337" s="1">
        <f t="shared" si="5"/>
        <v>-5.6746249797272521E-3</v>
      </c>
    </row>
    <row r="338" spans="1:8" x14ac:dyDescent="0.35">
      <c r="A338" s="3">
        <v>44685</v>
      </c>
      <c r="B338" s="1">
        <v>63</v>
      </c>
      <c r="C338" s="1">
        <v>65.120002746582003</v>
      </c>
      <c r="D338" s="1">
        <v>62.939998626708899</v>
      </c>
      <c r="E338" s="1">
        <v>65.029998779296804</v>
      </c>
      <c r="F338" s="1">
        <v>58.154037475585902</v>
      </c>
      <c r="G338" s="1">
        <v>19780200</v>
      </c>
      <c r="H338" s="1">
        <f t="shared" si="5"/>
        <v>3.0912988399810579E-2</v>
      </c>
    </row>
    <row r="339" spans="1:8" x14ac:dyDescent="0.35">
      <c r="A339" s="3">
        <v>44686</v>
      </c>
      <c r="B339" s="1">
        <v>64.690002441406193</v>
      </c>
      <c r="C339" s="1">
        <v>65.029998779296804</v>
      </c>
      <c r="D339" s="1">
        <v>64.010002136230398</v>
      </c>
      <c r="E339" s="1">
        <v>64.510002136230398</v>
      </c>
      <c r="F339" s="1">
        <v>57.689029693603501</v>
      </c>
      <c r="G339" s="1">
        <v>20155200</v>
      </c>
      <c r="H339" s="1">
        <f t="shared" si="5"/>
        <v>-7.9961392564982109E-3</v>
      </c>
    </row>
    <row r="340" spans="1:8" x14ac:dyDescent="0.35">
      <c r="A340" s="3">
        <v>44687</v>
      </c>
      <c r="B340" s="1">
        <v>64.199996948242102</v>
      </c>
      <c r="C340" s="1">
        <v>65.309997558593693</v>
      </c>
      <c r="D340" s="1">
        <v>64.069999694824205</v>
      </c>
      <c r="E340" s="1">
        <v>64.739997863769503</v>
      </c>
      <c r="F340" s="1">
        <v>57.894702911376903</v>
      </c>
      <c r="G340" s="1">
        <v>18984000</v>
      </c>
      <c r="H340" s="1">
        <f t="shared" si="5"/>
        <v>3.5652050115207051E-3</v>
      </c>
    </row>
    <row r="341" spans="1:8" x14ac:dyDescent="0.35">
      <c r="A341" s="3">
        <v>44690</v>
      </c>
      <c r="B341" s="1">
        <v>64.470001220703097</v>
      </c>
      <c r="C341" s="1">
        <v>65.360000610351506</v>
      </c>
      <c r="D341" s="1">
        <v>64.040000915527301</v>
      </c>
      <c r="E341" s="1">
        <v>64.610000610351506</v>
      </c>
      <c r="F341" s="1">
        <v>57.778453826904297</v>
      </c>
      <c r="G341" s="1">
        <v>20055300</v>
      </c>
      <c r="H341" s="1">
        <f t="shared" si="5"/>
        <v>-2.007939908605393E-3</v>
      </c>
    </row>
    <row r="342" spans="1:8" x14ac:dyDescent="0.35">
      <c r="A342" s="3">
        <v>44691</v>
      </c>
      <c r="B342" s="1">
        <v>64.5</v>
      </c>
      <c r="C342" s="1">
        <v>65.319999694824205</v>
      </c>
      <c r="D342" s="1">
        <v>63.849998474121001</v>
      </c>
      <c r="E342" s="1">
        <v>64.010002136230398</v>
      </c>
      <c r="F342" s="1">
        <v>57.241897583007798</v>
      </c>
      <c r="G342" s="1">
        <v>21322200</v>
      </c>
      <c r="H342" s="1">
        <f t="shared" si="5"/>
        <v>-9.2864417158676788E-3</v>
      </c>
    </row>
    <row r="343" spans="1:8" x14ac:dyDescent="0.35">
      <c r="A343" s="3">
        <v>44692</v>
      </c>
      <c r="B343" s="1">
        <v>64.330001831054602</v>
      </c>
      <c r="C343" s="1">
        <v>65.199996948242102</v>
      </c>
      <c r="D343" s="1">
        <v>63.959999084472599</v>
      </c>
      <c r="E343" s="1">
        <v>64.309997558593693</v>
      </c>
      <c r="F343" s="1">
        <v>57.510166168212798</v>
      </c>
      <c r="G343" s="1">
        <v>19648400</v>
      </c>
      <c r="H343" s="1">
        <f t="shared" si="5"/>
        <v>4.6865774289885738E-3</v>
      </c>
    </row>
    <row r="344" spans="1:8" x14ac:dyDescent="0.35">
      <c r="A344" s="3">
        <v>44693</v>
      </c>
      <c r="B344" s="1">
        <v>64.160003662109304</v>
      </c>
      <c r="C344" s="1">
        <v>64.529998779296804</v>
      </c>
      <c r="D344" s="1">
        <v>63.209999084472599</v>
      </c>
      <c r="E344" s="1">
        <v>64.510002136230398</v>
      </c>
      <c r="F344" s="1">
        <v>57.689029693603501</v>
      </c>
      <c r="G344" s="1">
        <v>22574700</v>
      </c>
      <c r="H344" s="1">
        <f t="shared" si="5"/>
        <v>3.1101201284576565E-3</v>
      </c>
    </row>
    <row r="345" spans="1:8" x14ac:dyDescent="0.35">
      <c r="A345" s="3">
        <v>44694</v>
      </c>
      <c r="B345" s="1">
        <v>64.809997558593693</v>
      </c>
      <c r="C345" s="1">
        <v>65.800003051757798</v>
      </c>
      <c r="D345" s="1">
        <v>64.120002746582003</v>
      </c>
      <c r="E345" s="1">
        <v>65.720001220703097</v>
      </c>
      <c r="F345" s="1">
        <v>58.771083831787102</v>
      </c>
      <c r="G345" s="1">
        <v>16167000</v>
      </c>
      <c r="H345" s="1">
        <f t="shared" si="5"/>
        <v>1.8756670790453213E-2</v>
      </c>
    </row>
    <row r="346" spans="1:8" x14ac:dyDescent="0.35">
      <c r="A346" s="3">
        <v>44697</v>
      </c>
      <c r="B346" s="1">
        <v>65.440002441406193</v>
      </c>
      <c r="C346" s="1">
        <v>66.379997253417898</v>
      </c>
      <c r="D346" s="1">
        <v>65.440002441406193</v>
      </c>
      <c r="E346" s="1">
        <v>65.959999084472599</v>
      </c>
      <c r="F346" s="1">
        <v>58.985713958740199</v>
      </c>
      <c r="G346" s="1">
        <v>13223200</v>
      </c>
      <c r="H346" s="1">
        <f t="shared" si="5"/>
        <v>3.6519681612033005E-3</v>
      </c>
    </row>
    <row r="347" spans="1:8" x14ac:dyDescent="0.35">
      <c r="A347" s="3">
        <v>44698</v>
      </c>
      <c r="B347" s="1">
        <v>66.099998474121094</v>
      </c>
      <c r="C347" s="1">
        <v>66.099998474121094</v>
      </c>
      <c r="D347" s="1">
        <v>65.010002136230398</v>
      </c>
      <c r="E347" s="1">
        <v>65.779998779296804</v>
      </c>
      <c r="F347" s="1">
        <v>58.824737548828097</v>
      </c>
      <c r="G347" s="1">
        <v>21300600</v>
      </c>
      <c r="H347" s="1">
        <f t="shared" si="5"/>
        <v>-2.7290745353138108E-3</v>
      </c>
    </row>
    <row r="348" spans="1:8" x14ac:dyDescent="0.35">
      <c r="A348" s="3">
        <v>44699</v>
      </c>
      <c r="B348" s="1">
        <v>65.419998168945298</v>
      </c>
      <c r="C348" s="1">
        <v>65.519996643066406</v>
      </c>
      <c r="D348" s="1">
        <v>60.959999084472599</v>
      </c>
      <c r="E348" s="1">
        <v>61.200000762939403</v>
      </c>
      <c r="F348" s="1">
        <v>54.729019165038999</v>
      </c>
      <c r="G348" s="1">
        <v>31437300</v>
      </c>
      <c r="H348" s="1">
        <f t="shared" si="5"/>
        <v>-6.9625782527111213E-2</v>
      </c>
    </row>
    <row r="349" spans="1:8" x14ac:dyDescent="0.35">
      <c r="A349" s="3">
        <v>44700</v>
      </c>
      <c r="B349" s="1">
        <v>60.959999084472599</v>
      </c>
      <c r="C349" s="1">
        <v>60.959999084472599</v>
      </c>
      <c r="D349" s="1">
        <v>59.659999847412102</v>
      </c>
      <c r="E349" s="1">
        <v>60</v>
      </c>
      <c r="F349" s="1">
        <v>53.655899047851499</v>
      </c>
      <c r="G349" s="1">
        <v>31493900</v>
      </c>
      <c r="H349" s="1">
        <f t="shared" si="5"/>
        <v>-1.9607881404770565E-2</v>
      </c>
    </row>
    <row r="350" spans="1:8" x14ac:dyDescent="0.35">
      <c r="A350" s="3">
        <v>44701</v>
      </c>
      <c r="B350" s="1">
        <v>60.490001678466797</v>
      </c>
      <c r="C350" s="1">
        <v>61.240001678466797</v>
      </c>
      <c r="D350" s="1">
        <v>59.659999847412102</v>
      </c>
      <c r="E350" s="1">
        <v>60.9799995422363</v>
      </c>
      <c r="F350" s="1">
        <v>54.532276153564403</v>
      </c>
      <c r="G350" s="1">
        <v>29133800</v>
      </c>
      <c r="H350" s="1">
        <f t="shared" si="5"/>
        <v>1.6333285272721508E-2</v>
      </c>
    </row>
    <row r="351" spans="1:8" x14ac:dyDescent="0.35">
      <c r="A351" s="3">
        <v>44704</v>
      </c>
      <c r="B351" s="1">
        <v>61.650001525878899</v>
      </c>
      <c r="C351" s="1">
        <v>63.099998474121001</v>
      </c>
      <c r="D351" s="1">
        <v>61.590000152587798</v>
      </c>
      <c r="E351" s="1">
        <v>62.860000610351499</v>
      </c>
      <c r="F351" s="1">
        <v>56.213489532470703</v>
      </c>
      <c r="G351" s="1">
        <v>19406900</v>
      </c>
      <c r="H351" s="1">
        <f t="shared" si="5"/>
        <v>3.0829693852718641E-2</v>
      </c>
    </row>
    <row r="352" spans="1:8" x14ac:dyDescent="0.35">
      <c r="A352" s="3">
        <v>44705</v>
      </c>
      <c r="B352" s="1">
        <v>62.880001068115199</v>
      </c>
      <c r="C352" s="1">
        <v>64.190002441406193</v>
      </c>
      <c r="D352" s="1">
        <v>62.75</v>
      </c>
      <c r="E352" s="1">
        <v>64.019996643066406</v>
      </c>
      <c r="F352" s="1">
        <v>57.250839233398402</v>
      </c>
      <c r="G352" s="1">
        <v>16154200</v>
      </c>
      <c r="H352" s="1">
        <f t="shared" si="5"/>
        <v>1.8453750328530888E-2</v>
      </c>
    </row>
    <row r="353" spans="1:8" x14ac:dyDescent="0.35">
      <c r="A353" s="3">
        <v>44706</v>
      </c>
      <c r="B353" s="1">
        <v>64</v>
      </c>
      <c r="C353" s="1">
        <v>64.470001220703097</v>
      </c>
      <c r="D353" s="1">
        <v>63.599998474121001</v>
      </c>
      <c r="E353" s="1">
        <v>64.069999694824205</v>
      </c>
      <c r="F353" s="1">
        <v>57.295547485351499</v>
      </c>
      <c r="G353" s="1">
        <v>15360500</v>
      </c>
      <c r="H353" s="1">
        <f t="shared" si="5"/>
        <v>7.8091871755506324E-4</v>
      </c>
    </row>
    <row r="354" spans="1:8" x14ac:dyDescent="0.35">
      <c r="A354" s="3">
        <v>44707</v>
      </c>
      <c r="B354" s="1">
        <v>64.069999694824205</v>
      </c>
      <c r="C354" s="1">
        <v>65.099998474121094</v>
      </c>
      <c r="D354" s="1">
        <v>63.959999084472599</v>
      </c>
      <c r="E354" s="1">
        <v>64.300003051757798</v>
      </c>
      <c r="F354" s="1">
        <v>57.501243591308501</v>
      </c>
      <c r="G354" s="1">
        <v>16159800</v>
      </c>
      <c r="H354" s="1">
        <f t="shared" si="5"/>
        <v>3.5900888460764294E-3</v>
      </c>
    </row>
    <row r="355" spans="1:8" x14ac:dyDescent="0.35">
      <c r="A355" s="3">
        <v>44708</v>
      </c>
      <c r="B355" s="1">
        <v>64.260002136230398</v>
      </c>
      <c r="C355" s="1">
        <v>64.830001831054602</v>
      </c>
      <c r="D355" s="1">
        <v>64.139999389648395</v>
      </c>
      <c r="E355" s="1">
        <v>64.680000305175696</v>
      </c>
      <c r="F355" s="1">
        <v>57.841056823730398</v>
      </c>
      <c r="G355" s="1">
        <v>17709000</v>
      </c>
      <c r="H355" s="1">
        <f t="shared" si="5"/>
        <v>5.9096675340993875E-3</v>
      </c>
    </row>
    <row r="356" spans="1:8" x14ac:dyDescent="0.35">
      <c r="A356" s="3">
        <v>44712</v>
      </c>
      <c r="B356" s="1">
        <v>64.080001831054602</v>
      </c>
      <c r="C356" s="1">
        <v>64.319999694824205</v>
      </c>
      <c r="D356" s="1">
        <v>63.049999237060497</v>
      </c>
      <c r="E356" s="1">
        <v>63.380001068115199</v>
      </c>
      <c r="F356" s="1">
        <v>56.678512573242102</v>
      </c>
      <c r="G356" s="1">
        <v>43159000</v>
      </c>
      <c r="H356" s="1">
        <f t="shared" si="5"/>
        <v>-2.0098945529835814E-2</v>
      </c>
    </row>
    <row r="357" spans="1:8" x14ac:dyDescent="0.35">
      <c r="A357" s="3">
        <v>44713</v>
      </c>
      <c r="B357" s="1">
        <v>63.419998168945298</v>
      </c>
      <c r="C357" s="1">
        <v>63.680000305175703</v>
      </c>
      <c r="D357" s="1">
        <v>62.130001068115199</v>
      </c>
      <c r="E357" s="1">
        <v>63.069999694824197</v>
      </c>
      <c r="F357" s="1">
        <v>56.401287078857401</v>
      </c>
      <c r="G357" s="1">
        <v>15408300</v>
      </c>
      <c r="H357" s="1">
        <f t="shared" si="5"/>
        <v>-4.8911921255248274E-3</v>
      </c>
    </row>
    <row r="358" spans="1:8" x14ac:dyDescent="0.35">
      <c r="A358" s="3">
        <v>44714</v>
      </c>
      <c r="B358" s="1">
        <v>63.180000305175703</v>
      </c>
      <c r="C358" s="1">
        <v>63.740001678466797</v>
      </c>
      <c r="D358" s="1">
        <v>62.110000610351499</v>
      </c>
      <c r="E358" s="1">
        <v>63.7299995422363</v>
      </c>
      <c r="F358" s="1">
        <v>56.991504669189403</v>
      </c>
      <c r="G358" s="1">
        <v>14586000</v>
      </c>
      <c r="H358" s="1">
        <f t="shared" si="5"/>
        <v>1.0464612084238267E-2</v>
      </c>
    </row>
    <row r="359" spans="1:8" x14ac:dyDescent="0.35">
      <c r="A359" s="3">
        <v>44715</v>
      </c>
      <c r="B359" s="1">
        <v>63.569999694824197</v>
      </c>
      <c r="C359" s="1">
        <v>63.630001068115199</v>
      </c>
      <c r="D359" s="1">
        <v>62.810001373291001</v>
      </c>
      <c r="E359" s="1">
        <v>62.970001220703097</v>
      </c>
      <c r="F359" s="1">
        <v>56.311859130859297</v>
      </c>
      <c r="G359" s="1">
        <v>13539900</v>
      </c>
      <c r="H359" s="1">
        <f t="shared" si="5"/>
        <v>-1.1925383305374191E-2</v>
      </c>
    </row>
    <row r="360" spans="1:8" x14ac:dyDescent="0.35">
      <c r="A360" s="3">
        <v>44718</v>
      </c>
      <c r="B360" s="1">
        <v>63.330001831054602</v>
      </c>
      <c r="C360" s="1">
        <v>63.770000457763601</v>
      </c>
      <c r="D360" s="1">
        <v>62.659999847412102</v>
      </c>
      <c r="E360" s="1">
        <v>62.869998931884702</v>
      </c>
      <c r="F360" s="1">
        <v>56.2224311828613</v>
      </c>
      <c r="G360" s="1">
        <v>15112800</v>
      </c>
      <c r="H360" s="1">
        <f t="shared" si="5"/>
        <v>-1.5880837425413644E-3</v>
      </c>
    </row>
    <row r="361" spans="1:8" x14ac:dyDescent="0.35">
      <c r="A361" s="3">
        <v>44719</v>
      </c>
      <c r="B361" s="1">
        <v>62.380001068115199</v>
      </c>
      <c r="C361" s="1">
        <v>63.369998931884702</v>
      </c>
      <c r="D361" s="1">
        <v>62.220001220703097</v>
      </c>
      <c r="E361" s="1">
        <v>63.25</v>
      </c>
      <c r="F361" s="1">
        <v>56.562252044677699</v>
      </c>
      <c r="G361" s="1">
        <v>17886300</v>
      </c>
      <c r="H361" s="1">
        <f t="shared" si="5"/>
        <v>6.0442221132548475E-3</v>
      </c>
    </row>
    <row r="362" spans="1:8" x14ac:dyDescent="0.35">
      <c r="A362" s="3">
        <v>44720</v>
      </c>
      <c r="B362" s="1">
        <v>62.990001678466797</v>
      </c>
      <c r="C362" s="1">
        <v>63.209999084472599</v>
      </c>
      <c r="D362" s="1">
        <v>62.560001373291001</v>
      </c>
      <c r="E362" s="1">
        <v>62.889999389648402</v>
      </c>
      <c r="F362" s="1">
        <v>56.240322113037102</v>
      </c>
      <c r="G362" s="1">
        <v>10211500</v>
      </c>
      <c r="H362" s="1">
        <f t="shared" si="5"/>
        <v>-5.6916038524475439E-3</v>
      </c>
    </row>
    <row r="363" spans="1:8" x14ac:dyDescent="0.35">
      <c r="A363" s="3">
        <v>44721</v>
      </c>
      <c r="B363" s="1">
        <v>62.869998931884702</v>
      </c>
      <c r="C363" s="1">
        <v>63.349998474121001</v>
      </c>
      <c r="D363" s="1">
        <v>61.779998779296797</v>
      </c>
      <c r="E363" s="1">
        <v>61.799999237060497</v>
      </c>
      <c r="F363" s="1">
        <v>55.265575408935497</v>
      </c>
      <c r="G363" s="1">
        <v>13382200</v>
      </c>
      <c r="H363" s="1">
        <f t="shared" si="5"/>
        <v>-1.7331812256381949E-2</v>
      </c>
    </row>
    <row r="364" spans="1:8" x14ac:dyDescent="0.35">
      <c r="A364" s="3">
        <v>44722</v>
      </c>
      <c r="B364" s="1">
        <v>61.009998321533203</v>
      </c>
      <c r="C364" s="1">
        <v>61.889999389648402</v>
      </c>
      <c r="D364" s="1">
        <v>60.459999084472599</v>
      </c>
      <c r="E364" s="1">
        <v>61.409999847412102</v>
      </c>
      <c r="F364" s="1">
        <v>54.916812896728501</v>
      </c>
      <c r="G364" s="1">
        <v>14967600</v>
      </c>
      <c r="H364" s="1">
        <f t="shared" si="5"/>
        <v>-6.3106646339306334E-3</v>
      </c>
    </row>
    <row r="365" spans="1:8" x14ac:dyDescent="0.35">
      <c r="A365" s="3">
        <v>44725</v>
      </c>
      <c r="B365" s="1">
        <v>60.75</v>
      </c>
      <c r="C365" s="1">
        <v>62.290000915527301</v>
      </c>
      <c r="D365" s="1">
        <v>60.669998168945298</v>
      </c>
      <c r="E365" s="1">
        <v>61.340000152587798</v>
      </c>
      <c r="F365" s="1">
        <v>54.854202270507798</v>
      </c>
      <c r="G365" s="1">
        <v>23064200</v>
      </c>
      <c r="H365" s="1">
        <f t="shared" si="5"/>
        <v>-1.140099414334967E-3</v>
      </c>
    </row>
    <row r="366" spans="1:8" x14ac:dyDescent="0.35">
      <c r="A366" s="3">
        <v>44726</v>
      </c>
      <c r="B366" s="1">
        <v>60.7299995422363</v>
      </c>
      <c r="C366" s="1">
        <v>60.889999389648402</v>
      </c>
      <c r="D366" s="1">
        <v>58.659999847412102</v>
      </c>
      <c r="E366" s="1">
        <v>59.2299995422363</v>
      </c>
      <c r="F366" s="1">
        <v>53.349990844726499</v>
      </c>
      <c r="G366" s="1">
        <v>24620000</v>
      </c>
      <c r="H366" s="1">
        <f t="shared" si="5"/>
        <v>-2.7421990723034077E-2</v>
      </c>
    </row>
    <row r="367" spans="1:8" x14ac:dyDescent="0.35">
      <c r="A367" s="3">
        <v>44727</v>
      </c>
      <c r="B367" s="1">
        <v>60</v>
      </c>
      <c r="C367" s="1">
        <v>60.639999389648402</v>
      </c>
      <c r="D367" s="1">
        <v>58.970001220703097</v>
      </c>
      <c r="E367" s="1">
        <v>59.669998168945298</v>
      </c>
      <c r="F367" s="1">
        <v>53.746315002441399</v>
      </c>
      <c r="G367" s="1">
        <v>19684700</v>
      </c>
      <c r="H367" s="1">
        <f t="shared" si="5"/>
        <v>7.4287577455896823E-3</v>
      </c>
    </row>
    <row r="368" spans="1:8" x14ac:dyDescent="0.35">
      <c r="A368" s="3">
        <v>44728</v>
      </c>
      <c r="B368" s="1">
        <v>58.639999389648402</v>
      </c>
      <c r="C368" s="1">
        <v>59.520000457763601</v>
      </c>
      <c r="D368" s="1">
        <v>58.25</v>
      </c>
      <c r="E368" s="1">
        <v>59.069999694824197</v>
      </c>
      <c r="F368" s="1">
        <v>53.205879211425703</v>
      </c>
      <c r="G368" s="1">
        <v>15053800</v>
      </c>
      <c r="H368" s="1">
        <f t="shared" si="5"/>
        <v>-1.0055308740536855E-2</v>
      </c>
    </row>
    <row r="369" spans="1:8" x14ac:dyDescent="0.35">
      <c r="A369" s="3">
        <v>44729</v>
      </c>
      <c r="B369" s="1">
        <v>59.700000762939403</v>
      </c>
      <c r="C369" s="1">
        <v>60.130001068115199</v>
      </c>
      <c r="D369" s="1">
        <v>59.130001068115199</v>
      </c>
      <c r="E369" s="1">
        <v>59.430000305175703</v>
      </c>
      <c r="F369" s="1">
        <v>53.530136108398402</v>
      </c>
      <c r="G369" s="1">
        <v>34781900</v>
      </c>
      <c r="H369" s="1">
        <f t="shared" si="5"/>
        <v>6.0943809552359823E-3</v>
      </c>
    </row>
    <row r="370" spans="1:8" x14ac:dyDescent="0.35">
      <c r="A370" s="3">
        <v>44733</v>
      </c>
      <c r="B370" s="1">
        <v>59.490001678466797</v>
      </c>
      <c r="C370" s="1">
        <v>60.880001068115199</v>
      </c>
      <c r="D370" s="1">
        <v>59.009998321533203</v>
      </c>
      <c r="E370" s="1">
        <v>60.700000762939403</v>
      </c>
      <c r="F370" s="1">
        <v>54.674060821533203</v>
      </c>
      <c r="G370" s="1">
        <v>17705000</v>
      </c>
      <c r="H370" s="1">
        <f t="shared" si="5"/>
        <v>2.1369732944791251E-2</v>
      </c>
    </row>
    <row r="371" spans="1:8" x14ac:dyDescent="0.35">
      <c r="A371" s="3">
        <v>44734</v>
      </c>
      <c r="B371" s="1">
        <v>60.599998474121001</v>
      </c>
      <c r="C371" s="1">
        <v>61.450000762939403</v>
      </c>
      <c r="D371" s="1">
        <v>60.319999694824197</v>
      </c>
      <c r="E371" s="1">
        <v>61.150001525878899</v>
      </c>
      <c r="F371" s="1">
        <v>55.079391479492102</v>
      </c>
      <c r="G371" s="1">
        <v>15207100</v>
      </c>
      <c r="H371" s="1">
        <f t="shared" si="5"/>
        <v>7.4135824533315244E-3</v>
      </c>
    </row>
    <row r="372" spans="1:8" x14ac:dyDescent="0.35">
      <c r="A372" s="3">
        <v>44735</v>
      </c>
      <c r="B372" s="1">
        <v>61.299999237060497</v>
      </c>
      <c r="C372" s="1">
        <v>61.909999847412102</v>
      </c>
      <c r="D372" s="1">
        <v>61.2299995422363</v>
      </c>
      <c r="E372" s="1">
        <v>61.880001068115199</v>
      </c>
      <c r="F372" s="1">
        <v>55.736915588378899</v>
      </c>
      <c r="G372" s="1">
        <v>17190900</v>
      </c>
      <c r="H372" s="1">
        <f t="shared" si="5"/>
        <v>1.1937751874612034E-2</v>
      </c>
    </row>
    <row r="373" spans="1:8" x14ac:dyDescent="0.35">
      <c r="A373" s="3">
        <v>44736</v>
      </c>
      <c r="B373" s="1">
        <v>62.110000610351499</v>
      </c>
      <c r="C373" s="1">
        <v>63.060001373291001</v>
      </c>
      <c r="D373" s="1">
        <v>62.110000610351499</v>
      </c>
      <c r="E373" s="1">
        <v>63.040000915527301</v>
      </c>
      <c r="F373" s="1">
        <v>56.781764984130803</v>
      </c>
      <c r="G373" s="1">
        <v>18147100</v>
      </c>
      <c r="H373" s="1">
        <f t="shared" si="5"/>
        <v>1.8746092867215524E-2</v>
      </c>
    </row>
    <row r="374" spans="1:8" x14ac:dyDescent="0.35">
      <c r="A374" s="3">
        <v>44739</v>
      </c>
      <c r="B374" s="1">
        <v>62.9799995422363</v>
      </c>
      <c r="C374" s="1">
        <v>63.290000915527301</v>
      </c>
      <c r="D374" s="1">
        <v>62.630001068115199</v>
      </c>
      <c r="E374" s="1">
        <v>62.909999847412102</v>
      </c>
      <c r="F374" s="1">
        <v>56.664665222167898</v>
      </c>
      <c r="G374" s="1">
        <v>12142100</v>
      </c>
      <c r="H374" s="1">
        <f t="shared" si="5"/>
        <v>-2.0622775990783576E-3</v>
      </c>
    </row>
    <row r="375" spans="1:8" x14ac:dyDescent="0.35">
      <c r="A375" s="3">
        <v>44740</v>
      </c>
      <c r="B375" s="1">
        <v>63.080001831054602</v>
      </c>
      <c r="C375" s="1">
        <v>63.759998321533203</v>
      </c>
      <c r="D375" s="1">
        <v>62.110000610351499</v>
      </c>
      <c r="E375" s="1">
        <v>62.279998779296797</v>
      </c>
      <c r="F375" s="1">
        <v>56.097213745117102</v>
      </c>
      <c r="G375" s="1">
        <v>13150100</v>
      </c>
      <c r="H375" s="1">
        <f t="shared" si="5"/>
        <v>-1.0014203292756799E-2</v>
      </c>
    </row>
    <row r="376" spans="1:8" x14ac:dyDescent="0.35">
      <c r="A376" s="3">
        <v>44741</v>
      </c>
      <c r="B376" s="1">
        <v>62.540000915527301</v>
      </c>
      <c r="C376" s="1">
        <v>63.110000610351499</v>
      </c>
      <c r="D376" s="1">
        <v>62.430000305175703</v>
      </c>
      <c r="E376" s="1">
        <v>62.7299995422363</v>
      </c>
      <c r="F376" s="1">
        <v>56.502544403076101</v>
      </c>
      <c r="G376" s="1">
        <v>11795500</v>
      </c>
      <c r="H376" s="1">
        <f t="shared" si="5"/>
        <v>7.2255042790655534E-3</v>
      </c>
    </row>
    <row r="377" spans="1:8" x14ac:dyDescent="0.35">
      <c r="A377" s="3">
        <v>44742</v>
      </c>
      <c r="B377" s="1">
        <v>62.319999694824197</v>
      </c>
      <c r="C377" s="1">
        <v>63.110000610351499</v>
      </c>
      <c r="D377" s="1">
        <v>62.159999847412102</v>
      </c>
      <c r="E377" s="1">
        <v>62.909999847412102</v>
      </c>
      <c r="F377" s="1">
        <v>56.664665222167898</v>
      </c>
      <c r="G377" s="1">
        <v>15514200</v>
      </c>
      <c r="H377" s="1">
        <f t="shared" si="5"/>
        <v>2.8692658145669406E-3</v>
      </c>
    </row>
    <row r="378" spans="1:8" x14ac:dyDescent="0.35">
      <c r="A378" s="3">
        <v>44743</v>
      </c>
      <c r="B378" s="1">
        <v>63.119998931884702</v>
      </c>
      <c r="C378" s="1">
        <v>64.449996948242102</v>
      </c>
      <c r="D378" s="1">
        <v>62.819999694824197</v>
      </c>
      <c r="E378" s="1">
        <v>64.379997253417898</v>
      </c>
      <c r="F378" s="1">
        <v>57.988735198974602</v>
      </c>
      <c r="G378" s="1">
        <v>15143200</v>
      </c>
      <c r="H378" s="1">
        <f t="shared" si="5"/>
        <v>2.3366766072213774E-2</v>
      </c>
    </row>
    <row r="379" spans="1:8" x14ac:dyDescent="0.35">
      <c r="A379" s="3">
        <v>44747</v>
      </c>
      <c r="B379" s="1">
        <v>64.180000305175696</v>
      </c>
      <c r="C379" s="1">
        <v>64.180000305175696</v>
      </c>
      <c r="D379" s="1">
        <v>62.419998168945298</v>
      </c>
      <c r="E379" s="1">
        <v>63.279998779296797</v>
      </c>
      <c r="F379" s="1">
        <v>56.997936248779297</v>
      </c>
      <c r="G379" s="1">
        <v>15921200</v>
      </c>
      <c r="H379" s="1">
        <f t="shared" si="5"/>
        <v>-1.7086058987070742E-2</v>
      </c>
    </row>
    <row r="380" spans="1:8" x14ac:dyDescent="0.35">
      <c r="A380" s="3">
        <v>44748</v>
      </c>
      <c r="B380" s="1">
        <v>63.599998474121001</v>
      </c>
      <c r="C380" s="1">
        <v>64.089996337890597</v>
      </c>
      <c r="D380" s="1">
        <v>63.189998626708899</v>
      </c>
      <c r="E380" s="1">
        <v>63.409999847412102</v>
      </c>
      <c r="F380" s="1">
        <v>57.115024566650298</v>
      </c>
      <c r="G380" s="1">
        <v>13450500</v>
      </c>
      <c r="H380" s="1">
        <f t="shared" si="5"/>
        <v>2.0542553919837584E-3</v>
      </c>
    </row>
    <row r="381" spans="1:8" x14ac:dyDescent="0.35">
      <c r="A381" s="3">
        <v>44749</v>
      </c>
      <c r="B381" s="1">
        <v>63.259998321533203</v>
      </c>
      <c r="C381" s="1">
        <v>63.580001831054602</v>
      </c>
      <c r="D381" s="1">
        <v>62.700000762939403</v>
      </c>
      <c r="E381" s="1">
        <v>62.909999847412102</v>
      </c>
      <c r="F381" s="1">
        <v>56.664665222167898</v>
      </c>
      <c r="G381" s="1">
        <v>14828400</v>
      </c>
      <c r="H381" s="1">
        <f t="shared" si="5"/>
        <v>-7.8851291389510723E-3</v>
      </c>
    </row>
    <row r="382" spans="1:8" x14ac:dyDescent="0.35">
      <c r="A382" s="3">
        <v>44750</v>
      </c>
      <c r="B382" s="1">
        <v>63.029998779296797</v>
      </c>
      <c r="C382" s="1">
        <v>63.419998168945298</v>
      </c>
      <c r="D382" s="1">
        <v>62.880001068115199</v>
      </c>
      <c r="E382" s="1">
        <v>63.139999389648402</v>
      </c>
      <c r="F382" s="1">
        <v>56.871822357177699</v>
      </c>
      <c r="G382" s="1">
        <v>11311500</v>
      </c>
      <c r="H382" s="1">
        <f t="shared" si="5"/>
        <v>3.6558432701859285E-3</v>
      </c>
    </row>
    <row r="383" spans="1:8" x14ac:dyDescent="0.35">
      <c r="A383" s="3">
        <v>44753</v>
      </c>
      <c r="B383" s="1">
        <v>62.990001678466797</v>
      </c>
      <c r="C383" s="1">
        <v>63.459999084472599</v>
      </c>
      <c r="D383" s="1">
        <v>62.590000152587798</v>
      </c>
      <c r="E383" s="1">
        <v>62.939998626708899</v>
      </c>
      <c r="F383" s="1">
        <v>56.691688537597599</v>
      </c>
      <c r="G383" s="1">
        <v>12702100</v>
      </c>
      <c r="H383" s="1">
        <f t="shared" si="5"/>
        <v>-3.1673649992923964E-3</v>
      </c>
    </row>
    <row r="384" spans="1:8" x14ac:dyDescent="0.35">
      <c r="A384" s="3">
        <v>44754</v>
      </c>
      <c r="B384" s="1">
        <v>63</v>
      </c>
      <c r="C384" s="1">
        <v>63.450000762939403</v>
      </c>
      <c r="D384" s="1">
        <v>62.470001220703097</v>
      </c>
      <c r="E384" s="1">
        <v>62.669998168945298</v>
      </c>
      <c r="F384" s="1">
        <v>56.448497772216797</v>
      </c>
      <c r="G384" s="1">
        <v>14731100</v>
      </c>
      <c r="H384" s="1">
        <f t="shared" si="5"/>
        <v>-4.2897075683240556E-3</v>
      </c>
    </row>
    <row r="385" spans="1:8" x14ac:dyDescent="0.35">
      <c r="A385" s="3">
        <v>44755</v>
      </c>
      <c r="B385" s="1">
        <v>62.330001831054602</v>
      </c>
      <c r="C385" s="1">
        <v>63</v>
      </c>
      <c r="D385" s="1">
        <v>61.9799995422363</v>
      </c>
      <c r="E385" s="1">
        <v>62.380001068115199</v>
      </c>
      <c r="F385" s="1">
        <v>56.187286376953097</v>
      </c>
      <c r="G385" s="1">
        <v>13145300</v>
      </c>
      <c r="H385" s="1">
        <f t="shared" si="5"/>
        <v>-4.6274286397797659E-3</v>
      </c>
    </row>
    <row r="386" spans="1:8" x14ac:dyDescent="0.35">
      <c r="A386" s="3">
        <v>44756</v>
      </c>
      <c r="B386" s="1">
        <v>61.330001831054602</v>
      </c>
      <c r="C386" s="1">
        <v>62.25</v>
      </c>
      <c r="D386" s="1">
        <v>61.299999237060497</v>
      </c>
      <c r="E386" s="1">
        <v>62.180000305175703</v>
      </c>
      <c r="F386" s="1">
        <v>56.0071411132812</v>
      </c>
      <c r="G386" s="1">
        <v>14433000</v>
      </c>
      <c r="H386" s="1">
        <f t="shared" si="5"/>
        <v>-3.206157038147838E-3</v>
      </c>
    </row>
    <row r="387" spans="1:8" x14ac:dyDescent="0.35">
      <c r="A387" s="3">
        <v>44757</v>
      </c>
      <c r="B387" s="1">
        <v>62.75</v>
      </c>
      <c r="C387" s="1">
        <v>62.970001220703097</v>
      </c>
      <c r="D387" s="1">
        <v>62.069999694824197</v>
      </c>
      <c r="E387" s="1">
        <v>62.5</v>
      </c>
      <c r="F387" s="1">
        <v>56.29536819458</v>
      </c>
      <c r="G387" s="1">
        <v>21968400</v>
      </c>
      <c r="H387" s="1">
        <f t="shared" si="5"/>
        <v>5.1462559161130125E-3</v>
      </c>
    </row>
    <row r="388" spans="1:8" x14ac:dyDescent="0.35">
      <c r="A388" s="3">
        <v>44760</v>
      </c>
      <c r="B388" s="1">
        <v>62.520000457763601</v>
      </c>
      <c r="C388" s="1">
        <v>62.560001373291001</v>
      </c>
      <c r="D388" s="1">
        <v>61.509998321533203</v>
      </c>
      <c r="E388" s="1">
        <v>61.650001525878899</v>
      </c>
      <c r="F388" s="1">
        <v>55.529758453369098</v>
      </c>
      <c r="G388" s="1">
        <v>10780800</v>
      </c>
      <c r="H388" s="1">
        <f t="shared" ref="H388:H451" si="6">(F388-F387)/F387</f>
        <v>-1.3599870926585631E-2</v>
      </c>
    </row>
    <row r="389" spans="1:8" x14ac:dyDescent="0.35">
      <c r="A389" s="3">
        <v>44761</v>
      </c>
      <c r="B389" s="1">
        <v>62.090000152587798</v>
      </c>
      <c r="C389" s="1">
        <v>62.650001525878899</v>
      </c>
      <c r="D389" s="1">
        <v>61.930000305175703</v>
      </c>
      <c r="E389" s="1">
        <v>62.529998779296797</v>
      </c>
      <c r="F389" s="1">
        <v>56.3223876953125</v>
      </c>
      <c r="G389" s="1">
        <v>10998200</v>
      </c>
      <c r="H389" s="1">
        <f t="shared" si="6"/>
        <v>1.4273954434882143E-2</v>
      </c>
    </row>
    <row r="390" spans="1:8" x14ac:dyDescent="0.35">
      <c r="A390" s="3">
        <v>44762</v>
      </c>
      <c r="B390" s="1">
        <v>62.400001525878899</v>
      </c>
      <c r="C390" s="1">
        <v>62.580001831054602</v>
      </c>
      <c r="D390" s="1">
        <v>61.150001525878899</v>
      </c>
      <c r="E390" s="1">
        <v>61.5</v>
      </c>
      <c r="F390" s="1">
        <v>55.394649505615199</v>
      </c>
      <c r="G390" s="1">
        <v>11010500</v>
      </c>
      <c r="H390" s="1">
        <f t="shared" si="6"/>
        <v>-1.6471925776941329E-2</v>
      </c>
    </row>
    <row r="391" spans="1:8" x14ac:dyDescent="0.35">
      <c r="A391" s="3">
        <v>44763</v>
      </c>
      <c r="B391" s="1">
        <v>61.259998321533203</v>
      </c>
      <c r="C391" s="1">
        <v>61.880001068115199</v>
      </c>
      <c r="D391" s="1">
        <v>60.790000915527301</v>
      </c>
      <c r="E391" s="1">
        <v>61.360000610351499</v>
      </c>
      <c r="F391" s="1">
        <v>55.268543243408203</v>
      </c>
      <c r="G391" s="1">
        <v>11959600</v>
      </c>
      <c r="H391" s="1">
        <f t="shared" si="6"/>
        <v>-2.276506184847558E-3</v>
      </c>
    </row>
    <row r="392" spans="1:8" x14ac:dyDescent="0.35">
      <c r="A392" s="3">
        <v>44764</v>
      </c>
      <c r="B392" s="1">
        <v>61.380001068115199</v>
      </c>
      <c r="C392" s="1">
        <v>61.869998931884702</v>
      </c>
      <c r="D392" s="1">
        <v>61.319999694824197</v>
      </c>
      <c r="E392" s="1">
        <v>61.590000152587798</v>
      </c>
      <c r="F392" s="1">
        <v>55.475711822509702</v>
      </c>
      <c r="G392" s="1">
        <v>11644700</v>
      </c>
      <c r="H392" s="1">
        <f t="shared" si="6"/>
        <v>3.7483994862883823E-3</v>
      </c>
    </row>
    <row r="393" spans="1:8" x14ac:dyDescent="0.35">
      <c r="A393" s="3">
        <v>44767</v>
      </c>
      <c r="B393" s="1">
        <v>61.549999237060497</v>
      </c>
      <c r="C393" s="1">
        <v>62.299999237060497</v>
      </c>
      <c r="D393" s="1">
        <v>61.310001373291001</v>
      </c>
      <c r="E393" s="1">
        <v>62.189998626708899</v>
      </c>
      <c r="F393" s="1">
        <v>56.016151428222599</v>
      </c>
      <c r="G393" s="1">
        <v>14941700</v>
      </c>
      <c r="H393" s="1">
        <f t="shared" si="6"/>
        <v>9.741913856680072E-3</v>
      </c>
    </row>
    <row r="394" spans="1:8" x14ac:dyDescent="0.35">
      <c r="A394" s="3">
        <v>44768</v>
      </c>
      <c r="B394" s="1">
        <v>62.75</v>
      </c>
      <c r="C394" s="1">
        <v>63.799999237060497</v>
      </c>
      <c r="D394" s="1">
        <v>62.529998779296797</v>
      </c>
      <c r="E394" s="1">
        <v>63.209999084472599</v>
      </c>
      <c r="F394" s="1">
        <v>56.934886932372997</v>
      </c>
      <c r="G394" s="1">
        <v>20118000</v>
      </c>
      <c r="H394" s="1">
        <f t="shared" si="6"/>
        <v>1.6401260720805454E-2</v>
      </c>
    </row>
    <row r="395" spans="1:8" x14ac:dyDescent="0.35">
      <c r="A395" s="3">
        <v>44769</v>
      </c>
      <c r="B395" s="1">
        <v>62.880001068115199</v>
      </c>
      <c r="C395" s="1">
        <v>63.189998626708899</v>
      </c>
      <c r="D395" s="1">
        <v>61.790000915527301</v>
      </c>
      <c r="E395" s="1">
        <v>63.009998321533203</v>
      </c>
      <c r="F395" s="1">
        <v>56.754737854003899</v>
      </c>
      <c r="G395" s="1">
        <v>12142900</v>
      </c>
      <c r="H395" s="1">
        <f t="shared" si="6"/>
        <v>-3.1641246356224131E-3</v>
      </c>
    </row>
    <row r="396" spans="1:8" x14ac:dyDescent="0.35">
      <c r="A396" s="3">
        <v>44770</v>
      </c>
      <c r="B396" s="1">
        <v>62.919998168945298</v>
      </c>
      <c r="C396" s="1">
        <v>64.25</v>
      </c>
      <c r="D396" s="1">
        <v>62.889999389648402</v>
      </c>
      <c r="E396" s="1">
        <v>64.059997558593693</v>
      </c>
      <c r="F396" s="1">
        <v>57.700504302978501</v>
      </c>
      <c r="G396" s="1">
        <v>10837000</v>
      </c>
      <c r="H396" s="1">
        <f t="shared" si="6"/>
        <v>1.6664096861965877E-2</v>
      </c>
    </row>
    <row r="397" spans="1:8" x14ac:dyDescent="0.35">
      <c r="A397" s="3">
        <v>44771</v>
      </c>
      <c r="B397" s="1">
        <v>63.709999084472599</v>
      </c>
      <c r="C397" s="1">
        <v>64.290000915527301</v>
      </c>
      <c r="D397" s="1">
        <v>63.630001068115199</v>
      </c>
      <c r="E397" s="1">
        <v>64.169998168945298</v>
      </c>
      <c r="F397" s="1">
        <v>57.7995796203613</v>
      </c>
      <c r="G397" s="1">
        <v>13734200</v>
      </c>
      <c r="H397" s="1">
        <f t="shared" si="6"/>
        <v>1.7170615504946984E-3</v>
      </c>
    </row>
    <row r="398" spans="1:8" x14ac:dyDescent="0.35">
      <c r="A398" s="3">
        <v>44774</v>
      </c>
      <c r="B398" s="1">
        <v>64.089996337890597</v>
      </c>
      <c r="C398" s="1">
        <v>65.040000915527301</v>
      </c>
      <c r="D398" s="1">
        <v>64.029998779296804</v>
      </c>
      <c r="E398" s="1">
        <v>64.519996643066406</v>
      </c>
      <c r="F398" s="1">
        <v>58.114830017089801</v>
      </c>
      <c r="G398" s="1">
        <v>12831500</v>
      </c>
      <c r="H398" s="1">
        <f t="shared" si="6"/>
        <v>5.4541987813601124E-3</v>
      </c>
    </row>
    <row r="399" spans="1:8" x14ac:dyDescent="0.35">
      <c r="A399" s="3">
        <v>44775</v>
      </c>
      <c r="B399" s="1">
        <v>64.589996337890597</v>
      </c>
      <c r="C399" s="1">
        <v>64.599998474121094</v>
      </c>
      <c r="D399" s="1">
        <v>63.430000305175703</v>
      </c>
      <c r="E399" s="1">
        <v>63.639999389648402</v>
      </c>
      <c r="F399" s="1">
        <v>57.322193145751903</v>
      </c>
      <c r="G399" s="1">
        <v>15241900</v>
      </c>
      <c r="H399" s="1">
        <f t="shared" si="6"/>
        <v>-1.3639149785085965E-2</v>
      </c>
    </row>
    <row r="400" spans="1:8" x14ac:dyDescent="0.35">
      <c r="A400" s="3">
        <v>44776</v>
      </c>
      <c r="B400" s="1">
        <v>63.549999237060497</v>
      </c>
      <c r="C400" s="1">
        <v>64.099998474121094</v>
      </c>
      <c r="D400" s="1">
        <v>63.310001373291001</v>
      </c>
      <c r="E400" s="1">
        <v>63.919998168945298</v>
      </c>
      <c r="F400" s="1">
        <v>57.5744018554687</v>
      </c>
      <c r="G400" s="1">
        <v>11317000</v>
      </c>
      <c r="H400" s="1">
        <f t="shared" si="6"/>
        <v>4.399844037291302E-3</v>
      </c>
    </row>
    <row r="401" spans="1:8" x14ac:dyDescent="0.35">
      <c r="A401" s="3">
        <v>44777</v>
      </c>
      <c r="B401" s="1">
        <v>63.639999389648402</v>
      </c>
      <c r="C401" s="1">
        <v>63.7299995422363</v>
      </c>
      <c r="D401" s="1">
        <v>62.919998168945298</v>
      </c>
      <c r="E401" s="1">
        <v>63.669998168945298</v>
      </c>
      <c r="F401" s="1">
        <v>57.349216461181598</v>
      </c>
      <c r="G401" s="1">
        <v>11795600</v>
      </c>
      <c r="H401" s="1">
        <f t="shared" si="6"/>
        <v>-3.9112068389767045E-3</v>
      </c>
    </row>
    <row r="402" spans="1:8" x14ac:dyDescent="0.35">
      <c r="A402" s="3">
        <v>44778</v>
      </c>
      <c r="B402" s="1">
        <v>63.630001068115199</v>
      </c>
      <c r="C402" s="1">
        <v>63.630001068115199</v>
      </c>
      <c r="D402" s="1">
        <v>62.669998168945298</v>
      </c>
      <c r="E402" s="1">
        <v>63.380001068115199</v>
      </c>
      <c r="F402" s="1">
        <v>57.0880126953125</v>
      </c>
      <c r="G402" s="1">
        <v>10445400</v>
      </c>
      <c r="H402" s="1">
        <f t="shared" si="6"/>
        <v>-4.5546178655448757E-3</v>
      </c>
    </row>
    <row r="403" spans="1:8" x14ac:dyDescent="0.35">
      <c r="A403" s="3">
        <v>44781</v>
      </c>
      <c r="B403" s="1">
        <v>63.5</v>
      </c>
      <c r="C403" s="1">
        <v>63.810001373291001</v>
      </c>
      <c r="D403" s="1">
        <v>62.75</v>
      </c>
      <c r="E403" s="1">
        <v>62.970001220703097</v>
      </c>
      <c r="F403" s="1">
        <v>56.718711853027301</v>
      </c>
      <c r="G403" s="1">
        <v>9165200</v>
      </c>
      <c r="H403" s="1">
        <f t="shared" si="6"/>
        <v>-6.4689735173689483E-3</v>
      </c>
    </row>
    <row r="404" spans="1:8" x14ac:dyDescent="0.35">
      <c r="A404" s="3">
        <v>44782</v>
      </c>
      <c r="B404" s="1">
        <v>63.180000305175703</v>
      </c>
      <c r="C404" s="1">
        <v>63.310001373291001</v>
      </c>
      <c r="D404" s="1">
        <v>62.849998474121001</v>
      </c>
      <c r="E404" s="1">
        <v>63.049999237060497</v>
      </c>
      <c r="F404" s="1">
        <v>56.790767669677699</v>
      </c>
      <c r="G404" s="1">
        <v>7910900</v>
      </c>
      <c r="H404" s="1">
        <f t="shared" si="6"/>
        <v>1.2704064372461913E-3</v>
      </c>
    </row>
    <row r="405" spans="1:8" x14ac:dyDescent="0.35">
      <c r="A405" s="3">
        <v>44783</v>
      </c>
      <c r="B405" s="1">
        <v>63.630001068115199</v>
      </c>
      <c r="C405" s="1">
        <v>63.790000915527301</v>
      </c>
      <c r="D405" s="1">
        <v>63.099998474121001</v>
      </c>
      <c r="E405" s="1">
        <v>63.650001525878899</v>
      </c>
      <c r="F405" s="1">
        <v>57.331207275390597</v>
      </c>
      <c r="G405" s="1">
        <v>8857300</v>
      </c>
      <c r="H405" s="1">
        <f t="shared" si="6"/>
        <v>9.5163285845395375E-3</v>
      </c>
    </row>
    <row r="406" spans="1:8" x14ac:dyDescent="0.35">
      <c r="A406" s="3">
        <v>44784</v>
      </c>
      <c r="B406" s="1">
        <v>63.689998626708899</v>
      </c>
      <c r="C406" s="1">
        <v>63.990001678466797</v>
      </c>
      <c r="D406" s="1">
        <v>63.080001831054602</v>
      </c>
      <c r="E406" s="1">
        <v>63.220001220703097</v>
      </c>
      <c r="F406" s="1">
        <v>56.943897247314403</v>
      </c>
      <c r="G406" s="1">
        <v>8507800</v>
      </c>
      <c r="H406" s="1">
        <f t="shared" si="6"/>
        <v>-6.7556579824971852E-3</v>
      </c>
    </row>
    <row r="407" spans="1:8" x14ac:dyDescent="0.35">
      <c r="A407" s="3">
        <v>44785</v>
      </c>
      <c r="B407" s="1">
        <v>63.430000305175703</v>
      </c>
      <c r="C407" s="1">
        <v>63.759998321533203</v>
      </c>
      <c r="D407" s="1">
        <v>63.090000152587798</v>
      </c>
      <c r="E407" s="1">
        <v>63.700000762939403</v>
      </c>
      <c r="F407" s="1">
        <v>57.3762397766113</v>
      </c>
      <c r="G407" s="1">
        <v>9489300</v>
      </c>
      <c r="H407" s="1">
        <f t="shared" si="6"/>
        <v>7.5924295700938614E-3</v>
      </c>
    </row>
    <row r="408" spans="1:8" x14ac:dyDescent="0.35">
      <c r="A408" s="3">
        <v>44788</v>
      </c>
      <c r="B408" s="1">
        <v>63.639999389648402</v>
      </c>
      <c r="C408" s="1">
        <v>64.690002441406193</v>
      </c>
      <c r="D408" s="1">
        <v>63.569999694824197</v>
      </c>
      <c r="E408" s="1">
        <v>64.5</v>
      </c>
      <c r="F408" s="1">
        <v>58.096824645996001</v>
      </c>
      <c r="G408" s="1">
        <v>9863300</v>
      </c>
      <c r="H408" s="1">
        <f t="shared" si="6"/>
        <v>1.2558942032280739E-2</v>
      </c>
    </row>
    <row r="409" spans="1:8" x14ac:dyDescent="0.35">
      <c r="A409" s="3">
        <v>44789</v>
      </c>
      <c r="B409" s="1">
        <v>64.569999694824205</v>
      </c>
      <c r="C409" s="1">
        <v>65.230003356933594</v>
      </c>
      <c r="D409" s="1">
        <v>64.330001831054602</v>
      </c>
      <c r="E409" s="1">
        <v>65.029998779296804</v>
      </c>
      <c r="F409" s="1">
        <v>58.574207305908203</v>
      </c>
      <c r="G409" s="1">
        <v>9569600</v>
      </c>
      <c r="H409" s="1">
        <f t="shared" si="6"/>
        <v>8.2170181041917346E-3</v>
      </c>
    </row>
    <row r="410" spans="1:8" x14ac:dyDescent="0.35">
      <c r="A410" s="3">
        <v>44790</v>
      </c>
      <c r="B410" s="1">
        <v>64.830001831054602</v>
      </c>
      <c r="C410" s="1">
        <v>65.220001220703097</v>
      </c>
      <c r="D410" s="1">
        <v>64.760002136230398</v>
      </c>
      <c r="E410" s="1">
        <v>64.879997253417898</v>
      </c>
      <c r="F410" s="1">
        <v>58.4390869140625</v>
      </c>
      <c r="G410" s="1">
        <v>8144000</v>
      </c>
      <c r="H410" s="1">
        <f t="shared" si="6"/>
        <v>-2.3068240794113818E-3</v>
      </c>
    </row>
    <row r="411" spans="1:8" x14ac:dyDescent="0.35">
      <c r="A411" s="3">
        <v>44791</v>
      </c>
      <c r="B411" s="1">
        <v>64.959999084472599</v>
      </c>
      <c r="C411" s="1">
        <v>65.349998474121094</v>
      </c>
      <c r="D411" s="1">
        <v>64.709999084472599</v>
      </c>
      <c r="E411" s="1">
        <v>65.220001220703097</v>
      </c>
      <c r="F411" s="1">
        <v>58.745349884033203</v>
      </c>
      <c r="G411" s="1">
        <v>6532000</v>
      </c>
      <c r="H411" s="1">
        <f t="shared" si="6"/>
        <v>5.2407213415411099E-3</v>
      </c>
    </row>
    <row r="412" spans="1:8" x14ac:dyDescent="0.35">
      <c r="A412" s="3">
        <v>44792</v>
      </c>
      <c r="B412" s="1">
        <v>65.209999084472599</v>
      </c>
      <c r="C412" s="1">
        <v>65.470001220703097</v>
      </c>
      <c r="D412" s="1">
        <v>64.959999084472599</v>
      </c>
      <c r="E412" s="1">
        <v>65.169998168945298</v>
      </c>
      <c r="F412" s="1">
        <v>58.700302124023402</v>
      </c>
      <c r="G412" s="1">
        <v>8921100</v>
      </c>
      <c r="H412" s="1">
        <f t="shared" si="6"/>
        <v>-7.6683107852328904E-4</v>
      </c>
    </row>
    <row r="413" spans="1:8" x14ac:dyDescent="0.35">
      <c r="A413" s="3">
        <v>44795</v>
      </c>
      <c r="B413" s="1">
        <v>64.839996337890597</v>
      </c>
      <c r="C413" s="1">
        <v>64.919998168945298</v>
      </c>
      <c r="D413" s="1">
        <v>63.990001678466797</v>
      </c>
      <c r="E413" s="1">
        <v>64.199996948242102</v>
      </c>
      <c r="F413" s="1">
        <v>57.826602935791001</v>
      </c>
      <c r="G413" s="1">
        <v>9087900</v>
      </c>
      <c r="H413" s="1">
        <f t="shared" si="6"/>
        <v>-1.4884066292988203E-2</v>
      </c>
    </row>
    <row r="414" spans="1:8" x14ac:dyDescent="0.35">
      <c r="A414" s="3">
        <v>44796</v>
      </c>
      <c r="B414" s="1">
        <v>63.819999694824197</v>
      </c>
      <c r="C414" s="1">
        <v>64.370002746582003</v>
      </c>
      <c r="D414" s="1">
        <v>63.680000305175703</v>
      </c>
      <c r="E414" s="1">
        <v>64.269996643066406</v>
      </c>
      <c r="F414" s="1">
        <v>57.889652252197202</v>
      </c>
      <c r="G414" s="1">
        <v>8443800</v>
      </c>
      <c r="H414" s="1">
        <f t="shared" si="6"/>
        <v>1.0903167954757504E-3</v>
      </c>
    </row>
    <row r="415" spans="1:8" x14ac:dyDescent="0.35">
      <c r="A415" s="3">
        <v>44797</v>
      </c>
      <c r="B415" s="1">
        <v>64.239997863769503</v>
      </c>
      <c r="C415" s="1">
        <v>64.580001831054602</v>
      </c>
      <c r="D415" s="1">
        <v>64.050003051757798</v>
      </c>
      <c r="E415" s="1">
        <v>64.360000610351506</v>
      </c>
      <c r="F415" s="1">
        <v>57.970718383788999</v>
      </c>
      <c r="G415" s="1">
        <v>6844700</v>
      </c>
      <c r="H415" s="1">
        <f t="shared" si="6"/>
        <v>1.4003561679491693E-3</v>
      </c>
    </row>
    <row r="416" spans="1:8" x14ac:dyDescent="0.35">
      <c r="A416" s="3">
        <v>44798</v>
      </c>
      <c r="B416" s="1">
        <v>64.360000610351506</v>
      </c>
      <c r="C416" s="1">
        <v>64.709999084472599</v>
      </c>
      <c r="D416" s="1">
        <v>63.900001525878899</v>
      </c>
      <c r="E416" s="1">
        <v>64.669998168945298</v>
      </c>
      <c r="F416" s="1">
        <v>58.249946594238203</v>
      </c>
      <c r="G416" s="1">
        <v>7913900</v>
      </c>
      <c r="H416" s="1">
        <f t="shared" si="6"/>
        <v>4.8167112334300179E-3</v>
      </c>
    </row>
    <row r="417" spans="1:8" x14ac:dyDescent="0.35">
      <c r="A417" s="3">
        <v>44799</v>
      </c>
      <c r="B417" s="1">
        <v>64.730003356933594</v>
      </c>
      <c r="C417" s="1">
        <v>64.800003051757798</v>
      </c>
      <c r="D417" s="1">
        <v>62.9799995422363</v>
      </c>
      <c r="E417" s="1">
        <v>63.110000610351499</v>
      </c>
      <c r="F417" s="1">
        <v>56.8448066711425</v>
      </c>
      <c r="G417" s="1">
        <v>10089500</v>
      </c>
      <c r="H417" s="1">
        <f t="shared" si="6"/>
        <v>-2.412259590354187E-2</v>
      </c>
    </row>
    <row r="418" spans="1:8" x14ac:dyDescent="0.35">
      <c r="A418" s="3">
        <v>44802</v>
      </c>
      <c r="B418" s="1">
        <v>62.689998626708899</v>
      </c>
      <c r="C418" s="1">
        <v>63.029998779296797</v>
      </c>
      <c r="D418" s="1">
        <v>62.409999847412102</v>
      </c>
      <c r="E418" s="1">
        <v>62.7299995422363</v>
      </c>
      <c r="F418" s="1">
        <v>56.502544403076101</v>
      </c>
      <c r="G418" s="1">
        <v>9115900</v>
      </c>
      <c r="H418" s="1">
        <f t="shared" si="6"/>
        <v>-6.0209944955297032E-3</v>
      </c>
    </row>
    <row r="419" spans="1:8" x14ac:dyDescent="0.35">
      <c r="A419" s="3">
        <v>44803</v>
      </c>
      <c r="B419" s="1">
        <v>62.909999847412102</v>
      </c>
      <c r="C419" s="1">
        <v>62.909999847412102</v>
      </c>
      <c r="D419" s="1">
        <v>61.990001678466797</v>
      </c>
      <c r="E419" s="1">
        <v>62.150001525878899</v>
      </c>
      <c r="F419" s="1">
        <v>55.980113983154297</v>
      </c>
      <c r="G419" s="1">
        <v>8456800</v>
      </c>
      <c r="H419" s="1">
        <f t="shared" si="6"/>
        <v>-9.2461397170878895E-3</v>
      </c>
    </row>
    <row r="420" spans="1:8" x14ac:dyDescent="0.35">
      <c r="A420" s="3">
        <v>44804</v>
      </c>
      <c r="B420" s="1">
        <v>62.380001068115199</v>
      </c>
      <c r="C420" s="1">
        <v>62.529998779296797</v>
      </c>
      <c r="D420" s="1">
        <v>61.700000762939403</v>
      </c>
      <c r="E420" s="1">
        <v>61.709999084472599</v>
      </c>
      <c r="F420" s="1">
        <v>55.583797454833899</v>
      </c>
      <c r="G420" s="1">
        <v>14633600</v>
      </c>
      <c r="H420" s="1">
        <f t="shared" si="6"/>
        <v>-7.0795948797042199E-3</v>
      </c>
    </row>
    <row r="421" spans="1:8" x14ac:dyDescent="0.35">
      <c r="A421" s="3">
        <v>44805</v>
      </c>
      <c r="B421" s="1">
        <v>61.580001831054602</v>
      </c>
      <c r="C421" s="1">
        <v>62.040000915527301</v>
      </c>
      <c r="D421" s="1">
        <v>61.290000915527301</v>
      </c>
      <c r="E421" s="1">
        <v>62</v>
      </c>
      <c r="F421" s="1">
        <v>55.845005035400298</v>
      </c>
      <c r="G421" s="1">
        <v>14939700</v>
      </c>
      <c r="H421" s="1">
        <f t="shared" si="6"/>
        <v>4.6993475172085958E-3</v>
      </c>
    </row>
    <row r="422" spans="1:8" x14ac:dyDescent="0.35">
      <c r="A422" s="3">
        <v>44806</v>
      </c>
      <c r="B422" s="1">
        <v>62.389999389648402</v>
      </c>
      <c r="C422" s="1">
        <v>62.770000457763601</v>
      </c>
      <c r="D422" s="1">
        <v>60.900001525878899</v>
      </c>
      <c r="E422" s="1">
        <v>61.150001525878899</v>
      </c>
      <c r="F422" s="1">
        <v>55.079391479492102</v>
      </c>
      <c r="G422" s="1">
        <v>11809800</v>
      </c>
      <c r="H422" s="1">
        <f t="shared" si="6"/>
        <v>-1.3709615666125762E-2</v>
      </c>
    </row>
    <row r="423" spans="1:8" x14ac:dyDescent="0.35">
      <c r="A423" s="3">
        <v>44810</v>
      </c>
      <c r="B423" s="1">
        <v>61.290000915527301</v>
      </c>
      <c r="C423" s="1">
        <v>61.970001220703097</v>
      </c>
      <c r="D423" s="1">
        <v>60.990001678466797</v>
      </c>
      <c r="E423" s="1">
        <v>61.180000305175703</v>
      </c>
      <c r="F423" s="1">
        <v>55.106407165527301</v>
      </c>
      <c r="G423" s="1">
        <v>12181800</v>
      </c>
      <c r="H423" s="1">
        <f t="shared" si="6"/>
        <v>4.9048628369937101E-4</v>
      </c>
    </row>
    <row r="424" spans="1:8" x14ac:dyDescent="0.35">
      <c r="A424" s="3">
        <v>44811</v>
      </c>
      <c r="B424" s="1">
        <v>61.319999694824197</v>
      </c>
      <c r="C424" s="1">
        <v>62.490001678466797</v>
      </c>
      <c r="D424" s="1">
        <v>61.319999694824197</v>
      </c>
      <c r="E424" s="1">
        <v>62.310001373291001</v>
      </c>
      <c r="F424" s="1">
        <v>56.124233245849602</v>
      </c>
      <c r="G424" s="1">
        <v>13290700</v>
      </c>
      <c r="H424" s="1">
        <f t="shared" si="6"/>
        <v>1.8470194895213902E-2</v>
      </c>
    </row>
    <row r="425" spans="1:8" x14ac:dyDescent="0.35">
      <c r="A425" s="3">
        <v>44812</v>
      </c>
      <c r="B425" s="1">
        <v>62.080001831054602</v>
      </c>
      <c r="C425" s="1">
        <v>62.299999237060497</v>
      </c>
      <c r="D425" s="1">
        <v>61.340000152587798</v>
      </c>
      <c r="E425" s="1">
        <v>62.119998931884702</v>
      </c>
      <c r="F425" s="1">
        <v>55.953094482421797</v>
      </c>
      <c r="G425" s="1">
        <v>17193500</v>
      </c>
      <c r="H425" s="1">
        <f t="shared" si="6"/>
        <v>-3.0492846588770313E-3</v>
      </c>
    </row>
    <row r="426" spans="1:8" x14ac:dyDescent="0.35">
      <c r="A426" s="3">
        <v>44813</v>
      </c>
      <c r="B426" s="1">
        <v>62.169998168945298</v>
      </c>
      <c r="C426" s="1">
        <v>62.880001068115199</v>
      </c>
      <c r="D426" s="1">
        <v>61.860000610351499</v>
      </c>
      <c r="E426" s="1">
        <v>62.319999694824197</v>
      </c>
      <c r="F426" s="1">
        <v>56.1332397460937</v>
      </c>
      <c r="G426" s="1">
        <v>11855900</v>
      </c>
      <c r="H426" s="1">
        <f t="shared" si="6"/>
        <v>3.2195764208983613E-3</v>
      </c>
    </row>
    <row r="427" spans="1:8" x14ac:dyDescent="0.35">
      <c r="A427" s="3">
        <v>44816</v>
      </c>
      <c r="B427" s="1">
        <v>62.430000305175703</v>
      </c>
      <c r="C427" s="1">
        <v>62.810001373291001</v>
      </c>
      <c r="D427" s="1">
        <v>62.270000457763601</v>
      </c>
      <c r="E427" s="1">
        <v>62.5</v>
      </c>
      <c r="F427" s="1">
        <v>56.29536819458</v>
      </c>
      <c r="G427" s="1">
        <v>13026900</v>
      </c>
      <c r="H427" s="1">
        <f t="shared" si="6"/>
        <v>2.888278838343411E-3</v>
      </c>
    </row>
    <row r="428" spans="1:8" x14ac:dyDescent="0.35">
      <c r="A428" s="3">
        <v>44817</v>
      </c>
      <c r="B428" s="1">
        <v>62.200000762939403</v>
      </c>
      <c r="C428" s="1">
        <v>62.220001220703097</v>
      </c>
      <c r="D428" s="1">
        <v>60.279998779296797</v>
      </c>
      <c r="E428" s="1">
        <v>60.470001220703097</v>
      </c>
      <c r="F428" s="1">
        <v>54.466892242431598</v>
      </c>
      <c r="G428" s="1">
        <v>18532800</v>
      </c>
      <c r="H428" s="1">
        <f t="shared" si="6"/>
        <v>-3.2480042511285036E-2</v>
      </c>
    </row>
    <row r="429" spans="1:8" x14ac:dyDescent="0.35">
      <c r="A429" s="3">
        <v>44818</v>
      </c>
      <c r="B429" s="1">
        <v>60.639999389648402</v>
      </c>
      <c r="C429" s="1">
        <v>61.080001831054602</v>
      </c>
      <c r="D429" s="1">
        <v>60.439998626708899</v>
      </c>
      <c r="E429" s="1">
        <v>60.790000915527301</v>
      </c>
      <c r="F429" s="1">
        <v>54.755123138427699</v>
      </c>
      <c r="G429" s="1">
        <v>12881600</v>
      </c>
      <c r="H429" s="1">
        <f t="shared" si="6"/>
        <v>5.2918549990549858E-3</v>
      </c>
    </row>
    <row r="430" spans="1:8" x14ac:dyDescent="0.35">
      <c r="A430" s="3">
        <v>44819</v>
      </c>
      <c r="B430" s="1">
        <v>60.400001525878899</v>
      </c>
      <c r="C430" s="1">
        <v>60.400001525878899</v>
      </c>
      <c r="D430" s="1">
        <v>59.360000610351499</v>
      </c>
      <c r="E430" s="1">
        <v>59.529998779296797</v>
      </c>
      <c r="F430" s="1">
        <v>54.011150360107401</v>
      </c>
      <c r="G430" s="1">
        <v>11451900</v>
      </c>
      <c r="H430" s="1">
        <f t="shared" si="6"/>
        <v>-1.3587272490273529E-2</v>
      </c>
    </row>
    <row r="431" spans="1:8" x14ac:dyDescent="0.35">
      <c r="A431" s="3">
        <v>44820</v>
      </c>
      <c r="B431" s="1">
        <v>59.659999847412102</v>
      </c>
      <c r="C431" s="1">
        <v>59.799999237060497</v>
      </c>
      <c r="D431" s="1">
        <v>59.110000610351499</v>
      </c>
      <c r="E431" s="1">
        <v>59.540000915527301</v>
      </c>
      <c r="F431" s="1">
        <v>54.020225524902301</v>
      </c>
      <c r="G431" s="1">
        <v>20493500</v>
      </c>
      <c r="H431" s="1">
        <f t="shared" si="6"/>
        <v>1.6802391236613005E-4</v>
      </c>
    </row>
    <row r="432" spans="1:8" x14ac:dyDescent="0.35">
      <c r="A432" s="3">
        <v>44823</v>
      </c>
      <c r="B432" s="1">
        <v>59.389999389648402</v>
      </c>
      <c r="C432" s="1">
        <v>60.099998474121001</v>
      </c>
      <c r="D432" s="1">
        <v>59.2299995422363</v>
      </c>
      <c r="E432" s="1">
        <v>59.990001678466797</v>
      </c>
      <c r="F432" s="1">
        <v>54.428504943847599</v>
      </c>
      <c r="G432" s="1">
        <v>12596200</v>
      </c>
      <c r="H432" s="1">
        <f t="shared" si="6"/>
        <v>7.5578991938323025E-3</v>
      </c>
    </row>
    <row r="433" spans="1:8" x14ac:dyDescent="0.35">
      <c r="A433" s="3">
        <v>44824</v>
      </c>
      <c r="B433" s="1">
        <v>59.680000305175703</v>
      </c>
      <c r="C433" s="1">
        <v>60.029998779296797</v>
      </c>
      <c r="D433" s="1">
        <v>59.319999694824197</v>
      </c>
      <c r="E433" s="1">
        <v>59.900001525878899</v>
      </c>
      <c r="F433" s="1">
        <v>54.346843719482401</v>
      </c>
      <c r="G433" s="1">
        <v>11984600</v>
      </c>
      <c r="H433" s="1">
        <f t="shared" si="6"/>
        <v>-1.5003392881991983E-3</v>
      </c>
    </row>
    <row r="434" spans="1:8" x14ac:dyDescent="0.35">
      <c r="A434" s="3">
        <v>44825</v>
      </c>
      <c r="B434" s="1">
        <v>60.139999389648402</v>
      </c>
      <c r="C434" s="1">
        <v>60.700000762939403</v>
      </c>
      <c r="D434" s="1">
        <v>59.389999389648402</v>
      </c>
      <c r="E434" s="1">
        <v>59.400001525878899</v>
      </c>
      <c r="F434" s="1">
        <v>53.893203735351499</v>
      </c>
      <c r="G434" s="1">
        <v>14165300</v>
      </c>
      <c r="H434" s="1">
        <f t="shared" si="6"/>
        <v>-8.3471265870087678E-3</v>
      </c>
    </row>
    <row r="435" spans="1:8" x14ac:dyDescent="0.35">
      <c r="A435" s="3">
        <v>44826</v>
      </c>
      <c r="B435" s="1">
        <v>59.549999237060497</v>
      </c>
      <c r="C435" s="1">
        <v>59.7299995422363</v>
      </c>
      <c r="D435" s="1">
        <v>59.200000762939403</v>
      </c>
      <c r="E435" s="1">
        <v>59.259998321533203</v>
      </c>
      <c r="F435" s="1">
        <v>53.766185760497997</v>
      </c>
      <c r="G435" s="1">
        <v>11657600</v>
      </c>
      <c r="H435" s="1">
        <f t="shared" si="6"/>
        <v>-2.3568458738737661E-3</v>
      </c>
    </row>
    <row r="436" spans="1:8" x14ac:dyDescent="0.35">
      <c r="A436" s="3">
        <v>44827</v>
      </c>
      <c r="B436" s="1">
        <v>58.959999084472599</v>
      </c>
      <c r="C436" s="1">
        <v>59.099998474121001</v>
      </c>
      <c r="D436" s="1">
        <v>58</v>
      </c>
      <c r="E436" s="1">
        <v>58.599998474121001</v>
      </c>
      <c r="F436" s="1">
        <v>53.167366027832003</v>
      </c>
      <c r="G436" s="1">
        <v>14824000</v>
      </c>
      <c r="H436" s="1">
        <f t="shared" si="6"/>
        <v>-1.1137478402009819E-2</v>
      </c>
    </row>
    <row r="437" spans="1:8" x14ac:dyDescent="0.35">
      <c r="A437" s="3">
        <v>44830</v>
      </c>
      <c r="B437" s="1">
        <v>58.490001678466797</v>
      </c>
      <c r="C437" s="1">
        <v>58.569999694824197</v>
      </c>
      <c r="D437" s="1">
        <v>57.689998626708899</v>
      </c>
      <c r="E437" s="1">
        <v>57.869998931884702</v>
      </c>
      <c r="F437" s="1">
        <v>52.505039215087798</v>
      </c>
      <c r="G437" s="1">
        <v>18670100</v>
      </c>
      <c r="H437" s="1">
        <f t="shared" si="6"/>
        <v>-1.2457393740316012E-2</v>
      </c>
    </row>
    <row r="438" spans="1:8" x14ac:dyDescent="0.35">
      <c r="A438" s="3">
        <v>44831</v>
      </c>
      <c r="B438" s="1">
        <v>58.080001831054602</v>
      </c>
      <c r="C438" s="1">
        <v>58.369998931884702</v>
      </c>
      <c r="D438" s="1">
        <v>56.310001373291001</v>
      </c>
      <c r="E438" s="1">
        <v>56.380001068115199</v>
      </c>
      <c r="F438" s="1">
        <v>51.153182983398402</v>
      </c>
      <c r="G438" s="1">
        <v>23829300</v>
      </c>
      <c r="H438" s="1">
        <f t="shared" si="6"/>
        <v>-2.5747171164876077E-2</v>
      </c>
    </row>
    <row r="439" spans="1:8" x14ac:dyDescent="0.35">
      <c r="A439" s="3">
        <v>44832</v>
      </c>
      <c r="B439" s="1">
        <v>56.659999847412102</v>
      </c>
      <c r="C439" s="1">
        <v>57.25</v>
      </c>
      <c r="D439" s="1">
        <v>55.909999847412102</v>
      </c>
      <c r="E439" s="1">
        <v>56.9799995422363</v>
      </c>
      <c r="F439" s="1">
        <v>51.697547912597599</v>
      </c>
      <c r="G439" s="1">
        <v>21480100</v>
      </c>
      <c r="H439" s="1">
        <f t="shared" si="6"/>
        <v>1.0641858383981096E-2</v>
      </c>
    </row>
    <row r="440" spans="1:8" x14ac:dyDescent="0.35">
      <c r="A440" s="3">
        <v>44833</v>
      </c>
      <c r="B440" s="1">
        <v>57.090000152587798</v>
      </c>
      <c r="C440" s="1">
        <v>57.290000915527301</v>
      </c>
      <c r="D440" s="1">
        <v>56</v>
      </c>
      <c r="E440" s="1">
        <v>56.569999694824197</v>
      </c>
      <c r="F440" s="1">
        <v>51.325553894042898</v>
      </c>
      <c r="G440" s="1">
        <v>14570700</v>
      </c>
      <c r="H440" s="1">
        <f t="shared" si="6"/>
        <v>-7.1955834188424756E-3</v>
      </c>
    </row>
    <row r="441" spans="1:8" x14ac:dyDescent="0.35">
      <c r="A441" s="3">
        <v>44834</v>
      </c>
      <c r="B441" s="1">
        <v>56.869998931884702</v>
      </c>
      <c r="C441" s="1">
        <v>57.130001068115199</v>
      </c>
      <c r="D441" s="1">
        <v>56</v>
      </c>
      <c r="E441" s="1">
        <v>56.020000457763601</v>
      </c>
      <c r="F441" s="1">
        <v>50.8265571594238</v>
      </c>
      <c r="G441" s="1">
        <v>16124600</v>
      </c>
      <c r="H441" s="1">
        <f t="shared" si="6"/>
        <v>-9.7221889830791299E-3</v>
      </c>
    </row>
    <row r="442" spans="1:8" x14ac:dyDescent="0.35">
      <c r="A442" s="3">
        <v>44837</v>
      </c>
      <c r="B442" s="1">
        <v>56.360000610351499</v>
      </c>
      <c r="C442" s="1">
        <v>56.849998474121001</v>
      </c>
      <c r="D442" s="1">
        <v>56.060001373291001</v>
      </c>
      <c r="E442" s="1">
        <v>56.650001525878899</v>
      </c>
      <c r="F442" s="1">
        <v>51.398139953613203</v>
      </c>
      <c r="G442" s="1">
        <v>16277600</v>
      </c>
      <c r="H442" s="1">
        <f t="shared" si="6"/>
        <v>1.124575076758717E-2</v>
      </c>
    </row>
    <row r="443" spans="1:8" x14ac:dyDescent="0.35">
      <c r="A443" s="3">
        <v>44838</v>
      </c>
      <c r="B443" s="1">
        <v>56.950000762939403</v>
      </c>
      <c r="C443" s="1">
        <v>57.810001373291001</v>
      </c>
      <c r="D443" s="1">
        <v>56.459999084472599</v>
      </c>
      <c r="E443" s="1">
        <v>56.779998779296797</v>
      </c>
      <c r="F443" s="1">
        <v>51.516090393066399</v>
      </c>
      <c r="G443" s="1">
        <v>18861400</v>
      </c>
      <c r="H443" s="1">
        <f t="shared" si="6"/>
        <v>2.2948386762565E-3</v>
      </c>
    </row>
    <row r="444" spans="1:8" x14ac:dyDescent="0.35">
      <c r="A444" s="3">
        <v>44839</v>
      </c>
      <c r="B444" s="1">
        <v>56.5</v>
      </c>
      <c r="C444" s="1">
        <v>56.650001525878899</v>
      </c>
      <c r="D444" s="1">
        <v>55.509998321533203</v>
      </c>
      <c r="E444" s="1">
        <v>56.240001678466797</v>
      </c>
      <c r="F444" s="1">
        <v>51.026157379150298</v>
      </c>
      <c r="G444" s="1">
        <v>14324900</v>
      </c>
      <c r="H444" s="1">
        <f t="shared" si="6"/>
        <v>-9.510291060092586E-3</v>
      </c>
    </row>
    <row r="445" spans="1:8" x14ac:dyDescent="0.35">
      <c r="A445" s="3">
        <v>44840</v>
      </c>
      <c r="B445" s="1">
        <v>56</v>
      </c>
      <c r="C445" s="1">
        <v>56.099998474121001</v>
      </c>
      <c r="D445" s="1">
        <v>54.869998931884702</v>
      </c>
      <c r="E445" s="1">
        <v>55.029998779296797</v>
      </c>
      <c r="F445" s="1">
        <v>49.928329467773402</v>
      </c>
      <c r="G445" s="1">
        <v>17192800</v>
      </c>
      <c r="H445" s="1">
        <f t="shared" si="6"/>
        <v>-2.1515002652844825E-2</v>
      </c>
    </row>
    <row r="446" spans="1:8" x14ac:dyDescent="0.35">
      <c r="A446" s="3">
        <v>44841</v>
      </c>
      <c r="B446" s="1">
        <v>54.990001678466797</v>
      </c>
      <c r="C446" s="1">
        <v>55.090000152587798</v>
      </c>
      <c r="D446" s="1">
        <v>54.25</v>
      </c>
      <c r="E446" s="1">
        <v>54.509998321533203</v>
      </c>
      <c r="F446" s="1">
        <v>49.456535339355398</v>
      </c>
      <c r="G446" s="1">
        <v>11479800</v>
      </c>
      <c r="H446" s="1">
        <f t="shared" si="6"/>
        <v>-9.4494274782922025E-3</v>
      </c>
    </row>
    <row r="447" spans="1:8" x14ac:dyDescent="0.35">
      <c r="A447" s="3">
        <v>44844</v>
      </c>
      <c r="B447" s="1">
        <v>54.599998474121001</v>
      </c>
      <c r="C447" s="1">
        <v>54.959999084472599</v>
      </c>
      <c r="D447" s="1">
        <v>54.020000457763601</v>
      </c>
      <c r="E447" s="1">
        <v>54.389999389648402</v>
      </c>
      <c r="F447" s="1">
        <v>49.347660064697202</v>
      </c>
      <c r="G447" s="1">
        <v>10239100</v>
      </c>
      <c r="H447" s="1">
        <f t="shared" si="6"/>
        <v>-2.2014335195768907E-3</v>
      </c>
    </row>
    <row r="448" spans="1:8" x14ac:dyDescent="0.35">
      <c r="A448" s="3">
        <v>44845</v>
      </c>
      <c r="B448" s="1">
        <v>54.459999084472599</v>
      </c>
      <c r="C448" s="1">
        <v>55.220001220703097</v>
      </c>
      <c r="D448" s="1">
        <v>54.240001678466797</v>
      </c>
      <c r="E448" s="1">
        <v>54.4799995422363</v>
      </c>
      <c r="F448" s="1">
        <v>49.429317474365199</v>
      </c>
      <c r="G448" s="1">
        <v>14303900</v>
      </c>
      <c r="H448" s="1">
        <f t="shared" si="6"/>
        <v>1.6547372167381453E-3</v>
      </c>
    </row>
    <row r="449" spans="1:8" x14ac:dyDescent="0.35">
      <c r="A449" s="3">
        <v>44846</v>
      </c>
      <c r="B449" s="1">
        <v>55.2299995422363</v>
      </c>
      <c r="C449" s="1">
        <v>56.040000915527301</v>
      </c>
      <c r="D449" s="1">
        <v>55.040000915527301</v>
      </c>
      <c r="E449" s="1">
        <v>55.139999389648402</v>
      </c>
      <c r="F449" s="1">
        <v>50.028129577636697</v>
      </c>
      <c r="G449" s="1">
        <v>18377400</v>
      </c>
      <c r="H449" s="1">
        <f t="shared" si="6"/>
        <v>1.2114512881592017E-2</v>
      </c>
    </row>
    <row r="450" spans="1:8" x14ac:dyDescent="0.35">
      <c r="A450" s="3">
        <v>44847</v>
      </c>
      <c r="B450" s="1">
        <v>54.4799995422363</v>
      </c>
      <c r="C450" s="1">
        <v>56.080001831054602</v>
      </c>
      <c r="D450" s="1">
        <v>54.259998321533203</v>
      </c>
      <c r="E450" s="1">
        <v>55.869998931884702</v>
      </c>
      <c r="F450" s="1">
        <v>50.690456390380803</v>
      </c>
      <c r="G450" s="1">
        <v>16220700</v>
      </c>
      <c r="H450" s="1">
        <f t="shared" si="6"/>
        <v>1.3239088055776022E-2</v>
      </c>
    </row>
    <row r="451" spans="1:8" x14ac:dyDescent="0.35">
      <c r="A451" s="3">
        <v>44848</v>
      </c>
      <c r="B451" s="1">
        <v>56.290000915527301</v>
      </c>
      <c r="C451" s="1">
        <v>56.470001220703097</v>
      </c>
      <c r="D451" s="1">
        <v>54.939998626708899</v>
      </c>
      <c r="E451" s="1">
        <v>54.9799995422363</v>
      </c>
      <c r="F451" s="1">
        <v>49.882968902587798</v>
      </c>
      <c r="G451" s="1">
        <v>15997900</v>
      </c>
      <c r="H451" s="1">
        <f t="shared" si="6"/>
        <v>-1.592977347795661E-2</v>
      </c>
    </row>
    <row r="452" spans="1:8" x14ac:dyDescent="0.35">
      <c r="A452" s="3">
        <v>44851</v>
      </c>
      <c r="B452" s="1">
        <v>55.630001068115199</v>
      </c>
      <c r="C452" s="1">
        <v>56.220001220703097</v>
      </c>
      <c r="D452" s="1">
        <v>55.569999694824197</v>
      </c>
      <c r="E452" s="1">
        <v>55.689998626708899</v>
      </c>
      <c r="F452" s="1">
        <v>50.527141571044901</v>
      </c>
      <c r="G452" s="1">
        <v>13721400</v>
      </c>
      <c r="H452" s="1">
        <f t="shared" ref="H452:H515" si="7">(F452-F451)/F451</f>
        <v>1.2913679410603091E-2</v>
      </c>
    </row>
    <row r="453" spans="1:8" x14ac:dyDescent="0.35">
      <c r="A453" s="3">
        <v>44852</v>
      </c>
      <c r="B453" s="1">
        <v>56.310001373291001</v>
      </c>
      <c r="C453" s="1">
        <v>56.779998779296797</v>
      </c>
      <c r="D453" s="1">
        <v>56.099998474121001</v>
      </c>
      <c r="E453" s="1">
        <v>56.439998626708899</v>
      </c>
      <c r="F453" s="1">
        <v>51.207614898681598</v>
      </c>
      <c r="G453" s="1">
        <v>11823100</v>
      </c>
      <c r="H453" s="1">
        <f t="shared" si="7"/>
        <v>1.3467481169103967E-2</v>
      </c>
    </row>
    <row r="454" spans="1:8" x14ac:dyDescent="0.35">
      <c r="A454" s="3">
        <v>44853</v>
      </c>
      <c r="B454" s="1">
        <v>56.310001373291001</v>
      </c>
      <c r="C454" s="1">
        <v>56.540000915527301</v>
      </c>
      <c r="D454" s="1">
        <v>55.7299995422363</v>
      </c>
      <c r="E454" s="1">
        <v>55.959999084472599</v>
      </c>
      <c r="F454" s="1">
        <v>50.772109985351499</v>
      </c>
      <c r="G454" s="1">
        <v>10182300</v>
      </c>
      <c r="H454" s="1">
        <f t="shared" si="7"/>
        <v>-8.5046904487112145E-3</v>
      </c>
    </row>
    <row r="455" spans="1:8" x14ac:dyDescent="0.35">
      <c r="A455" s="3">
        <v>44854</v>
      </c>
      <c r="B455" s="1">
        <v>55.770000457763601</v>
      </c>
      <c r="C455" s="1">
        <v>55.919998168945298</v>
      </c>
      <c r="D455" s="1">
        <v>54.959999084472599</v>
      </c>
      <c r="E455" s="1">
        <v>55.080001831054602</v>
      </c>
      <c r="F455" s="1">
        <v>49.9736938476562</v>
      </c>
      <c r="G455" s="1">
        <v>16905100</v>
      </c>
      <c r="H455" s="1">
        <f t="shared" si="7"/>
        <v>-1.5725486648588232E-2</v>
      </c>
    </row>
    <row r="456" spans="1:8" x14ac:dyDescent="0.35">
      <c r="A456" s="3">
        <v>44855</v>
      </c>
      <c r="B456" s="1">
        <v>55</v>
      </c>
      <c r="C456" s="1">
        <v>56.110000610351499</v>
      </c>
      <c r="D456" s="1">
        <v>54.990001678466797</v>
      </c>
      <c r="E456" s="1">
        <v>55.959999084472599</v>
      </c>
      <c r="F456" s="1">
        <v>50.772109985351499</v>
      </c>
      <c r="G456" s="1">
        <v>15034100</v>
      </c>
      <c r="H456" s="1">
        <f t="shared" si="7"/>
        <v>1.5976728478972434E-2</v>
      </c>
    </row>
    <row r="457" spans="1:8" x14ac:dyDescent="0.35">
      <c r="A457" s="3">
        <v>44858</v>
      </c>
      <c r="B457" s="1">
        <v>56.639999389648402</v>
      </c>
      <c r="C457" s="1">
        <v>57.7299995422363</v>
      </c>
      <c r="D457" s="1">
        <v>56.569999694824197</v>
      </c>
      <c r="E457" s="1">
        <v>57.569999694824197</v>
      </c>
      <c r="F457" s="1">
        <v>52.232856750488203</v>
      </c>
      <c r="G457" s="1">
        <v>17416700</v>
      </c>
      <c r="H457" s="1">
        <f t="shared" si="7"/>
        <v>2.8770653131377669E-2</v>
      </c>
    </row>
    <row r="458" spans="1:8" x14ac:dyDescent="0.35">
      <c r="A458" s="3">
        <v>44859</v>
      </c>
      <c r="B458" s="1">
        <v>59.040000915527301</v>
      </c>
      <c r="C458" s="1">
        <v>59.110000610351499</v>
      </c>
      <c r="D458" s="1">
        <v>57.75</v>
      </c>
      <c r="E458" s="1">
        <v>58.950000762939403</v>
      </c>
      <c r="F458" s="1">
        <v>53.484920501708899</v>
      </c>
      <c r="G458" s="1">
        <v>28829900</v>
      </c>
      <c r="H458" s="1">
        <f t="shared" si="7"/>
        <v>2.3970807440261123E-2</v>
      </c>
    </row>
    <row r="459" spans="1:8" x14ac:dyDescent="0.35">
      <c r="A459" s="3">
        <v>44860</v>
      </c>
      <c r="B459" s="1">
        <v>59.009998321533203</v>
      </c>
      <c r="C459" s="1">
        <v>59.779998779296797</v>
      </c>
      <c r="D459" s="1">
        <v>58.860000610351499</v>
      </c>
      <c r="E459" s="1">
        <v>59.389999389648402</v>
      </c>
      <c r="F459" s="1">
        <v>53.884124755859297</v>
      </c>
      <c r="G459" s="1">
        <v>15831400</v>
      </c>
      <c r="H459" s="1">
        <f t="shared" si="7"/>
        <v>7.463865523323396E-3</v>
      </c>
    </row>
    <row r="460" spans="1:8" x14ac:dyDescent="0.35">
      <c r="A460" s="3">
        <v>44861</v>
      </c>
      <c r="B460" s="1">
        <v>59.770000457763601</v>
      </c>
      <c r="C460" s="1">
        <v>59.840000152587798</v>
      </c>
      <c r="D460" s="1">
        <v>59.380001068115199</v>
      </c>
      <c r="E460" s="1">
        <v>59.529998779296797</v>
      </c>
      <c r="F460" s="1">
        <v>54.011150360107401</v>
      </c>
      <c r="G460" s="1">
        <v>16026100</v>
      </c>
      <c r="H460" s="1">
        <f t="shared" si="7"/>
        <v>2.3573845696415641E-3</v>
      </c>
    </row>
    <row r="461" spans="1:8" x14ac:dyDescent="0.35">
      <c r="A461" s="3">
        <v>44862</v>
      </c>
      <c r="B461" s="1">
        <v>59.569999694824197</v>
      </c>
      <c r="C461" s="1">
        <v>60.909999847412102</v>
      </c>
      <c r="D461" s="1">
        <v>59.470001220703097</v>
      </c>
      <c r="E461" s="1">
        <v>60.759998321533203</v>
      </c>
      <c r="F461" s="1">
        <v>55.127120971679602</v>
      </c>
      <c r="G461" s="1">
        <v>12888900</v>
      </c>
      <c r="H461" s="1">
        <f t="shared" si="7"/>
        <v>2.0661856008096745E-2</v>
      </c>
    </row>
    <row r="462" spans="1:8" x14ac:dyDescent="0.35">
      <c r="A462" s="3">
        <v>44865</v>
      </c>
      <c r="B462" s="1">
        <v>60.509998321533203</v>
      </c>
      <c r="C462" s="1">
        <v>60.569999694824197</v>
      </c>
      <c r="D462" s="1">
        <v>59.669998168945298</v>
      </c>
      <c r="E462" s="1">
        <v>59.849998474121001</v>
      </c>
      <c r="F462" s="1">
        <v>54.301475524902301</v>
      </c>
      <c r="G462" s="1">
        <v>14016400</v>
      </c>
      <c r="H462" s="1">
        <f t="shared" si="7"/>
        <v>-1.4977118924847519E-2</v>
      </c>
    </row>
    <row r="463" spans="1:8" x14ac:dyDescent="0.35">
      <c r="A463" s="3">
        <v>44866</v>
      </c>
      <c r="B463" s="1">
        <v>60.029998779296797</v>
      </c>
      <c r="C463" s="1">
        <v>60.290000915527301</v>
      </c>
      <c r="D463" s="1">
        <v>59.369998931884702</v>
      </c>
      <c r="E463" s="1">
        <v>59.639999389648402</v>
      </c>
      <c r="F463" s="1">
        <v>54.110950469970703</v>
      </c>
      <c r="G463" s="1">
        <v>10659500</v>
      </c>
      <c r="H463" s="1">
        <f t="shared" si="7"/>
        <v>-3.5086533669646683E-3</v>
      </c>
    </row>
    <row r="464" spans="1:8" x14ac:dyDescent="0.35">
      <c r="A464" s="3">
        <v>44867</v>
      </c>
      <c r="B464" s="1">
        <v>59.639999389648402</v>
      </c>
      <c r="C464" s="1">
        <v>60.2299995422363</v>
      </c>
      <c r="D464" s="1">
        <v>58.770000457763601</v>
      </c>
      <c r="E464" s="1">
        <v>58.810001373291001</v>
      </c>
      <c r="F464" s="1">
        <v>53.357902526855398</v>
      </c>
      <c r="G464" s="1">
        <v>14549200</v>
      </c>
      <c r="H464" s="1">
        <f t="shared" si="7"/>
        <v>-1.3916738415696751E-2</v>
      </c>
    </row>
    <row r="465" spans="1:8" x14ac:dyDescent="0.35">
      <c r="A465" s="3">
        <v>44868</v>
      </c>
      <c r="B465" s="1">
        <v>58.110000610351499</v>
      </c>
      <c r="C465" s="1">
        <v>59</v>
      </c>
      <c r="D465" s="1">
        <v>58.099998474121001</v>
      </c>
      <c r="E465" s="1">
        <v>58.779998779296797</v>
      </c>
      <c r="F465" s="1">
        <v>53.330669403076101</v>
      </c>
      <c r="G465" s="1">
        <v>9194000</v>
      </c>
      <c r="H465" s="1">
        <f t="shared" si="7"/>
        <v>-5.103859501521871E-4</v>
      </c>
    </row>
    <row r="466" spans="1:8" x14ac:dyDescent="0.35">
      <c r="A466" s="3">
        <v>44869</v>
      </c>
      <c r="B466" s="1">
        <v>59.299999237060497</v>
      </c>
      <c r="C466" s="1">
        <v>59.590000152587798</v>
      </c>
      <c r="D466" s="1">
        <v>58.560001373291001</v>
      </c>
      <c r="E466" s="1">
        <v>59.259998321533203</v>
      </c>
      <c r="F466" s="1">
        <v>53.766185760497997</v>
      </c>
      <c r="G466" s="1">
        <v>9725900</v>
      </c>
      <c r="H466" s="1">
        <f t="shared" si="7"/>
        <v>8.1663395996446238E-3</v>
      </c>
    </row>
    <row r="467" spans="1:8" x14ac:dyDescent="0.35">
      <c r="A467" s="3">
        <v>44872</v>
      </c>
      <c r="B467" s="1">
        <v>59.259998321533203</v>
      </c>
      <c r="C467" s="1">
        <v>59.770000457763601</v>
      </c>
      <c r="D467" s="1">
        <v>59.240001678466797</v>
      </c>
      <c r="E467" s="1">
        <v>59.490001678466797</v>
      </c>
      <c r="F467" s="1">
        <v>53.974857330322202</v>
      </c>
      <c r="G467" s="1">
        <v>8849700</v>
      </c>
      <c r="H467" s="1">
        <f t="shared" si="7"/>
        <v>3.8810930489608115E-3</v>
      </c>
    </row>
    <row r="468" spans="1:8" x14ac:dyDescent="0.35">
      <c r="A468" s="3">
        <v>44873</v>
      </c>
      <c r="B468" s="1">
        <v>59.75</v>
      </c>
      <c r="C468" s="1">
        <v>59.790000915527301</v>
      </c>
      <c r="D468" s="1">
        <v>58.939998626708899</v>
      </c>
      <c r="E468" s="1">
        <v>59.599998474121001</v>
      </c>
      <c r="F468" s="1">
        <v>54.074649810791001</v>
      </c>
      <c r="G468" s="1">
        <v>10081600</v>
      </c>
      <c r="H468" s="1">
        <f t="shared" si="7"/>
        <v>1.8488697405548849E-3</v>
      </c>
    </row>
    <row r="469" spans="1:8" x14ac:dyDescent="0.35">
      <c r="A469" s="3">
        <v>44874</v>
      </c>
      <c r="B469" s="1">
        <v>59.590000152587798</v>
      </c>
      <c r="C469" s="1">
        <v>59.639999389648402</v>
      </c>
      <c r="D469" s="1">
        <v>58.75</v>
      </c>
      <c r="E469" s="1">
        <v>58.770000457763601</v>
      </c>
      <c r="F469" s="1">
        <v>53.321601867675703</v>
      </c>
      <c r="G469" s="1">
        <v>10115200</v>
      </c>
      <c r="H469" s="1">
        <f t="shared" si="7"/>
        <v>-1.3926080811438228E-2</v>
      </c>
    </row>
    <row r="470" spans="1:8" x14ac:dyDescent="0.35">
      <c r="A470" s="3">
        <v>44875</v>
      </c>
      <c r="B470" s="1">
        <v>60.25</v>
      </c>
      <c r="C470" s="1">
        <v>61.040000915527301</v>
      </c>
      <c r="D470" s="1">
        <v>59.680000305175703</v>
      </c>
      <c r="E470" s="1">
        <v>60.880001068115199</v>
      </c>
      <c r="F470" s="1">
        <v>55.236000061035099</v>
      </c>
      <c r="G470" s="1">
        <v>16804800</v>
      </c>
      <c r="H470" s="1">
        <f t="shared" si="7"/>
        <v>3.5902863498178797E-2</v>
      </c>
    </row>
    <row r="471" spans="1:8" x14ac:dyDescent="0.35">
      <c r="A471" s="3">
        <v>44876</v>
      </c>
      <c r="B471" s="1">
        <v>61.369998931884702</v>
      </c>
      <c r="C471" s="1">
        <v>61.450000762939403</v>
      </c>
      <c r="D471" s="1">
        <v>60.209999084472599</v>
      </c>
      <c r="E471" s="1">
        <v>61.319999694824197</v>
      </c>
      <c r="F471" s="1">
        <v>55.635204315185497</v>
      </c>
      <c r="G471" s="1">
        <v>18972100</v>
      </c>
      <c r="H471" s="1">
        <f t="shared" si="7"/>
        <v>7.2272476955116578E-3</v>
      </c>
    </row>
    <row r="472" spans="1:8" x14ac:dyDescent="0.35">
      <c r="A472" s="3">
        <v>44879</v>
      </c>
      <c r="B472" s="1">
        <v>61.319999694824197</v>
      </c>
      <c r="C472" s="1">
        <v>61.720001220703097</v>
      </c>
      <c r="D472" s="1">
        <v>60.709999084472599</v>
      </c>
      <c r="E472" s="1">
        <v>60.7299995422363</v>
      </c>
      <c r="F472" s="1">
        <v>55.099903106689403</v>
      </c>
      <c r="G472" s="1">
        <v>16361000</v>
      </c>
      <c r="H472" s="1">
        <f t="shared" si="7"/>
        <v>-9.6216274404870763E-3</v>
      </c>
    </row>
    <row r="473" spans="1:8" x14ac:dyDescent="0.35">
      <c r="A473" s="3">
        <v>44880</v>
      </c>
      <c r="B473" s="1">
        <v>61.130001068115199</v>
      </c>
      <c r="C473" s="1">
        <v>61.450000762939403</v>
      </c>
      <c r="D473" s="1">
        <v>60</v>
      </c>
      <c r="E473" s="1">
        <v>60.630001068115199</v>
      </c>
      <c r="F473" s="1">
        <v>55.009170532226499</v>
      </c>
      <c r="G473" s="1">
        <v>13295800</v>
      </c>
      <c r="H473" s="1">
        <f t="shared" si="7"/>
        <v>-1.6466920874111202E-3</v>
      </c>
    </row>
    <row r="474" spans="1:8" x14ac:dyDescent="0.35">
      <c r="A474" s="3">
        <v>44881</v>
      </c>
      <c r="B474" s="1">
        <v>60.790000915527301</v>
      </c>
      <c r="C474" s="1">
        <v>61.029998779296797</v>
      </c>
      <c r="D474" s="1">
        <v>60.290000915527301</v>
      </c>
      <c r="E474" s="1">
        <v>60.520000457763601</v>
      </c>
      <c r="F474" s="1">
        <v>54.9093627929687</v>
      </c>
      <c r="G474" s="1">
        <v>14199500</v>
      </c>
      <c r="H474" s="1">
        <f t="shared" si="7"/>
        <v>-1.8143836435295286E-3</v>
      </c>
    </row>
    <row r="475" spans="1:8" x14ac:dyDescent="0.35">
      <c r="A475" s="3">
        <v>44882</v>
      </c>
      <c r="B475" s="1">
        <v>60.189998626708899</v>
      </c>
      <c r="C475" s="1">
        <v>60.740001678466797</v>
      </c>
      <c r="D475" s="1">
        <v>60.130001068115199</v>
      </c>
      <c r="E475" s="1">
        <v>60.709999084472599</v>
      </c>
      <c r="F475" s="1">
        <v>55.081748962402301</v>
      </c>
      <c r="G475" s="1">
        <v>11212600</v>
      </c>
      <c r="H475" s="1">
        <f t="shared" si="7"/>
        <v>3.139467673000849E-3</v>
      </c>
    </row>
    <row r="476" spans="1:8" x14ac:dyDescent="0.35">
      <c r="A476" s="3">
        <v>44883</v>
      </c>
      <c r="B476" s="1">
        <v>60.990001678466797</v>
      </c>
      <c r="C476" s="1">
        <v>61.369998931884702</v>
      </c>
      <c r="D476" s="1">
        <v>60.799999237060497</v>
      </c>
      <c r="E476" s="1">
        <v>61.139999389648402</v>
      </c>
      <c r="F476" s="1">
        <v>55.471893310546797</v>
      </c>
      <c r="G476" s="1">
        <v>10415600</v>
      </c>
      <c r="H476" s="1">
        <f t="shared" si="7"/>
        <v>7.0830058139729809E-3</v>
      </c>
    </row>
    <row r="477" spans="1:8" x14ac:dyDescent="0.35">
      <c r="A477" s="3">
        <v>44886</v>
      </c>
      <c r="B477" s="1">
        <v>61.409999847412102</v>
      </c>
      <c r="C477" s="1">
        <v>62.209999084472599</v>
      </c>
      <c r="D477" s="1">
        <v>61.200000762939403</v>
      </c>
      <c r="E477" s="1">
        <v>62.080001831054602</v>
      </c>
      <c r="F477" s="1">
        <v>56.324748992919901</v>
      </c>
      <c r="G477" s="1">
        <v>15399400</v>
      </c>
      <c r="H477" s="1">
        <f t="shared" si="7"/>
        <v>1.5374555139096927E-2</v>
      </c>
    </row>
    <row r="478" spans="1:8" x14ac:dyDescent="0.35">
      <c r="A478" s="3">
        <v>44887</v>
      </c>
      <c r="B478" s="1">
        <v>62.470001220703097</v>
      </c>
      <c r="C478" s="1">
        <v>62.5</v>
      </c>
      <c r="D478" s="1">
        <v>62.049999237060497</v>
      </c>
      <c r="E478" s="1">
        <v>62.349998474121001</v>
      </c>
      <c r="F478" s="1">
        <v>56.569717407226499</v>
      </c>
      <c r="G478" s="1">
        <v>12319600</v>
      </c>
      <c r="H478" s="1">
        <f t="shared" si="7"/>
        <v>4.349214487176691E-3</v>
      </c>
    </row>
    <row r="479" spans="1:8" x14ac:dyDescent="0.35">
      <c r="A479" s="3">
        <v>44888</v>
      </c>
      <c r="B479" s="1">
        <v>62.490001678466797</v>
      </c>
      <c r="C479" s="1">
        <v>62.790000915527301</v>
      </c>
      <c r="D479" s="1">
        <v>62.299999237060497</v>
      </c>
      <c r="E479" s="1">
        <v>62.630001068115199</v>
      </c>
      <c r="F479" s="1">
        <v>56.823753356933501</v>
      </c>
      <c r="G479" s="1">
        <v>8990400</v>
      </c>
      <c r="H479" s="1">
        <f t="shared" si="7"/>
        <v>4.490670297648526E-3</v>
      </c>
    </row>
    <row r="480" spans="1:8" x14ac:dyDescent="0.35">
      <c r="A480" s="3">
        <v>44890</v>
      </c>
      <c r="B480" s="1">
        <v>62.7299995422363</v>
      </c>
      <c r="C480" s="1">
        <v>62.810001373291001</v>
      </c>
      <c r="D480" s="1">
        <v>62.380001068115199</v>
      </c>
      <c r="E480" s="1">
        <v>62.689998626708899</v>
      </c>
      <c r="F480" s="1">
        <v>56.878185272216797</v>
      </c>
      <c r="G480" s="1">
        <v>5165500</v>
      </c>
      <c r="H480" s="1">
        <f t="shared" si="7"/>
        <v>9.5790777742867702E-4</v>
      </c>
    </row>
    <row r="481" spans="1:8" x14ac:dyDescent="0.35">
      <c r="A481" s="3">
        <v>44893</v>
      </c>
      <c r="B481" s="1">
        <v>62.689998626708899</v>
      </c>
      <c r="C481" s="1">
        <v>63.099998474121001</v>
      </c>
      <c r="D481" s="1">
        <v>62.560001373291001</v>
      </c>
      <c r="E481" s="1">
        <v>62.700000762939403</v>
      </c>
      <c r="F481" s="1">
        <v>56.887275695800703</v>
      </c>
      <c r="G481" s="1">
        <v>12267500</v>
      </c>
      <c r="H481" s="1">
        <f t="shared" si="7"/>
        <v>1.5982267261868148E-4</v>
      </c>
    </row>
    <row r="482" spans="1:8" x14ac:dyDescent="0.35">
      <c r="A482" s="3">
        <v>44894</v>
      </c>
      <c r="B482" s="1">
        <v>62.520000457763601</v>
      </c>
      <c r="C482" s="1">
        <v>62.569999694824197</v>
      </c>
      <c r="D482" s="1">
        <v>61.9799995422363</v>
      </c>
      <c r="E482" s="1">
        <v>62.4799995422363</v>
      </c>
      <c r="F482" s="1">
        <v>56.687664031982401</v>
      </c>
      <c r="G482" s="1">
        <v>10969600</v>
      </c>
      <c r="H482" s="1">
        <f t="shared" si="7"/>
        <v>-3.5088982795679464E-3</v>
      </c>
    </row>
    <row r="483" spans="1:8" x14ac:dyDescent="0.35">
      <c r="A483" s="3">
        <v>44895</v>
      </c>
      <c r="B483" s="1">
        <v>62.009998321533203</v>
      </c>
      <c r="C483" s="1">
        <v>63.680000305175703</v>
      </c>
      <c r="D483" s="1">
        <v>61.75</v>
      </c>
      <c r="E483" s="1">
        <v>63.610000610351499</v>
      </c>
      <c r="F483" s="1">
        <v>58.122215270996001</v>
      </c>
      <c r="G483" s="1">
        <v>30433900</v>
      </c>
      <c r="H483" s="1">
        <f t="shared" si="7"/>
        <v>2.5306233084578095E-2</v>
      </c>
    </row>
    <row r="484" spans="1:8" x14ac:dyDescent="0.35">
      <c r="A484" s="3">
        <v>44896</v>
      </c>
      <c r="B484" s="1">
        <v>63.610000610351499</v>
      </c>
      <c r="C484" s="1">
        <v>64.110000610351506</v>
      </c>
      <c r="D484" s="1">
        <v>63.430000305175703</v>
      </c>
      <c r="E484" s="1">
        <v>63.790000915527301</v>
      </c>
      <c r="F484" s="1">
        <v>58.286685943603501</v>
      </c>
      <c r="G484" s="1">
        <v>12001400</v>
      </c>
      <c r="H484" s="1">
        <f t="shared" si="7"/>
        <v>2.8297385404298893E-3</v>
      </c>
    </row>
    <row r="485" spans="1:8" x14ac:dyDescent="0.35">
      <c r="A485" s="3">
        <v>44897</v>
      </c>
      <c r="B485" s="1">
        <v>63.610000610351499</v>
      </c>
      <c r="C485" s="1">
        <v>64.519996643066406</v>
      </c>
      <c r="D485" s="1">
        <v>63.400001525878899</v>
      </c>
      <c r="E485" s="1">
        <v>64.349998474121094</v>
      </c>
      <c r="F485" s="1">
        <v>58.798370361328097</v>
      </c>
      <c r="G485" s="1">
        <v>13643500</v>
      </c>
      <c r="H485" s="1">
        <f t="shared" si="7"/>
        <v>8.7787529766177839E-3</v>
      </c>
    </row>
    <row r="486" spans="1:8" x14ac:dyDescent="0.35">
      <c r="A486" s="3">
        <v>44900</v>
      </c>
      <c r="B486" s="1">
        <v>63.409999847412102</v>
      </c>
      <c r="C486" s="1">
        <v>63.799999237060497</v>
      </c>
      <c r="D486" s="1">
        <v>63.259998321533203</v>
      </c>
      <c r="E486" s="1">
        <v>63.470001220703097</v>
      </c>
      <c r="F486" s="1">
        <v>57.994293212890597</v>
      </c>
      <c r="G486" s="1">
        <v>9185100</v>
      </c>
      <c r="H486" s="1">
        <f t="shared" si="7"/>
        <v>-1.3675160442309545E-2</v>
      </c>
    </row>
    <row r="487" spans="1:8" x14ac:dyDescent="0.35">
      <c r="A487" s="3">
        <v>44901</v>
      </c>
      <c r="B487" s="1">
        <v>63.520000457763601</v>
      </c>
      <c r="C487" s="1">
        <v>63.880001068115199</v>
      </c>
      <c r="D487" s="1">
        <v>63.2299995422363</v>
      </c>
      <c r="E487" s="1">
        <v>63.439998626708899</v>
      </c>
      <c r="F487" s="1">
        <v>57.966873168945298</v>
      </c>
      <c r="G487" s="1">
        <v>10099500</v>
      </c>
      <c r="H487" s="1">
        <f t="shared" si="7"/>
        <v>-4.7280589910187127E-4</v>
      </c>
    </row>
    <row r="488" spans="1:8" x14ac:dyDescent="0.35">
      <c r="A488" s="3">
        <v>44902</v>
      </c>
      <c r="B488" s="1">
        <v>63.450000762939403</v>
      </c>
      <c r="C488" s="1">
        <v>63.720001220703097</v>
      </c>
      <c r="D488" s="1">
        <v>63.25</v>
      </c>
      <c r="E488" s="1">
        <v>63.540000915527301</v>
      </c>
      <c r="F488" s="1">
        <v>58.058250427246001</v>
      </c>
      <c r="G488" s="1">
        <v>12307600</v>
      </c>
      <c r="H488" s="1">
        <f t="shared" si="7"/>
        <v>1.5763703181709101E-3</v>
      </c>
    </row>
    <row r="489" spans="1:8" x14ac:dyDescent="0.35">
      <c r="A489" s="3">
        <v>44903</v>
      </c>
      <c r="B489" s="1">
        <v>63.599998474121001</v>
      </c>
      <c r="C489" s="1">
        <v>63.849998474121001</v>
      </c>
      <c r="D489" s="1">
        <v>63.349998474121001</v>
      </c>
      <c r="E489" s="1">
        <v>63.810001373291001</v>
      </c>
      <c r="F489" s="1">
        <v>58.304958343505803</v>
      </c>
      <c r="G489" s="1">
        <v>9946200</v>
      </c>
      <c r="H489" s="1">
        <f t="shared" si="7"/>
        <v>4.2493170986775764E-3</v>
      </c>
    </row>
    <row r="490" spans="1:8" x14ac:dyDescent="0.35">
      <c r="A490" s="3">
        <v>44904</v>
      </c>
      <c r="B490" s="1">
        <v>63.610000610351499</v>
      </c>
      <c r="C490" s="1">
        <v>63.840000152587798</v>
      </c>
      <c r="D490" s="1">
        <v>63.090000152587798</v>
      </c>
      <c r="E490" s="1">
        <v>63.139999389648402</v>
      </c>
      <c r="F490" s="1">
        <v>57.692752838134702</v>
      </c>
      <c r="G490" s="1">
        <v>13914900</v>
      </c>
      <c r="H490" s="1">
        <f t="shared" si="7"/>
        <v>-1.0500059047538798E-2</v>
      </c>
    </row>
    <row r="491" spans="1:8" x14ac:dyDescent="0.35">
      <c r="A491" s="3">
        <v>44907</v>
      </c>
      <c r="B491" s="1">
        <v>63.299999237060497</v>
      </c>
      <c r="C491" s="1">
        <v>64.010002136230398</v>
      </c>
      <c r="D491" s="1">
        <v>63.009998321533203</v>
      </c>
      <c r="E491" s="1">
        <v>63.970001220703097</v>
      </c>
      <c r="F491" s="1">
        <v>58.451160430908203</v>
      </c>
      <c r="G491" s="1">
        <v>11647900</v>
      </c>
      <c r="H491" s="1">
        <f t="shared" si="7"/>
        <v>1.3145630178218792E-2</v>
      </c>
    </row>
    <row r="492" spans="1:8" x14ac:dyDescent="0.35">
      <c r="A492" s="3">
        <v>44908</v>
      </c>
      <c r="B492" s="1">
        <v>64.589996337890597</v>
      </c>
      <c r="C492" s="1">
        <v>64.699996948242102</v>
      </c>
      <c r="D492" s="1">
        <v>63.799999237060497</v>
      </c>
      <c r="E492" s="1">
        <v>63.990001678466797</v>
      </c>
      <c r="F492" s="1">
        <v>58.469436645507798</v>
      </c>
      <c r="G492" s="1">
        <v>17521600</v>
      </c>
      <c r="H492" s="1">
        <f t="shared" si="7"/>
        <v>3.1267496598632016E-4</v>
      </c>
    </row>
    <row r="493" spans="1:8" x14ac:dyDescent="0.35">
      <c r="A493" s="3">
        <v>44909</v>
      </c>
      <c r="B493" s="1">
        <v>64.190002441406193</v>
      </c>
      <c r="C493" s="1">
        <v>64.650001525878906</v>
      </c>
      <c r="D493" s="1">
        <v>63.569999694824197</v>
      </c>
      <c r="E493" s="1">
        <v>63.990001678466797</v>
      </c>
      <c r="F493" s="1">
        <v>58.469436645507798</v>
      </c>
      <c r="G493" s="1">
        <v>12826700</v>
      </c>
      <c r="H493" s="1">
        <f t="shared" si="7"/>
        <v>0</v>
      </c>
    </row>
    <row r="494" spans="1:8" x14ac:dyDescent="0.35">
      <c r="A494" s="3">
        <v>44910</v>
      </c>
      <c r="B494" s="1">
        <v>63.590000152587798</v>
      </c>
      <c r="C494" s="1">
        <v>63.889999389648402</v>
      </c>
      <c r="D494" s="1">
        <v>62.490001678466797</v>
      </c>
      <c r="E494" s="1">
        <v>63.110000610351499</v>
      </c>
      <c r="F494" s="1">
        <v>57.665351867675703</v>
      </c>
      <c r="G494" s="1">
        <v>12212300</v>
      </c>
      <c r="H494" s="1">
        <f t="shared" si="7"/>
        <v>-1.3752223793554764E-2</v>
      </c>
    </row>
    <row r="495" spans="1:8" x14ac:dyDescent="0.35">
      <c r="A495" s="3">
        <v>44911</v>
      </c>
      <c r="B495" s="1">
        <v>62.75</v>
      </c>
      <c r="C495" s="1">
        <v>63.139999389648402</v>
      </c>
      <c r="D495" s="1">
        <v>62.330001831054602</v>
      </c>
      <c r="E495" s="1">
        <v>62.75</v>
      </c>
      <c r="F495" s="1">
        <v>57.336406707763601</v>
      </c>
      <c r="G495" s="1">
        <v>33631500</v>
      </c>
      <c r="H495" s="1">
        <f t="shared" si="7"/>
        <v>-5.7043813877513576E-3</v>
      </c>
    </row>
    <row r="496" spans="1:8" x14ac:dyDescent="0.35">
      <c r="A496" s="3">
        <v>44914</v>
      </c>
      <c r="B496" s="1">
        <v>62.830001831054602</v>
      </c>
      <c r="C496" s="1">
        <v>63.409999847412102</v>
      </c>
      <c r="D496" s="1">
        <v>62.470001220703097</v>
      </c>
      <c r="E496" s="1">
        <v>62.840000152587798</v>
      </c>
      <c r="F496" s="1">
        <v>57.418643951416001</v>
      </c>
      <c r="G496" s="1">
        <v>10919700</v>
      </c>
      <c r="H496" s="1">
        <f t="shared" si="7"/>
        <v>1.4342936429824317E-3</v>
      </c>
    </row>
    <row r="497" spans="1:8" x14ac:dyDescent="0.35">
      <c r="A497" s="3">
        <v>44915</v>
      </c>
      <c r="B497" s="1">
        <v>62.819999694824197</v>
      </c>
      <c r="C497" s="1">
        <v>63.150001525878899</v>
      </c>
      <c r="D497" s="1">
        <v>62.75</v>
      </c>
      <c r="E497" s="1">
        <v>62.790000915527301</v>
      </c>
      <c r="F497" s="1">
        <v>57.372962951660099</v>
      </c>
      <c r="G497" s="1">
        <v>10286500</v>
      </c>
      <c r="H497" s="1">
        <f t="shared" si="7"/>
        <v>-7.9557782302477149E-4</v>
      </c>
    </row>
    <row r="498" spans="1:8" x14ac:dyDescent="0.35">
      <c r="A498" s="3">
        <v>44916</v>
      </c>
      <c r="B498" s="1">
        <v>63.069999694824197</v>
      </c>
      <c r="C498" s="1">
        <v>64.050003051757798</v>
      </c>
      <c r="D498" s="1">
        <v>63.069999694824197</v>
      </c>
      <c r="E498" s="1">
        <v>63.799999237060497</v>
      </c>
      <c r="F498" s="1">
        <v>58.295818328857401</v>
      </c>
      <c r="G498" s="1">
        <v>10411300</v>
      </c>
      <c r="H498" s="1">
        <f t="shared" si="7"/>
        <v>1.6085196401218776E-2</v>
      </c>
    </row>
    <row r="499" spans="1:8" x14ac:dyDescent="0.35">
      <c r="A499" s="3">
        <v>44917</v>
      </c>
      <c r="B499" s="1">
        <v>63.419998168945298</v>
      </c>
      <c r="C499" s="1">
        <v>63.590000152587798</v>
      </c>
      <c r="D499" s="1">
        <v>62.650001525878899</v>
      </c>
      <c r="E499" s="1">
        <v>63.340000152587798</v>
      </c>
      <c r="F499" s="1">
        <v>57.875503540038999</v>
      </c>
      <c r="G499" s="1">
        <v>9666700</v>
      </c>
      <c r="H499" s="1">
        <f t="shared" si="7"/>
        <v>-7.2100332556844678E-3</v>
      </c>
    </row>
    <row r="500" spans="1:8" x14ac:dyDescent="0.35">
      <c r="A500" s="3">
        <v>44918</v>
      </c>
      <c r="B500" s="1">
        <v>63.5</v>
      </c>
      <c r="C500" s="1">
        <v>63.869998931884702</v>
      </c>
      <c r="D500" s="1">
        <v>63.200000762939403</v>
      </c>
      <c r="E500" s="1">
        <v>63.819999694824197</v>
      </c>
      <c r="F500" s="1">
        <v>58.314098358154297</v>
      </c>
      <c r="G500" s="1">
        <v>6463300</v>
      </c>
      <c r="H500" s="1">
        <f t="shared" si="7"/>
        <v>7.5782462577085475E-3</v>
      </c>
    </row>
    <row r="501" spans="1:8" x14ac:dyDescent="0.35">
      <c r="A501" s="3">
        <v>44922</v>
      </c>
      <c r="B501" s="1">
        <v>63.930000305175703</v>
      </c>
      <c r="C501" s="1">
        <v>64.290000915527301</v>
      </c>
      <c r="D501" s="1">
        <v>63.709999084472599</v>
      </c>
      <c r="E501" s="1">
        <v>64.209999084472599</v>
      </c>
      <c r="F501" s="1">
        <v>58.670448303222599</v>
      </c>
      <c r="G501" s="1">
        <v>7320700</v>
      </c>
      <c r="H501" s="1">
        <f t="shared" si="7"/>
        <v>6.1108712147046797E-3</v>
      </c>
    </row>
    <row r="502" spans="1:8" x14ac:dyDescent="0.35">
      <c r="A502" s="3">
        <v>44923</v>
      </c>
      <c r="B502" s="1">
        <v>64.459999084472599</v>
      </c>
      <c r="C502" s="1">
        <v>64.650001525878906</v>
      </c>
      <c r="D502" s="1">
        <v>63.490001678466797</v>
      </c>
      <c r="E502" s="1">
        <v>63.569999694824197</v>
      </c>
      <c r="F502" s="1">
        <v>58.085666656494098</v>
      </c>
      <c r="G502" s="1">
        <v>7159400</v>
      </c>
      <c r="H502" s="1">
        <f t="shared" si="7"/>
        <v>-9.9672264937573519E-3</v>
      </c>
    </row>
    <row r="503" spans="1:8" x14ac:dyDescent="0.35">
      <c r="A503" s="3">
        <v>44924</v>
      </c>
      <c r="B503" s="1">
        <v>63.799999237060497</v>
      </c>
      <c r="C503" s="1">
        <v>64.150001525878906</v>
      </c>
      <c r="D503" s="1">
        <v>63.700000762939403</v>
      </c>
      <c r="E503" s="1">
        <v>63.950000762939403</v>
      </c>
      <c r="F503" s="1">
        <v>58.432876586913999</v>
      </c>
      <c r="G503" s="1">
        <v>7169300</v>
      </c>
      <c r="H503" s="1">
        <f t="shared" si="7"/>
        <v>5.9775492028562574E-3</v>
      </c>
    </row>
    <row r="504" spans="1:8" x14ac:dyDescent="0.35">
      <c r="A504" s="3">
        <v>44925</v>
      </c>
      <c r="B504" s="1">
        <v>63.919998168945298</v>
      </c>
      <c r="C504" s="1">
        <v>63.919998168945298</v>
      </c>
      <c r="D504" s="1">
        <v>63.169998168945298</v>
      </c>
      <c r="E504" s="1">
        <v>63.610000610351499</v>
      </c>
      <c r="F504" s="1">
        <v>58.122215270996001</v>
      </c>
      <c r="G504" s="1">
        <v>7650200</v>
      </c>
      <c r="H504" s="1">
        <f t="shared" si="7"/>
        <v>-5.3165501009678094E-3</v>
      </c>
    </row>
    <row r="505" spans="1:8" x14ac:dyDescent="0.35">
      <c r="A505" s="3">
        <v>44929</v>
      </c>
      <c r="B505" s="1">
        <v>63.560001373291001</v>
      </c>
      <c r="C505" s="1">
        <v>63.560001373291001</v>
      </c>
      <c r="D505" s="1">
        <v>62.180000305175703</v>
      </c>
      <c r="E505" s="1">
        <v>62.950000762939403</v>
      </c>
      <c r="F505" s="1">
        <v>57.519149780273402</v>
      </c>
      <c r="G505" s="1">
        <v>12180500</v>
      </c>
      <c r="H505" s="1">
        <f t="shared" si="7"/>
        <v>-1.0375817368811466E-2</v>
      </c>
    </row>
    <row r="506" spans="1:8" x14ac:dyDescent="0.35">
      <c r="A506" s="3">
        <v>44930</v>
      </c>
      <c r="B506" s="1">
        <v>63.150001525878899</v>
      </c>
      <c r="C506" s="1">
        <v>63.330001831054602</v>
      </c>
      <c r="D506" s="1">
        <v>62.509998321533203</v>
      </c>
      <c r="E506" s="1">
        <v>62.919998168945298</v>
      </c>
      <c r="F506" s="1">
        <v>57.491741180419901</v>
      </c>
      <c r="G506" s="1">
        <v>13387900</v>
      </c>
      <c r="H506" s="1">
        <f t="shared" si="7"/>
        <v>-4.7651260420579771E-4</v>
      </c>
    </row>
    <row r="507" spans="1:8" x14ac:dyDescent="0.35">
      <c r="A507" s="3">
        <v>44931</v>
      </c>
      <c r="B507" s="1">
        <v>62.599998474121001</v>
      </c>
      <c r="C507" s="1">
        <v>62.799999237060497</v>
      </c>
      <c r="D507" s="1">
        <v>62.080001831054602</v>
      </c>
      <c r="E507" s="1">
        <v>62.200000762939403</v>
      </c>
      <c r="F507" s="1">
        <v>56.833854675292898</v>
      </c>
      <c r="G507" s="1">
        <v>9814700</v>
      </c>
      <c r="H507" s="1">
        <f t="shared" si="7"/>
        <v>-1.1443148035166151E-2</v>
      </c>
    </row>
    <row r="508" spans="1:8" x14ac:dyDescent="0.35">
      <c r="A508" s="3">
        <v>44932</v>
      </c>
      <c r="B508" s="1">
        <v>62.909999847412102</v>
      </c>
      <c r="C508" s="1">
        <v>63.669998168945298</v>
      </c>
      <c r="D508" s="1">
        <v>62.580001831054602</v>
      </c>
      <c r="E508" s="1">
        <v>63.400001525878899</v>
      </c>
      <c r="F508" s="1">
        <v>57.930328369140597</v>
      </c>
      <c r="G508" s="1">
        <v>9990000</v>
      </c>
      <c r="H508" s="1">
        <f t="shared" si="7"/>
        <v>1.9292615292630565E-2</v>
      </c>
    </row>
    <row r="509" spans="1:8" x14ac:dyDescent="0.35">
      <c r="A509" s="3">
        <v>44935</v>
      </c>
      <c r="B509" s="1">
        <v>63.299999237060497</v>
      </c>
      <c r="C509" s="1">
        <v>63.720001220703097</v>
      </c>
      <c r="D509" s="1">
        <v>62.580001831054602</v>
      </c>
      <c r="E509" s="1">
        <v>62.610000610351499</v>
      </c>
      <c r="F509" s="1">
        <v>57.208484649658203</v>
      </c>
      <c r="G509" s="1">
        <v>9442600</v>
      </c>
      <c r="H509" s="1">
        <f t="shared" si="7"/>
        <v>-1.2460549418651639E-2</v>
      </c>
    </row>
    <row r="510" spans="1:8" x14ac:dyDescent="0.35">
      <c r="A510" s="3">
        <v>44936</v>
      </c>
      <c r="B510" s="1">
        <v>62.599998474121001</v>
      </c>
      <c r="C510" s="1">
        <v>62.7299995422363</v>
      </c>
      <c r="D510" s="1">
        <v>61.919998168945298</v>
      </c>
      <c r="E510" s="1">
        <v>62.130001068115199</v>
      </c>
      <c r="F510" s="1">
        <v>56.769901275634702</v>
      </c>
      <c r="G510" s="1">
        <v>10134600</v>
      </c>
      <c r="H510" s="1">
        <f t="shared" si="7"/>
        <v>-7.6664043228790854E-3</v>
      </c>
    </row>
    <row r="511" spans="1:8" x14ac:dyDescent="0.35">
      <c r="A511" s="3">
        <v>44937</v>
      </c>
      <c r="B511" s="1">
        <v>62.380001068115199</v>
      </c>
      <c r="C511" s="1">
        <v>62.560001373291001</v>
      </c>
      <c r="D511" s="1">
        <v>61.409999847412102</v>
      </c>
      <c r="E511" s="1">
        <v>62.009998321533203</v>
      </c>
      <c r="F511" s="1">
        <v>56.660247802734297</v>
      </c>
      <c r="G511" s="1">
        <v>10823000</v>
      </c>
      <c r="H511" s="1">
        <f t="shared" si="7"/>
        <v>-1.9315424271746523E-3</v>
      </c>
    </row>
    <row r="512" spans="1:8" x14ac:dyDescent="0.35">
      <c r="A512" s="3">
        <v>44938</v>
      </c>
      <c r="B512" s="1">
        <v>62.110000610351499</v>
      </c>
      <c r="C512" s="1">
        <v>62.180000305175703</v>
      </c>
      <c r="D512" s="1">
        <v>60.970001220703097</v>
      </c>
      <c r="E512" s="1">
        <v>61.209999084472599</v>
      </c>
      <c r="F512" s="1">
        <v>55.929267883300703</v>
      </c>
      <c r="G512" s="1">
        <v>13907300</v>
      </c>
      <c r="H512" s="1">
        <f t="shared" si="7"/>
        <v>-1.2901106997952775E-2</v>
      </c>
    </row>
    <row r="513" spans="1:8" x14ac:dyDescent="0.35">
      <c r="A513" s="3">
        <v>44939</v>
      </c>
      <c r="B513" s="1">
        <v>60.700000762939403</v>
      </c>
      <c r="C513" s="1">
        <v>61.459999084472599</v>
      </c>
      <c r="D513" s="1">
        <v>60.590000152587798</v>
      </c>
      <c r="E513" s="1">
        <v>61.430000305175703</v>
      </c>
      <c r="F513" s="1">
        <v>56.130287170410099</v>
      </c>
      <c r="G513" s="1">
        <v>13986400</v>
      </c>
      <c r="H513" s="1">
        <f t="shared" si="7"/>
        <v>3.5941698276622074E-3</v>
      </c>
    </row>
    <row r="514" spans="1:8" x14ac:dyDescent="0.35">
      <c r="A514" s="3">
        <v>44943</v>
      </c>
      <c r="B514" s="1">
        <v>61.7299995422363</v>
      </c>
      <c r="C514" s="1">
        <v>62.380001068115199</v>
      </c>
      <c r="D514" s="1">
        <v>61.560001373291001</v>
      </c>
      <c r="E514" s="1">
        <v>61.680000305175703</v>
      </c>
      <c r="F514" s="1">
        <v>56.3587226867675</v>
      </c>
      <c r="G514" s="1">
        <v>18327800</v>
      </c>
      <c r="H514" s="1">
        <f t="shared" si="7"/>
        <v>4.0697371752949751E-3</v>
      </c>
    </row>
    <row r="515" spans="1:8" x14ac:dyDescent="0.35">
      <c r="A515" s="3">
        <v>44944</v>
      </c>
      <c r="B515" s="1">
        <v>61.509998321533203</v>
      </c>
      <c r="C515" s="1">
        <v>61.590000152587798</v>
      </c>
      <c r="D515" s="1">
        <v>59.680000305175703</v>
      </c>
      <c r="E515" s="1">
        <v>59.810001373291001</v>
      </c>
      <c r="F515" s="1">
        <v>54.650047302246001</v>
      </c>
      <c r="G515" s="1">
        <v>19679400</v>
      </c>
      <c r="H515" s="1">
        <f t="shared" si="7"/>
        <v>-3.0317851488899688E-2</v>
      </c>
    </row>
    <row r="516" spans="1:8" x14ac:dyDescent="0.35">
      <c r="A516" s="3">
        <v>44945</v>
      </c>
      <c r="B516" s="1">
        <v>59.7299995422363</v>
      </c>
      <c r="C516" s="1">
        <v>60.639999389648402</v>
      </c>
      <c r="D516" s="1">
        <v>59.709999084472599</v>
      </c>
      <c r="E516" s="1">
        <v>59.720001220703097</v>
      </c>
      <c r="F516" s="1">
        <v>54.567806243896399</v>
      </c>
      <c r="G516" s="1">
        <v>14894500</v>
      </c>
      <c r="H516" s="1">
        <f t="shared" ref="H516:H579" si="8">(F516-F515)/F515</f>
        <v>-1.5048671027631908E-3</v>
      </c>
    </row>
    <row r="517" spans="1:8" x14ac:dyDescent="0.35">
      <c r="A517" s="3">
        <v>44946</v>
      </c>
      <c r="B517" s="1">
        <v>59.720001220703097</v>
      </c>
      <c r="C517" s="1">
        <v>60.090000152587798</v>
      </c>
      <c r="D517" s="1">
        <v>59.400001525878899</v>
      </c>
      <c r="E517" s="1">
        <v>60.080001831054602</v>
      </c>
      <c r="F517" s="1">
        <v>54.896759033203097</v>
      </c>
      <c r="G517" s="1">
        <v>14237700</v>
      </c>
      <c r="H517" s="1">
        <f t="shared" si="8"/>
        <v>6.0283308410165742E-3</v>
      </c>
    </row>
    <row r="518" spans="1:8" x14ac:dyDescent="0.35">
      <c r="A518" s="3">
        <v>44949</v>
      </c>
      <c r="B518" s="1">
        <v>60.279998779296797</v>
      </c>
      <c r="C518" s="1">
        <v>60.569999694824197</v>
      </c>
      <c r="D518" s="1">
        <v>60.049999237060497</v>
      </c>
      <c r="E518" s="1">
        <v>60.2299995422363</v>
      </c>
      <c r="F518" s="1">
        <v>55.033817291259702</v>
      </c>
      <c r="G518" s="1">
        <v>12613400</v>
      </c>
      <c r="H518" s="1">
        <f t="shared" si="8"/>
        <v>2.4966548202546607E-3</v>
      </c>
    </row>
    <row r="519" spans="1:8" x14ac:dyDescent="0.35">
      <c r="A519" s="3">
        <v>44950</v>
      </c>
      <c r="B519" s="1">
        <v>60.080001831054602</v>
      </c>
      <c r="C519" s="1">
        <v>61.849998474121001</v>
      </c>
      <c r="D519" s="1">
        <v>59.799999237060497</v>
      </c>
      <c r="E519" s="1">
        <v>60.549999237060497</v>
      </c>
      <c r="F519" s="1">
        <v>55.326206207275298</v>
      </c>
      <c r="G519" s="1">
        <v>10103300</v>
      </c>
      <c r="H519" s="1">
        <f t="shared" si="8"/>
        <v>5.3128954233387857E-3</v>
      </c>
    </row>
    <row r="520" spans="1:8" x14ac:dyDescent="0.35">
      <c r="A520" s="3">
        <v>44951</v>
      </c>
      <c r="B520" s="1">
        <v>60.200000762939403</v>
      </c>
      <c r="C520" s="1">
        <v>60.939998626708899</v>
      </c>
      <c r="D520" s="1">
        <v>59.889999389648402</v>
      </c>
      <c r="E520" s="1">
        <v>60.930000305175703</v>
      </c>
      <c r="F520" s="1">
        <v>55.673423767089801</v>
      </c>
      <c r="G520" s="1">
        <v>11265800</v>
      </c>
      <c r="H520" s="1">
        <f t="shared" si="8"/>
        <v>6.2758244892787236E-3</v>
      </c>
    </row>
    <row r="521" spans="1:8" x14ac:dyDescent="0.35">
      <c r="A521" s="3">
        <v>44952</v>
      </c>
      <c r="B521" s="1">
        <v>60.810001373291001</v>
      </c>
      <c r="C521" s="1">
        <v>61.099998474121001</v>
      </c>
      <c r="D521" s="1">
        <v>60.569999694824197</v>
      </c>
      <c r="E521" s="1">
        <v>60.810001373291001</v>
      </c>
      <c r="F521" s="1">
        <v>55.563777923583899</v>
      </c>
      <c r="G521" s="1">
        <v>11884800</v>
      </c>
      <c r="H521" s="1">
        <f t="shared" si="8"/>
        <v>-1.9694467501155714E-3</v>
      </c>
    </row>
    <row r="522" spans="1:8" x14ac:dyDescent="0.35">
      <c r="A522" s="3">
        <v>44953</v>
      </c>
      <c r="B522" s="1">
        <v>60.840000152587798</v>
      </c>
      <c r="C522" s="1">
        <v>60.959999084472599</v>
      </c>
      <c r="D522" s="1">
        <v>60.369998931884702</v>
      </c>
      <c r="E522" s="1">
        <v>60.490001678466797</v>
      </c>
      <c r="F522" s="1">
        <v>55.271385192871001</v>
      </c>
      <c r="G522" s="1">
        <v>14087000</v>
      </c>
      <c r="H522" s="1">
        <f t="shared" si="8"/>
        <v>-5.2622903200538569E-3</v>
      </c>
    </row>
    <row r="523" spans="1:8" x14ac:dyDescent="0.35">
      <c r="A523" s="3">
        <v>44956</v>
      </c>
      <c r="B523" s="1">
        <v>60.540000915527301</v>
      </c>
      <c r="C523" s="1">
        <v>61.169998168945298</v>
      </c>
      <c r="D523" s="1">
        <v>60.459999084472599</v>
      </c>
      <c r="E523" s="1">
        <v>60.639999389648402</v>
      </c>
      <c r="F523" s="1">
        <v>55.408439636230398</v>
      </c>
      <c r="G523" s="1">
        <v>15632000</v>
      </c>
      <c r="H523" s="1">
        <f t="shared" si="8"/>
        <v>2.4796636248782459E-3</v>
      </c>
    </row>
    <row r="524" spans="1:8" x14ac:dyDescent="0.35">
      <c r="A524" s="3">
        <v>44957</v>
      </c>
      <c r="B524" s="1">
        <v>60.9799995422363</v>
      </c>
      <c r="C524" s="1">
        <v>61.340000152587798</v>
      </c>
      <c r="D524" s="1">
        <v>60.509998321533203</v>
      </c>
      <c r="E524" s="1">
        <v>61.319999694824197</v>
      </c>
      <c r="F524" s="1">
        <v>56.029777526855398</v>
      </c>
      <c r="G524" s="1">
        <v>14344400</v>
      </c>
      <c r="H524" s="1">
        <f t="shared" si="8"/>
        <v>1.1213777083495425E-2</v>
      </c>
    </row>
    <row r="525" spans="1:8" x14ac:dyDescent="0.35">
      <c r="A525" s="3">
        <v>44958</v>
      </c>
      <c r="B525" s="1">
        <v>61.139999389648402</v>
      </c>
      <c r="C525" s="1">
        <v>61.580001831054602</v>
      </c>
      <c r="D525" s="1">
        <v>60.619998931884702</v>
      </c>
      <c r="E525" s="1">
        <v>61.330001831054602</v>
      </c>
      <c r="F525" s="1">
        <v>56.038917541503899</v>
      </c>
      <c r="G525" s="1">
        <v>12535400</v>
      </c>
      <c r="H525" s="1">
        <f t="shared" si="8"/>
        <v>1.6312780546238269E-4</v>
      </c>
    </row>
    <row r="526" spans="1:8" x14ac:dyDescent="0.35">
      <c r="A526" s="3">
        <v>44959</v>
      </c>
      <c r="B526" s="1">
        <v>60.799999237060497</v>
      </c>
      <c r="C526" s="1">
        <v>61.020000457763601</v>
      </c>
      <c r="D526" s="1">
        <v>59.909999847412102</v>
      </c>
      <c r="E526" s="1">
        <v>60.279998779296797</v>
      </c>
      <c r="F526" s="1">
        <v>55.079505920410099</v>
      </c>
      <c r="G526" s="1">
        <v>16947200</v>
      </c>
      <c r="H526" s="1">
        <f t="shared" si="8"/>
        <v>-1.71204524138646E-2</v>
      </c>
    </row>
    <row r="527" spans="1:8" x14ac:dyDescent="0.35">
      <c r="A527" s="3">
        <v>44960</v>
      </c>
      <c r="B527" s="1">
        <v>60.349998474121001</v>
      </c>
      <c r="C527" s="1">
        <v>60.419998168945298</v>
      </c>
      <c r="D527" s="1">
        <v>59.2299995422363</v>
      </c>
      <c r="E527" s="1">
        <v>59.830001831054602</v>
      </c>
      <c r="F527" s="1">
        <v>54.668323516845703</v>
      </c>
      <c r="G527" s="1">
        <v>15404400</v>
      </c>
      <c r="H527" s="1">
        <f t="shared" si="8"/>
        <v>-7.4652522148356774E-3</v>
      </c>
    </row>
    <row r="528" spans="1:8" x14ac:dyDescent="0.35">
      <c r="A528" s="3">
        <v>44963</v>
      </c>
      <c r="B528" s="1">
        <v>59.790000915527301</v>
      </c>
      <c r="C528" s="1">
        <v>60.340000152587798</v>
      </c>
      <c r="D528" s="1">
        <v>59.720001220703097</v>
      </c>
      <c r="E528" s="1">
        <v>60.169998168945298</v>
      </c>
      <c r="F528" s="1">
        <v>54.978992462158203</v>
      </c>
      <c r="G528" s="1">
        <v>11330900</v>
      </c>
      <c r="H528" s="1">
        <f t="shared" si="8"/>
        <v>5.6827962762891256E-3</v>
      </c>
    </row>
    <row r="529" spans="1:8" x14ac:dyDescent="0.35">
      <c r="A529" s="3">
        <v>44964</v>
      </c>
      <c r="B529" s="1">
        <v>59.669998168945298</v>
      </c>
      <c r="C529" s="1">
        <v>60.240001678466797</v>
      </c>
      <c r="D529" s="1">
        <v>59.540000915527301</v>
      </c>
      <c r="E529" s="1">
        <v>60.069999694824197</v>
      </c>
      <c r="F529" s="1">
        <v>54.887615203857401</v>
      </c>
      <c r="G529" s="1">
        <v>14922700</v>
      </c>
      <c r="H529" s="1">
        <f t="shared" si="8"/>
        <v>-1.6620395210715643E-3</v>
      </c>
    </row>
    <row r="530" spans="1:8" x14ac:dyDescent="0.35">
      <c r="A530" s="3">
        <v>44965</v>
      </c>
      <c r="B530" s="1">
        <v>59.919998168945298</v>
      </c>
      <c r="C530" s="1">
        <v>59.919998168945298</v>
      </c>
      <c r="D530" s="1">
        <v>59.590000152587798</v>
      </c>
      <c r="E530" s="1">
        <v>59.720001220703097</v>
      </c>
      <c r="F530" s="1">
        <v>54.567806243896399</v>
      </c>
      <c r="G530" s="1">
        <v>11012000</v>
      </c>
      <c r="H530" s="1">
        <f t="shared" si="8"/>
        <v>-5.8266142329777499E-3</v>
      </c>
    </row>
    <row r="531" spans="1:8" x14ac:dyDescent="0.35">
      <c r="A531" s="3">
        <v>44966</v>
      </c>
      <c r="B531" s="1">
        <v>60.150001525878899</v>
      </c>
      <c r="C531" s="1">
        <v>60.319999694824197</v>
      </c>
      <c r="D531" s="1">
        <v>59.599998474121001</v>
      </c>
      <c r="E531" s="1">
        <v>59.619998931884702</v>
      </c>
      <c r="F531" s="1">
        <v>54.4764404296875</v>
      </c>
      <c r="G531" s="1">
        <v>12515300</v>
      </c>
      <c r="H531" s="1">
        <f t="shared" si="8"/>
        <v>-1.674353808553898E-3</v>
      </c>
    </row>
    <row r="532" spans="1:8" x14ac:dyDescent="0.35">
      <c r="A532" s="3">
        <v>44967</v>
      </c>
      <c r="B532" s="1">
        <v>59.720001220703097</v>
      </c>
      <c r="C532" s="1">
        <v>59.900001525878899</v>
      </c>
      <c r="D532" s="1">
        <v>58.880001068115199</v>
      </c>
      <c r="E532" s="1">
        <v>59.619998931884702</v>
      </c>
      <c r="F532" s="1">
        <v>54.4764404296875</v>
      </c>
      <c r="G532" s="1">
        <v>14420700</v>
      </c>
      <c r="H532" s="1">
        <f t="shared" si="8"/>
        <v>0</v>
      </c>
    </row>
    <row r="533" spans="1:8" x14ac:dyDescent="0.35">
      <c r="A533" s="3">
        <v>44970</v>
      </c>
      <c r="B533" s="1">
        <v>59.900001525878899</v>
      </c>
      <c r="C533" s="1">
        <v>60.759998321533203</v>
      </c>
      <c r="D533" s="1">
        <v>59.7299995422363</v>
      </c>
      <c r="E533" s="1">
        <v>60.599998474121001</v>
      </c>
      <c r="F533" s="1">
        <v>55.371891021728501</v>
      </c>
      <c r="G533" s="1">
        <v>16191800</v>
      </c>
      <c r="H533" s="1">
        <f t="shared" si="8"/>
        <v>1.6437391741788921E-2</v>
      </c>
    </row>
    <row r="534" spans="1:8" x14ac:dyDescent="0.35">
      <c r="A534" s="3">
        <v>44971</v>
      </c>
      <c r="B534" s="1">
        <v>60.209999084472599</v>
      </c>
      <c r="C534" s="1">
        <v>60.900001525878899</v>
      </c>
      <c r="D534" s="1">
        <v>59.560001373291001</v>
      </c>
      <c r="E534" s="1">
        <v>59.590000152587798</v>
      </c>
      <c r="F534" s="1">
        <v>54.449024200439403</v>
      </c>
      <c r="G534" s="1">
        <v>20505700</v>
      </c>
      <c r="H534" s="1">
        <f t="shared" si="8"/>
        <v>-1.6666702261025464E-2</v>
      </c>
    </row>
    <row r="535" spans="1:8" x14ac:dyDescent="0.35">
      <c r="A535" s="3">
        <v>44972</v>
      </c>
      <c r="B535" s="1">
        <v>59.900001525878899</v>
      </c>
      <c r="C535" s="1">
        <v>59.930000305175703</v>
      </c>
      <c r="D535" s="1">
        <v>59.2299995422363</v>
      </c>
      <c r="E535" s="1">
        <v>59.590000152587798</v>
      </c>
      <c r="F535" s="1">
        <v>54.449024200439403</v>
      </c>
      <c r="G535" s="1">
        <v>13171400</v>
      </c>
      <c r="H535" s="1">
        <f t="shared" si="8"/>
        <v>0</v>
      </c>
    </row>
    <row r="536" spans="1:8" x14ac:dyDescent="0.35">
      <c r="A536" s="3">
        <v>44973</v>
      </c>
      <c r="B536" s="1">
        <v>59.2299995422363</v>
      </c>
      <c r="C536" s="1">
        <v>59.819999694824197</v>
      </c>
      <c r="D536" s="1">
        <v>58.950000762939403</v>
      </c>
      <c r="E536" s="1">
        <v>59.220001220703097</v>
      </c>
      <c r="F536" s="1">
        <v>54.110946655273402</v>
      </c>
      <c r="G536" s="1">
        <v>16538300</v>
      </c>
      <c r="H536" s="1">
        <f t="shared" si="8"/>
        <v>-6.2090652703244058E-3</v>
      </c>
    </row>
    <row r="537" spans="1:8" x14ac:dyDescent="0.35">
      <c r="A537" s="3">
        <v>44974</v>
      </c>
      <c r="B537" s="1">
        <v>59.5</v>
      </c>
      <c r="C537" s="1">
        <v>60.2299995422363</v>
      </c>
      <c r="D537" s="1">
        <v>59.380001068115199</v>
      </c>
      <c r="E537" s="1">
        <v>60.119998931884702</v>
      </c>
      <c r="F537" s="1">
        <v>54.933303833007798</v>
      </c>
      <c r="G537" s="1">
        <v>16814700</v>
      </c>
      <c r="H537" s="1">
        <f t="shared" si="8"/>
        <v>1.5197612101917519E-2</v>
      </c>
    </row>
    <row r="538" spans="1:8" x14ac:dyDescent="0.35">
      <c r="A538" s="3">
        <v>44978</v>
      </c>
      <c r="B538" s="1">
        <v>59.990001678466797</v>
      </c>
      <c r="C538" s="1">
        <v>60.2299995422363</v>
      </c>
      <c r="D538" s="1">
        <v>59.720001220703097</v>
      </c>
      <c r="E538" s="1">
        <v>59.799999237060497</v>
      </c>
      <c r="F538" s="1">
        <v>54.640907287597599</v>
      </c>
      <c r="G538" s="1">
        <v>14278300</v>
      </c>
      <c r="H538" s="1">
        <f t="shared" si="8"/>
        <v>-5.3227555054590845E-3</v>
      </c>
    </row>
    <row r="539" spans="1:8" x14ac:dyDescent="0.35">
      <c r="A539" s="3">
        <v>44979</v>
      </c>
      <c r="B539" s="1">
        <v>59.849998474121001</v>
      </c>
      <c r="C539" s="1">
        <v>60.360000610351499</v>
      </c>
      <c r="D539" s="1">
        <v>59.75</v>
      </c>
      <c r="E539" s="1">
        <v>59.9799995422363</v>
      </c>
      <c r="F539" s="1">
        <v>54.805377960205</v>
      </c>
      <c r="G539" s="1">
        <v>12409600</v>
      </c>
      <c r="H539" s="1">
        <f t="shared" si="8"/>
        <v>3.0100282146071199E-3</v>
      </c>
    </row>
    <row r="540" spans="1:8" x14ac:dyDescent="0.35">
      <c r="A540" s="3">
        <v>44980</v>
      </c>
      <c r="B540" s="1">
        <v>60.009998321533203</v>
      </c>
      <c r="C540" s="1">
        <v>60.419998168945298</v>
      </c>
      <c r="D540" s="1">
        <v>59.810001373291001</v>
      </c>
      <c r="E540" s="1">
        <v>60.090000152587798</v>
      </c>
      <c r="F540" s="1">
        <v>54.905891418457003</v>
      </c>
      <c r="G540" s="1">
        <v>12222800</v>
      </c>
      <c r="H540" s="1">
        <f t="shared" si="8"/>
        <v>1.834007208653632E-3</v>
      </c>
    </row>
    <row r="541" spans="1:8" x14ac:dyDescent="0.35">
      <c r="A541" s="3">
        <v>44981</v>
      </c>
      <c r="B541" s="1">
        <v>59.680000305175703</v>
      </c>
      <c r="C541" s="1">
        <v>59.909999847412102</v>
      </c>
      <c r="D541" s="1">
        <v>59.389999389648402</v>
      </c>
      <c r="E541" s="1">
        <v>59.840000152587798</v>
      </c>
      <c r="F541" s="1">
        <v>54.677455902099602</v>
      </c>
      <c r="G541" s="1">
        <v>9736200</v>
      </c>
      <c r="H541" s="1">
        <f t="shared" si="8"/>
        <v>-4.1604918972431137E-3</v>
      </c>
    </row>
    <row r="542" spans="1:8" x14ac:dyDescent="0.35">
      <c r="A542" s="3">
        <v>44984</v>
      </c>
      <c r="B542" s="1">
        <v>60.180000305175703</v>
      </c>
      <c r="C542" s="1">
        <v>60.299999237060497</v>
      </c>
      <c r="D542" s="1">
        <v>59.740001678466797</v>
      </c>
      <c r="E542" s="1">
        <v>59.819999694824197</v>
      </c>
      <c r="F542" s="1">
        <v>54.659183502197202</v>
      </c>
      <c r="G542" s="1">
        <v>8849800</v>
      </c>
      <c r="H542" s="1">
        <f t="shared" si="8"/>
        <v>-3.3418526156589039E-4</v>
      </c>
    </row>
    <row r="543" spans="1:8" x14ac:dyDescent="0.35">
      <c r="A543" s="3">
        <v>44985</v>
      </c>
      <c r="B543" s="1">
        <v>59.700000762939403</v>
      </c>
      <c r="C543" s="1">
        <v>59.700000762939403</v>
      </c>
      <c r="D543" s="1">
        <v>59.139999389648402</v>
      </c>
      <c r="E543" s="1">
        <v>59.509998321533203</v>
      </c>
      <c r="F543" s="1">
        <v>54.375923156738203</v>
      </c>
      <c r="G543" s="1">
        <v>16082200</v>
      </c>
      <c r="H543" s="1">
        <f t="shared" si="8"/>
        <v>-5.18230107567582E-3</v>
      </c>
    </row>
    <row r="544" spans="1:8" x14ac:dyDescent="0.35">
      <c r="A544" s="3">
        <v>44986</v>
      </c>
      <c r="B544" s="1">
        <v>59.130001068115199</v>
      </c>
      <c r="C544" s="1">
        <v>59.180000305175703</v>
      </c>
      <c r="D544" s="1">
        <v>58.369998931884702</v>
      </c>
      <c r="E544" s="1">
        <v>58.860000610351499</v>
      </c>
      <c r="F544" s="1">
        <v>53.7820014953613</v>
      </c>
      <c r="G544" s="1">
        <v>13275800</v>
      </c>
      <c r="H544" s="1">
        <f t="shared" si="8"/>
        <v>-1.0922511782741206E-2</v>
      </c>
    </row>
    <row r="545" spans="1:8" x14ac:dyDescent="0.35">
      <c r="A545" s="3">
        <v>44987</v>
      </c>
      <c r="B545" s="1">
        <v>58.840000152587798</v>
      </c>
      <c r="C545" s="1">
        <v>59.779998779296797</v>
      </c>
      <c r="D545" s="1">
        <v>58.799999237060497</v>
      </c>
      <c r="E545" s="1">
        <v>59.720001220703097</v>
      </c>
      <c r="F545" s="1">
        <v>54.567806243896399</v>
      </c>
      <c r="G545" s="1">
        <v>11758300</v>
      </c>
      <c r="H545" s="1">
        <f t="shared" si="8"/>
        <v>1.4610924225326109E-2</v>
      </c>
    </row>
    <row r="546" spans="1:8" x14ac:dyDescent="0.35">
      <c r="A546" s="3">
        <v>44988</v>
      </c>
      <c r="B546" s="1">
        <v>59.549999237060497</v>
      </c>
      <c r="C546" s="1">
        <v>59.680000305175703</v>
      </c>
      <c r="D546" s="1">
        <v>59.209999084472599</v>
      </c>
      <c r="E546" s="1">
        <v>59.439998626708899</v>
      </c>
      <c r="F546" s="1">
        <v>54.31196975708</v>
      </c>
      <c r="G546" s="1">
        <v>13101800</v>
      </c>
      <c r="H546" s="1">
        <f t="shared" si="8"/>
        <v>-4.6884143678584357E-3</v>
      </c>
    </row>
    <row r="547" spans="1:8" x14ac:dyDescent="0.35">
      <c r="A547" s="3">
        <v>44991</v>
      </c>
      <c r="B547" s="1">
        <v>59.259998321533203</v>
      </c>
      <c r="C547" s="1">
        <v>60.380001068115199</v>
      </c>
      <c r="D547" s="1">
        <v>59.220001220703097</v>
      </c>
      <c r="E547" s="1">
        <v>60.360000610351499</v>
      </c>
      <c r="F547" s="1">
        <v>55.152599334716797</v>
      </c>
      <c r="G547" s="1">
        <v>16282700</v>
      </c>
      <c r="H547" s="1">
        <f t="shared" si="8"/>
        <v>1.547779580443617E-2</v>
      </c>
    </row>
    <row r="548" spans="1:8" x14ac:dyDescent="0.35">
      <c r="A548" s="3">
        <v>44992</v>
      </c>
      <c r="B548" s="1">
        <v>60.490001678466797</v>
      </c>
      <c r="C548" s="1">
        <v>60.569999694824197</v>
      </c>
      <c r="D548" s="1">
        <v>59.75</v>
      </c>
      <c r="E548" s="1">
        <v>60.009998321533203</v>
      </c>
      <c r="F548" s="1">
        <v>54.832790374755803</v>
      </c>
      <c r="G548" s="1">
        <v>13961200</v>
      </c>
      <c r="H548" s="1">
        <f t="shared" si="8"/>
        <v>-5.7986198985853568E-3</v>
      </c>
    </row>
    <row r="549" spans="1:8" x14ac:dyDescent="0.35">
      <c r="A549" s="3">
        <v>44993</v>
      </c>
      <c r="B549" s="1">
        <v>60.040000915527301</v>
      </c>
      <c r="C549" s="1">
        <v>60.330001831054602</v>
      </c>
      <c r="D549" s="1">
        <v>59.7299995422363</v>
      </c>
      <c r="E549" s="1">
        <v>60.040000915527301</v>
      </c>
      <c r="F549" s="1">
        <v>54.860206604003899</v>
      </c>
      <c r="G549" s="1">
        <v>10851600</v>
      </c>
      <c r="H549" s="1">
        <f t="shared" si="8"/>
        <v>4.9999697372174283E-4</v>
      </c>
    </row>
    <row r="550" spans="1:8" x14ac:dyDescent="0.35">
      <c r="A550" s="3">
        <v>44994</v>
      </c>
      <c r="B550" s="1">
        <v>60.540000915527301</v>
      </c>
      <c r="C550" s="1">
        <v>60.540000915527301</v>
      </c>
      <c r="D550" s="1">
        <v>59.279998779296797</v>
      </c>
      <c r="E550" s="1">
        <v>59.459999084472599</v>
      </c>
      <c r="F550" s="1">
        <v>54.330249786376903</v>
      </c>
      <c r="G550" s="1">
        <v>13900900</v>
      </c>
      <c r="H550" s="1">
        <f t="shared" si="8"/>
        <v>-9.6601316406328946E-3</v>
      </c>
    </row>
    <row r="551" spans="1:8" x14ac:dyDescent="0.35">
      <c r="A551" s="3">
        <v>44995</v>
      </c>
      <c r="B551" s="1">
        <v>59.700000762939403</v>
      </c>
      <c r="C551" s="1">
        <v>60.139999389648402</v>
      </c>
      <c r="D551" s="1">
        <v>58.990001678466797</v>
      </c>
      <c r="E551" s="1">
        <v>59.209999084472599</v>
      </c>
      <c r="F551" s="1">
        <v>54.101810455322202</v>
      </c>
      <c r="G551" s="1">
        <v>13745800</v>
      </c>
      <c r="H551" s="1">
        <f t="shared" si="8"/>
        <v>-4.2046434896381053E-3</v>
      </c>
    </row>
    <row r="552" spans="1:8" x14ac:dyDescent="0.35">
      <c r="A552" s="3">
        <v>44998</v>
      </c>
      <c r="B552" s="1">
        <v>59.290000915527301</v>
      </c>
      <c r="C552" s="1">
        <v>60.869998931884702</v>
      </c>
      <c r="D552" s="1">
        <v>59.25</v>
      </c>
      <c r="E552" s="1">
        <v>59.810001373291001</v>
      </c>
      <c r="F552" s="1">
        <v>54.650047302246001</v>
      </c>
      <c r="G552" s="1">
        <v>21956000</v>
      </c>
      <c r="H552" s="1">
        <f t="shared" si="8"/>
        <v>1.0133428850343908E-2</v>
      </c>
    </row>
    <row r="553" spans="1:8" x14ac:dyDescent="0.35">
      <c r="A553" s="3">
        <v>44999</v>
      </c>
      <c r="B553" s="1">
        <v>60</v>
      </c>
      <c r="C553" s="1">
        <v>60.459999084472599</v>
      </c>
      <c r="D553" s="1">
        <v>59.349998474121001</v>
      </c>
      <c r="E553" s="1">
        <v>60.029998779296797</v>
      </c>
      <c r="F553" s="1">
        <v>54.85107421875</v>
      </c>
      <c r="G553" s="1">
        <v>19496900</v>
      </c>
      <c r="H553" s="1">
        <f t="shared" si="8"/>
        <v>3.6784399360572343E-3</v>
      </c>
    </row>
    <row r="554" spans="1:8" x14ac:dyDescent="0.35">
      <c r="A554" s="3">
        <v>45000</v>
      </c>
      <c r="B554" s="1">
        <v>59.430000305175703</v>
      </c>
      <c r="C554" s="1">
        <v>60.4799995422363</v>
      </c>
      <c r="D554" s="1">
        <v>59.240001678466797</v>
      </c>
      <c r="E554" s="1">
        <v>60.430000305175703</v>
      </c>
      <c r="F554" s="1">
        <v>55.216560363769503</v>
      </c>
      <c r="G554" s="1">
        <v>21089900</v>
      </c>
      <c r="H554" s="1">
        <f t="shared" si="8"/>
        <v>6.6632449815279462E-3</v>
      </c>
    </row>
    <row r="555" spans="1:8" x14ac:dyDescent="0.35">
      <c r="A555" s="3">
        <v>45001</v>
      </c>
      <c r="B555" s="1">
        <v>60.090000152587798</v>
      </c>
      <c r="C555" s="1">
        <v>60.340000152587798</v>
      </c>
      <c r="D555" s="1">
        <v>59.700000762939403</v>
      </c>
      <c r="E555" s="1">
        <v>60.299999237060497</v>
      </c>
      <c r="F555" s="1">
        <v>55.5204048156738</v>
      </c>
      <c r="G555" s="1">
        <v>15658300</v>
      </c>
      <c r="H555" s="1">
        <f t="shared" si="8"/>
        <v>5.5027776069815687E-3</v>
      </c>
    </row>
    <row r="556" spans="1:8" x14ac:dyDescent="0.35">
      <c r="A556" s="3">
        <v>45002</v>
      </c>
      <c r="B556" s="1">
        <v>60.310001373291001</v>
      </c>
      <c r="C556" s="1">
        <v>60.349998474121001</v>
      </c>
      <c r="D556" s="1">
        <v>59.639999389648402</v>
      </c>
      <c r="E556" s="1">
        <v>60.020000457763601</v>
      </c>
      <c r="F556" s="1">
        <v>55.2625923156738</v>
      </c>
      <c r="G556" s="1">
        <v>27351200</v>
      </c>
      <c r="H556" s="1">
        <f t="shared" si="8"/>
        <v>-4.6435630441804291E-3</v>
      </c>
    </row>
    <row r="557" spans="1:8" x14ac:dyDescent="0.35">
      <c r="A557" s="3">
        <v>45005</v>
      </c>
      <c r="B557" s="1">
        <v>60.159999847412102</v>
      </c>
      <c r="C557" s="1">
        <v>60.599998474121001</v>
      </c>
      <c r="D557" s="1">
        <v>59.970001220703097</v>
      </c>
      <c r="E557" s="1">
        <v>60.599998474121001</v>
      </c>
      <c r="F557" s="1">
        <v>55.796619415283203</v>
      </c>
      <c r="G557" s="1">
        <v>12904100</v>
      </c>
      <c r="H557" s="1">
        <f t="shared" si="8"/>
        <v>9.663446415233411E-3</v>
      </c>
    </row>
    <row r="558" spans="1:8" x14ac:dyDescent="0.35">
      <c r="A558" s="3">
        <v>45006</v>
      </c>
      <c r="B558" s="1">
        <v>60.569999694824197</v>
      </c>
      <c r="C558" s="1">
        <v>60.75</v>
      </c>
      <c r="D558" s="1">
        <v>59.880001068115199</v>
      </c>
      <c r="E558" s="1">
        <v>60.319999694824197</v>
      </c>
      <c r="F558" s="1">
        <v>55.538818359375</v>
      </c>
      <c r="G558" s="1">
        <v>13716500</v>
      </c>
      <c r="H558" s="1">
        <f t="shared" si="8"/>
        <v>-4.6203705279963441E-3</v>
      </c>
    </row>
    <row r="559" spans="1:8" x14ac:dyDescent="0.35">
      <c r="A559" s="3">
        <v>45007</v>
      </c>
      <c r="B559" s="1">
        <v>60.400001525878899</v>
      </c>
      <c r="C559" s="1">
        <v>60.869998931884702</v>
      </c>
      <c r="D559" s="1">
        <v>60.029998779296797</v>
      </c>
      <c r="E559" s="1">
        <v>60.049999237060497</v>
      </c>
      <c r="F559" s="1">
        <v>55.290210723876903</v>
      </c>
      <c r="G559" s="1">
        <v>10494200</v>
      </c>
      <c r="H559" s="1">
        <f t="shared" si="8"/>
        <v>-4.4762860075529751E-3</v>
      </c>
    </row>
    <row r="560" spans="1:8" x14ac:dyDescent="0.35">
      <c r="A560" s="3">
        <v>45008</v>
      </c>
      <c r="B560" s="1">
        <v>60.090000152587798</v>
      </c>
      <c r="C560" s="1">
        <v>60.389999389648402</v>
      </c>
      <c r="D560" s="1">
        <v>59.720001220703097</v>
      </c>
      <c r="E560" s="1">
        <v>59.919998168945298</v>
      </c>
      <c r="F560" s="1">
        <v>55.170524597167898</v>
      </c>
      <c r="G560" s="1">
        <v>15479000</v>
      </c>
      <c r="H560" s="1">
        <f t="shared" si="8"/>
        <v>-2.1646892848125755E-3</v>
      </c>
    </row>
    <row r="561" spans="1:8" x14ac:dyDescent="0.35">
      <c r="A561" s="3">
        <v>45009</v>
      </c>
      <c r="B561" s="1">
        <v>60.25</v>
      </c>
      <c r="C561" s="1">
        <v>61.020000457763601</v>
      </c>
      <c r="D561" s="1">
        <v>59.909999847412102</v>
      </c>
      <c r="E561" s="1">
        <v>60.900001525878899</v>
      </c>
      <c r="F561" s="1">
        <v>56.072845458984297</v>
      </c>
      <c r="G561" s="1">
        <v>12975600</v>
      </c>
      <c r="H561" s="1">
        <f t="shared" si="8"/>
        <v>1.6355125647341019E-2</v>
      </c>
    </row>
    <row r="562" spans="1:8" x14ac:dyDescent="0.35">
      <c r="A562" s="3">
        <v>45012</v>
      </c>
      <c r="B562" s="1">
        <v>61.139999389648402</v>
      </c>
      <c r="C562" s="1">
        <v>61.4799995422363</v>
      </c>
      <c r="D562" s="1">
        <v>60.950000762939403</v>
      </c>
      <c r="E562" s="1">
        <v>61.349998474121001</v>
      </c>
      <c r="F562" s="1">
        <v>56.487174987792898</v>
      </c>
      <c r="G562" s="1">
        <v>12777400</v>
      </c>
      <c r="H562" s="1">
        <f t="shared" si="8"/>
        <v>7.3891297189772756E-3</v>
      </c>
    </row>
    <row r="563" spans="1:8" x14ac:dyDescent="0.35">
      <c r="A563" s="3">
        <v>45013</v>
      </c>
      <c r="B563" s="1">
        <v>61.389999389648402</v>
      </c>
      <c r="C563" s="1">
        <v>61.740001678466797</v>
      </c>
      <c r="D563" s="1">
        <v>61.270000457763601</v>
      </c>
      <c r="E563" s="1">
        <v>61.419998168945298</v>
      </c>
      <c r="F563" s="1">
        <v>56.551624298095703</v>
      </c>
      <c r="G563" s="1">
        <v>10925700</v>
      </c>
      <c r="H563" s="1">
        <f t="shared" si="8"/>
        <v>1.1409547444483316E-3</v>
      </c>
    </row>
    <row r="564" spans="1:8" x14ac:dyDescent="0.35">
      <c r="A564" s="3">
        <v>45014</v>
      </c>
      <c r="B564" s="1">
        <v>61.720001220703097</v>
      </c>
      <c r="C564" s="1">
        <v>61.950000762939403</v>
      </c>
      <c r="D564" s="1">
        <v>61.590000152587798</v>
      </c>
      <c r="E564" s="1">
        <v>61.860000610351499</v>
      </c>
      <c r="F564" s="1">
        <v>56.956756591796797</v>
      </c>
      <c r="G564" s="1">
        <v>9441000</v>
      </c>
      <c r="H564" s="1">
        <f t="shared" si="8"/>
        <v>7.1639373533385134E-3</v>
      </c>
    </row>
    <row r="565" spans="1:8" x14ac:dyDescent="0.35">
      <c r="A565" s="3">
        <v>45015</v>
      </c>
      <c r="B565" s="1">
        <v>61.880001068115199</v>
      </c>
      <c r="C565" s="1">
        <v>62.090000152587798</v>
      </c>
      <c r="D565" s="1">
        <v>61.659999847412102</v>
      </c>
      <c r="E565" s="1">
        <v>61.849998474121001</v>
      </c>
      <c r="F565" s="1">
        <v>56.947540283203097</v>
      </c>
      <c r="G565" s="1">
        <v>9870700</v>
      </c>
      <c r="H565" s="1">
        <f t="shared" si="8"/>
        <v>-1.6181238443320421E-4</v>
      </c>
    </row>
    <row r="566" spans="1:8" x14ac:dyDescent="0.35">
      <c r="A566" s="3">
        <v>45016</v>
      </c>
      <c r="B566" s="1">
        <v>62.060001373291001</v>
      </c>
      <c r="C566" s="1">
        <v>62.25</v>
      </c>
      <c r="D566" s="1">
        <v>61.869998931884702</v>
      </c>
      <c r="E566" s="1">
        <v>62.029998779296797</v>
      </c>
      <c r="F566" s="1">
        <v>57.113273620605398</v>
      </c>
      <c r="G566" s="1">
        <v>14440900</v>
      </c>
      <c r="H566" s="1">
        <f t="shared" si="8"/>
        <v>2.9102808756638226E-3</v>
      </c>
    </row>
    <row r="567" spans="1:8" x14ac:dyDescent="0.35">
      <c r="A567" s="3">
        <v>45019</v>
      </c>
      <c r="B567" s="1">
        <v>62.299999237060497</v>
      </c>
      <c r="C567" s="1">
        <v>62.520000457763601</v>
      </c>
      <c r="D567" s="1">
        <v>61.860000610351499</v>
      </c>
      <c r="E567" s="1">
        <v>62.400001525878899</v>
      </c>
      <c r="F567" s="1">
        <v>57.453948974609297</v>
      </c>
      <c r="G567" s="1">
        <v>12300700</v>
      </c>
      <c r="H567" s="1">
        <f t="shared" si="8"/>
        <v>5.9649067967448791E-3</v>
      </c>
    </row>
    <row r="568" spans="1:8" x14ac:dyDescent="0.35">
      <c r="A568" s="3">
        <v>45020</v>
      </c>
      <c r="B568" s="1">
        <v>62.389999389648402</v>
      </c>
      <c r="C568" s="1">
        <v>62.740001678466797</v>
      </c>
      <c r="D568" s="1">
        <v>62.080001831054602</v>
      </c>
      <c r="E568" s="1">
        <v>62.209999084472599</v>
      </c>
      <c r="F568" s="1">
        <v>57.279006958007798</v>
      </c>
      <c r="G568" s="1">
        <v>11433400</v>
      </c>
      <c r="H568" s="1">
        <f t="shared" si="8"/>
        <v>-3.0449084827713223E-3</v>
      </c>
    </row>
    <row r="569" spans="1:8" x14ac:dyDescent="0.35">
      <c r="A569" s="3">
        <v>45021</v>
      </c>
      <c r="B569" s="1">
        <v>62.529998779296797</v>
      </c>
      <c r="C569" s="1">
        <v>63.020000457763601</v>
      </c>
      <c r="D569" s="1">
        <v>62.5</v>
      </c>
      <c r="E569" s="1">
        <v>62.799999237060497</v>
      </c>
      <c r="F569" s="1">
        <v>57.822242736816399</v>
      </c>
      <c r="G569" s="1">
        <v>12789600</v>
      </c>
      <c r="H569" s="1">
        <f t="shared" si="8"/>
        <v>9.4840292745797094E-3</v>
      </c>
    </row>
    <row r="570" spans="1:8" x14ac:dyDescent="0.35">
      <c r="A570" s="3">
        <v>45022</v>
      </c>
      <c r="B570" s="1">
        <v>62.860000610351499</v>
      </c>
      <c r="C570" s="1">
        <v>63.040000915527301</v>
      </c>
      <c r="D570" s="1">
        <v>62.380001068115199</v>
      </c>
      <c r="E570" s="1">
        <v>62.840000152587798</v>
      </c>
      <c r="F570" s="1">
        <v>57.859073638916001</v>
      </c>
      <c r="G570" s="1">
        <v>9644200</v>
      </c>
      <c r="H570" s="1">
        <f t="shared" si="8"/>
        <v>6.3696771962377398E-4</v>
      </c>
    </row>
    <row r="571" spans="1:8" x14ac:dyDescent="0.35">
      <c r="A571" s="3">
        <v>45026</v>
      </c>
      <c r="B571" s="1">
        <v>62.490001678466797</v>
      </c>
      <c r="C571" s="1">
        <v>62.689998626708899</v>
      </c>
      <c r="D571" s="1">
        <v>62.020000457763601</v>
      </c>
      <c r="E571" s="1">
        <v>62.689998626708899</v>
      </c>
      <c r="F571" s="1">
        <v>57.720951080322202</v>
      </c>
      <c r="G571" s="1">
        <v>7952600</v>
      </c>
      <c r="H571" s="1">
        <f t="shared" si="8"/>
        <v>-2.3872238165406528E-3</v>
      </c>
    </row>
    <row r="572" spans="1:8" x14ac:dyDescent="0.35">
      <c r="A572" s="3">
        <v>45027</v>
      </c>
      <c r="B572" s="1">
        <v>62.650001525878899</v>
      </c>
      <c r="C572" s="1">
        <v>62.709999084472599</v>
      </c>
      <c r="D572" s="1">
        <v>62.400001525878899</v>
      </c>
      <c r="E572" s="1">
        <v>62.580001831054602</v>
      </c>
      <c r="F572" s="1">
        <v>57.619678497314403</v>
      </c>
      <c r="G572" s="1">
        <v>9913000</v>
      </c>
      <c r="H572" s="1">
        <f t="shared" si="8"/>
        <v>-1.7545203450800967E-3</v>
      </c>
    </row>
    <row r="573" spans="1:8" x14ac:dyDescent="0.35">
      <c r="A573" s="3">
        <v>45028</v>
      </c>
      <c r="B573" s="1">
        <v>62.4799995422363</v>
      </c>
      <c r="C573" s="1">
        <v>63.029998779296797</v>
      </c>
      <c r="D573" s="1">
        <v>62.310001373291001</v>
      </c>
      <c r="E573" s="1">
        <v>62.689998626708899</v>
      </c>
      <c r="F573" s="1">
        <v>57.720951080322202</v>
      </c>
      <c r="G573" s="1">
        <v>9593700</v>
      </c>
      <c r="H573" s="1">
        <f t="shared" si="8"/>
        <v>1.7576040972272782E-3</v>
      </c>
    </row>
    <row r="574" spans="1:8" x14ac:dyDescent="0.35">
      <c r="A574" s="3">
        <v>45029</v>
      </c>
      <c r="B574" s="1">
        <v>62.759998321533203</v>
      </c>
      <c r="C574" s="1">
        <v>63.159999847412102</v>
      </c>
      <c r="D574" s="1">
        <v>62.4799995422363</v>
      </c>
      <c r="E574" s="1">
        <v>63.150001525878899</v>
      </c>
      <c r="F574" s="1">
        <v>58.144504547119098</v>
      </c>
      <c r="G574" s="1">
        <v>9871400</v>
      </c>
      <c r="H574" s="1">
        <f t="shared" si="8"/>
        <v>7.3379502393766177E-3</v>
      </c>
    </row>
    <row r="575" spans="1:8" x14ac:dyDescent="0.35">
      <c r="A575" s="3">
        <v>45030</v>
      </c>
      <c r="B575" s="1">
        <v>63.049999237060497</v>
      </c>
      <c r="C575" s="1">
        <v>63.150001525878899</v>
      </c>
      <c r="D575" s="1">
        <v>62.779998779296797</v>
      </c>
      <c r="E575" s="1">
        <v>63.049999237060497</v>
      </c>
      <c r="F575" s="1">
        <v>58.0524291992187</v>
      </c>
      <c r="G575" s="1">
        <v>8946000</v>
      </c>
      <c r="H575" s="1">
        <f t="shared" si="8"/>
        <v>-1.5835606239585683E-3</v>
      </c>
    </row>
    <row r="576" spans="1:8" x14ac:dyDescent="0.35">
      <c r="A576" s="3">
        <v>45033</v>
      </c>
      <c r="B576" s="1">
        <v>63.319999694824197</v>
      </c>
      <c r="C576" s="1">
        <v>63.529998779296797</v>
      </c>
      <c r="D576" s="1">
        <v>63.139999389648402</v>
      </c>
      <c r="E576" s="1">
        <v>63.459999084472599</v>
      </c>
      <c r="F576" s="1">
        <v>58.429927825927699</v>
      </c>
      <c r="G576" s="1">
        <v>9452400</v>
      </c>
      <c r="H576" s="1">
        <f t="shared" si="8"/>
        <v>6.5027188683790538E-3</v>
      </c>
    </row>
    <row r="577" spans="1:8" x14ac:dyDescent="0.35">
      <c r="A577" s="3">
        <v>45034</v>
      </c>
      <c r="B577" s="1">
        <v>63.509998321533203</v>
      </c>
      <c r="C577" s="1">
        <v>63.599998474121001</v>
      </c>
      <c r="D577" s="1">
        <v>63.189998626708899</v>
      </c>
      <c r="E577" s="1">
        <v>63.560001373291001</v>
      </c>
      <c r="F577" s="1">
        <v>58.521999359130803</v>
      </c>
      <c r="G577" s="1">
        <v>9035700</v>
      </c>
      <c r="H577" s="1">
        <f t="shared" si="8"/>
        <v>1.5757598311159963E-3</v>
      </c>
    </row>
    <row r="578" spans="1:8" x14ac:dyDescent="0.35">
      <c r="A578" s="3">
        <v>45035</v>
      </c>
      <c r="B578" s="1">
        <v>63.7299995422363</v>
      </c>
      <c r="C578" s="1">
        <v>63.830001831054602</v>
      </c>
      <c r="D578" s="1">
        <v>63.430000305175703</v>
      </c>
      <c r="E578" s="1">
        <v>63.680000305175703</v>
      </c>
      <c r="F578" s="1">
        <v>58.632484436035099</v>
      </c>
      <c r="G578" s="1">
        <v>9769500</v>
      </c>
      <c r="H578" s="1">
        <f t="shared" si="8"/>
        <v>1.8879238254709187E-3</v>
      </c>
    </row>
    <row r="579" spans="1:8" x14ac:dyDescent="0.35">
      <c r="A579" s="3">
        <v>45036</v>
      </c>
      <c r="B579" s="1">
        <v>63.630001068115199</v>
      </c>
      <c r="C579" s="1">
        <v>64</v>
      </c>
      <c r="D579" s="1">
        <v>63.439998626708899</v>
      </c>
      <c r="E579" s="1">
        <v>63.959999084472599</v>
      </c>
      <c r="F579" s="1">
        <v>58.890296936035099</v>
      </c>
      <c r="G579" s="1">
        <v>10706400</v>
      </c>
      <c r="H579" s="1">
        <f t="shared" si="8"/>
        <v>4.3970932236593119E-3</v>
      </c>
    </row>
    <row r="580" spans="1:8" x14ac:dyDescent="0.35">
      <c r="A580" s="3">
        <v>45037</v>
      </c>
      <c r="B580" s="1">
        <v>64</v>
      </c>
      <c r="C580" s="1">
        <v>64.269996643066406</v>
      </c>
      <c r="D580" s="1">
        <v>63.799999237060497</v>
      </c>
      <c r="E580" s="1">
        <v>64.050003051757798</v>
      </c>
      <c r="F580" s="1">
        <v>58.973167419433501</v>
      </c>
      <c r="G580" s="1">
        <v>12931100</v>
      </c>
      <c r="H580" s="1">
        <f t="shared" ref="H580:H643" si="9">(F580-F579)/F579</f>
        <v>1.407200977241012E-3</v>
      </c>
    </row>
    <row r="581" spans="1:8" x14ac:dyDescent="0.35">
      <c r="A581" s="3">
        <v>45040</v>
      </c>
      <c r="B581" s="1">
        <v>64.75</v>
      </c>
      <c r="C581" s="1">
        <v>64.989997863769503</v>
      </c>
      <c r="D581" s="1">
        <v>63.619998931884702</v>
      </c>
      <c r="E581" s="1">
        <v>63.950000762939403</v>
      </c>
      <c r="F581" s="1">
        <v>58.881084442138601</v>
      </c>
      <c r="G581" s="1">
        <v>15532300</v>
      </c>
      <c r="H581" s="1">
        <f t="shared" si="9"/>
        <v>-1.56143855458841E-3</v>
      </c>
    </row>
    <row r="582" spans="1:8" x14ac:dyDescent="0.35">
      <c r="A582" s="3">
        <v>45041</v>
      </c>
      <c r="B582" s="1">
        <v>64.169998168945298</v>
      </c>
      <c r="C582" s="1">
        <v>64.169998168945298</v>
      </c>
      <c r="D582" s="1">
        <v>63.630001068115199</v>
      </c>
      <c r="E582" s="1">
        <v>63.849998474121001</v>
      </c>
      <c r="F582" s="1">
        <v>58.789016723632798</v>
      </c>
      <c r="G582" s="1">
        <v>12818900</v>
      </c>
      <c r="H582" s="1">
        <f t="shared" si="9"/>
        <v>-1.5636213119728773E-3</v>
      </c>
    </row>
    <row r="583" spans="1:8" x14ac:dyDescent="0.35">
      <c r="A583" s="3">
        <v>45042</v>
      </c>
      <c r="B583" s="1">
        <v>63.560001373291001</v>
      </c>
      <c r="C583" s="1">
        <v>63.770000457763601</v>
      </c>
      <c r="D583" s="1">
        <v>63.389999389648402</v>
      </c>
      <c r="E583" s="1">
        <v>63.549999237060497</v>
      </c>
      <c r="F583" s="1">
        <v>58.512790679931598</v>
      </c>
      <c r="G583" s="1">
        <v>13179600</v>
      </c>
      <c r="H583" s="1">
        <f t="shared" si="9"/>
        <v>-4.6985994849980074E-3</v>
      </c>
    </row>
    <row r="584" spans="1:8" x14ac:dyDescent="0.35">
      <c r="A584" s="3">
        <v>45043</v>
      </c>
      <c r="B584" s="1">
        <v>63.529998779296797</v>
      </c>
      <c r="C584" s="1">
        <v>63.759998321533203</v>
      </c>
      <c r="D584" s="1">
        <v>63.110000610351499</v>
      </c>
      <c r="E584" s="1">
        <v>63.680000305175703</v>
      </c>
      <c r="F584" s="1">
        <v>58.632484436035099</v>
      </c>
      <c r="G584" s="1">
        <v>13795800</v>
      </c>
      <c r="H584" s="1">
        <f t="shared" si="9"/>
        <v>2.0455998545383571E-3</v>
      </c>
    </row>
    <row r="585" spans="1:8" x14ac:dyDescent="0.35">
      <c r="A585" s="3">
        <v>45044</v>
      </c>
      <c r="B585" s="1">
        <v>63.610000610351499</v>
      </c>
      <c r="C585" s="1">
        <v>64.160003662109304</v>
      </c>
      <c r="D585" s="1">
        <v>63.4799995422363</v>
      </c>
      <c r="E585" s="1">
        <v>64.150001525878906</v>
      </c>
      <c r="F585" s="1">
        <v>59.065231323242102</v>
      </c>
      <c r="G585" s="1">
        <v>13687600</v>
      </c>
      <c r="H585" s="1">
        <f t="shared" si="9"/>
        <v>7.3806677538814942E-3</v>
      </c>
    </row>
    <row r="586" spans="1:8" x14ac:dyDescent="0.35">
      <c r="A586" s="3">
        <v>45047</v>
      </c>
      <c r="B586" s="1">
        <v>64.150001525878906</v>
      </c>
      <c r="C586" s="1">
        <v>64.690002441406193</v>
      </c>
      <c r="D586" s="1">
        <v>64.059997558593693</v>
      </c>
      <c r="E586" s="1">
        <v>64.300003051757798</v>
      </c>
      <c r="F586" s="1">
        <v>59.203357696533203</v>
      </c>
      <c r="G586" s="1">
        <v>9091500</v>
      </c>
      <c r="H586" s="1">
        <f t="shared" si="9"/>
        <v>2.3385394452310952E-3</v>
      </c>
    </row>
    <row r="587" spans="1:8" x14ac:dyDescent="0.35">
      <c r="A587" s="3">
        <v>45048</v>
      </c>
      <c r="B587" s="1">
        <v>64.139999389648395</v>
      </c>
      <c r="C587" s="1">
        <v>64.139999389648395</v>
      </c>
      <c r="D587" s="1">
        <v>63.270000457763601</v>
      </c>
      <c r="E587" s="1">
        <v>64.010002136230398</v>
      </c>
      <c r="F587" s="1">
        <v>58.936336517333899</v>
      </c>
      <c r="G587" s="1">
        <v>10948400</v>
      </c>
      <c r="H587" s="1">
        <f t="shared" si="9"/>
        <v>-4.5102370809441458E-3</v>
      </c>
    </row>
    <row r="588" spans="1:8" x14ac:dyDescent="0.35">
      <c r="A588" s="3">
        <v>45049</v>
      </c>
      <c r="B588" s="1">
        <v>64.019996643066406</v>
      </c>
      <c r="C588" s="1">
        <v>64.180000305175696</v>
      </c>
      <c r="D588" s="1">
        <v>63.580001831054602</v>
      </c>
      <c r="E588" s="1">
        <v>63.650001525878899</v>
      </c>
      <c r="F588" s="1">
        <v>58.604869842529297</v>
      </c>
      <c r="G588" s="1">
        <v>11084600</v>
      </c>
      <c r="H588" s="1">
        <f t="shared" si="9"/>
        <v>-5.6241479262477368E-3</v>
      </c>
    </row>
    <row r="589" spans="1:8" x14ac:dyDescent="0.35">
      <c r="A589" s="3">
        <v>45050</v>
      </c>
      <c r="B589" s="1">
        <v>63.740001678466797</v>
      </c>
      <c r="C589" s="1">
        <v>63.930000305175703</v>
      </c>
      <c r="D589" s="1">
        <v>63.509998321533203</v>
      </c>
      <c r="E589" s="1">
        <v>63.720001220703097</v>
      </c>
      <c r="F589" s="1">
        <v>58.669322967529297</v>
      </c>
      <c r="G589" s="1">
        <v>11938300</v>
      </c>
      <c r="H589" s="1">
        <f t="shared" si="9"/>
        <v>1.099791283099594E-3</v>
      </c>
    </row>
    <row r="590" spans="1:8" x14ac:dyDescent="0.35">
      <c r="A590" s="3">
        <v>45051</v>
      </c>
      <c r="B590" s="1">
        <v>63.639999389648402</v>
      </c>
      <c r="C590" s="1">
        <v>64.209999084472599</v>
      </c>
      <c r="D590" s="1">
        <v>63.630001068115199</v>
      </c>
      <c r="E590" s="1">
        <v>64.019996643066406</v>
      </c>
      <c r="F590" s="1">
        <v>58.945537567138601</v>
      </c>
      <c r="G590" s="1">
        <v>9039000</v>
      </c>
      <c r="H590" s="1">
        <f t="shared" si="9"/>
        <v>4.7079902347292417E-3</v>
      </c>
    </row>
    <row r="591" spans="1:8" x14ac:dyDescent="0.35">
      <c r="A591" s="3">
        <v>45054</v>
      </c>
      <c r="B591" s="1">
        <v>63.810001373291001</v>
      </c>
      <c r="C591" s="1">
        <v>64.059997558593693</v>
      </c>
      <c r="D591" s="1">
        <v>63.610000610351499</v>
      </c>
      <c r="E591" s="1">
        <v>63.919998168945298</v>
      </c>
      <c r="F591" s="1">
        <v>58.853469848632798</v>
      </c>
      <c r="G591" s="1">
        <v>7240700</v>
      </c>
      <c r="H591" s="1">
        <f t="shared" si="9"/>
        <v>-1.5619115934083724E-3</v>
      </c>
    </row>
    <row r="592" spans="1:8" x14ac:dyDescent="0.35">
      <c r="A592" s="3">
        <v>45055</v>
      </c>
      <c r="B592" s="1">
        <v>63.639999389648402</v>
      </c>
      <c r="C592" s="1">
        <v>63.75</v>
      </c>
      <c r="D592" s="1">
        <v>63.279998779296797</v>
      </c>
      <c r="E592" s="1">
        <v>63.389999389648402</v>
      </c>
      <c r="F592" s="1">
        <v>58.365474700927699</v>
      </c>
      <c r="G592" s="1">
        <v>9067700</v>
      </c>
      <c r="H592" s="1">
        <f t="shared" si="9"/>
        <v>-8.2916971413952382E-3</v>
      </c>
    </row>
    <row r="593" spans="1:8" x14ac:dyDescent="0.35">
      <c r="A593" s="3">
        <v>45056</v>
      </c>
      <c r="B593" s="1">
        <v>63.319999694824197</v>
      </c>
      <c r="C593" s="1">
        <v>63.639999389648402</v>
      </c>
      <c r="D593" s="1">
        <v>62.990001678466797</v>
      </c>
      <c r="E593" s="1">
        <v>63.5</v>
      </c>
      <c r="F593" s="1">
        <v>58.46675491333</v>
      </c>
      <c r="G593" s="1">
        <v>10134000</v>
      </c>
      <c r="H593" s="1">
        <f t="shared" si="9"/>
        <v>1.7352760843850604E-3</v>
      </c>
    </row>
    <row r="594" spans="1:8" x14ac:dyDescent="0.35">
      <c r="A594" s="3">
        <v>45057</v>
      </c>
      <c r="B594" s="1">
        <v>63.580001831054602</v>
      </c>
      <c r="C594" s="1">
        <v>63.930000305175703</v>
      </c>
      <c r="D594" s="1">
        <v>63.009998321533203</v>
      </c>
      <c r="E594" s="1">
        <v>63.860000610351499</v>
      </c>
      <c r="F594" s="1">
        <v>58.7982177734375</v>
      </c>
      <c r="G594" s="1">
        <v>9581500</v>
      </c>
      <c r="H594" s="1">
        <f t="shared" si="9"/>
        <v>5.6692535886223592E-3</v>
      </c>
    </row>
    <row r="595" spans="1:8" x14ac:dyDescent="0.35">
      <c r="A595" s="3">
        <v>45058</v>
      </c>
      <c r="B595" s="1">
        <v>63.860000610351499</v>
      </c>
      <c r="C595" s="1">
        <v>64.190002441406193</v>
      </c>
      <c r="D595" s="1">
        <v>63.700000762939403</v>
      </c>
      <c r="E595" s="1">
        <v>64.110000610351506</v>
      </c>
      <c r="F595" s="1">
        <v>59.028408050537102</v>
      </c>
      <c r="G595" s="1">
        <v>8740800</v>
      </c>
      <c r="H595" s="1">
        <f t="shared" si="9"/>
        <v>3.9149192920536497E-3</v>
      </c>
    </row>
    <row r="596" spans="1:8" x14ac:dyDescent="0.35">
      <c r="A596" s="3">
        <v>45061</v>
      </c>
      <c r="B596" s="1">
        <v>64.220001220703097</v>
      </c>
      <c r="C596" s="1">
        <v>64.25</v>
      </c>
      <c r="D596" s="1">
        <v>63.709999084472599</v>
      </c>
      <c r="E596" s="1">
        <v>63.939998626708899</v>
      </c>
      <c r="F596" s="1">
        <v>58.871879577636697</v>
      </c>
      <c r="G596" s="1">
        <v>8150000</v>
      </c>
      <c r="H596" s="1">
        <f t="shared" si="9"/>
        <v>-2.651748167871869E-3</v>
      </c>
    </row>
    <row r="597" spans="1:8" x14ac:dyDescent="0.35">
      <c r="A597" s="3">
        <v>45062</v>
      </c>
      <c r="B597" s="1">
        <v>63.900001525878899</v>
      </c>
      <c r="C597" s="1">
        <v>63.900001525878899</v>
      </c>
      <c r="D597" s="1">
        <v>63.159999847412102</v>
      </c>
      <c r="E597" s="1">
        <v>63.220001220703097</v>
      </c>
      <c r="F597" s="1">
        <v>58.208953857421797</v>
      </c>
      <c r="G597" s="1">
        <v>9129600</v>
      </c>
      <c r="H597" s="1">
        <f t="shared" si="9"/>
        <v>-1.1260481659001119E-2</v>
      </c>
    </row>
    <row r="598" spans="1:8" x14ac:dyDescent="0.35">
      <c r="A598" s="3">
        <v>45063</v>
      </c>
      <c r="B598" s="1">
        <v>63.400001525878899</v>
      </c>
      <c r="C598" s="1">
        <v>63.419998168945298</v>
      </c>
      <c r="D598" s="1">
        <v>62.7299995422363</v>
      </c>
      <c r="E598" s="1">
        <v>63.150001525878899</v>
      </c>
      <c r="F598" s="1">
        <v>58.144504547119098</v>
      </c>
      <c r="G598" s="1">
        <v>11583000</v>
      </c>
      <c r="H598" s="1">
        <f t="shared" si="9"/>
        <v>-1.1072061260637377E-3</v>
      </c>
    </row>
    <row r="599" spans="1:8" x14ac:dyDescent="0.35">
      <c r="A599" s="3">
        <v>45064</v>
      </c>
      <c r="B599" s="1">
        <v>63.009998321533203</v>
      </c>
      <c r="C599" s="1">
        <v>63.040000915527301</v>
      </c>
      <c r="D599" s="1">
        <v>62.569999694824197</v>
      </c>
      <c r="E599" s="1">
        <v>62.799999237060497</v>
      </c>
      <c r="F599" s="1">
        <v>57.822242736816399</v>
      </c>
      <c r="G599" s="1">
        <v>13595100</v>
      </c>
      <c r="H599" s="1">
        <f t="shared" si="9"/>
        <v>-5.5424293802614584E-3</v>
      </c>
    </row>
    <row r="600" spans="1:8" x14ac:dyDescent="0.35">
      <c r="A600" s="3">
        <v>45065</v>
      </c>
      <c r="B600" s="1">
        <v>63.040000915527301</v>
      </c>
      <c r="C600" s="1">
        <v>63.099998474121001</v>
      </c>
      <c r="D600" s="1">
        <v>62.610000610351499</v>
      </c>
      <c r="E600" s="1">
        <v>62.830001831054602</v>
      </c>
      <c r="F600" s="1">
        <v>57.849864959716797</v>
      </c>
      <c r="G600" s="1">
        <v>14251400</v>
      </c>
      <c r="H600" s="1">
        <f t="shared" si="9"/>
        <v>4.7770929650935509E-4</v>
      </c>
    </row>
    <row r="601" spans="1:8" x14ac:dyDescent="0.35">
      <c r="A601" s="3">
        <v>45068</v>
      </c>
      <c r="B601" s="1">
        <v>62.790000915527301</v>
      </c>
      <c r="C601" s="1">
        <v>62.869998931884702</v>
      </c>
      <c r="D601" s="1">
        <v>61.439998626708899</v>
      </c>
      <c r="E601" s="1">
        <v>61.509998321533203</v>
      </c>
      <c r="F601" s="1">
        <v>56.634487152099602</v>
      </c>
      <c r="G601" s="1">
        <v>15055400</v>
      </c>
      <c r="H601" s="1">
        <f t="shared" si="9"/>
        <v>-2.1009172769262494E-2</v>
      </c>
    </row>
    <row r="602" spans="1:8" x14ac:dyDescent="0.35">
      <c r="A602" s="3">
        <v>45069</v>
      </c>
      <c r="B602" s="1">
        <v>61.509998321533203</v>
      </c>
      <c r="C602" s="1">
        <v>61.669998168945298</v>
      </c>
      <c r="D602" s="1">
        <v>61.169998168945298</v>
      </c>
      <c r="E602" s="1">
        <v>61.400001525878899</v>
      </c>
      <c r="F602" s="1">
        <v>56.533210754394503</v>
      </c>
      <c r="G602" s="1">
        <v>13932700</v>
      </c>
      <c r="H602" s="1">
        <f t="shared" si="9"/>
        <v>-1.7882460457902254E-3</v>
      </c>
    </row>
    <row r="603" spans="1:8" x14ac:dyDescent="0.35">
      <c r="A603" s="3">
        <v>45070</v>
      </c>
      <c r="B603" s="1">
        <v>61.380001068115199</v>
      </c>
      <c r="C603" s="1">
        <v>61.430000305175703</v>
      </c>
      <c r="D603" s="1">
        <v>60.720001220703097</v>
      </c>
      <c r="E603" s="1">
        <v>60.880001068115199</v>
      </c>
      <c r="F603" s="1">
        <v>56.054431915283203</v>
      </c>
      <c r="G603" s="1">
        <v>11090100</v>
      </c>
      <c r="H603" s="1">
        <f t="shared" si="9"/>
        <v>-8.4689836774233234E-3</v>
      </c>
    </row>
    <row r="604" spans="1:8" x14ac:dyDescent="0.35">
      <c r="A604" s="3">
        <v>45071</v>
      </c>
      <c r="B604" s="1">
        <v>60.470001220703097</v>
      </c>
      <c r="C604" s="1">
        <v>60.7299995422363</v>
      </c>
      <c r="D604" s="1">
        <v>60.150001525878899</v>
      </c>
      <c r="E604" s="1">
        <v>60.409999847412102</v>
      </c>
      <c r="F604" s="1">
        <v>55.621681213378899</v>
      </c>
      <c r="G604" s="1">
        <v>14463600</v>
      </c>
      <c r="H604" s="1">
        <f t="shared" si="9"/>
        <v>-7.7201870952565092E-3</v>
      </c>
    </row>
    <row r="605" spans="1:8" x14ac:dyDescent="0.35">
      <c r="A605" s="3">
        <v>45072</v>
      </c>
      <c r="B605" s="1">
        <v>60.450000762939403</v>
      </c>
      <c r="C605" s="1">
        <v>60.639999389648402</v>
      </c>
      <c r="D605" s="1">
        <v>60.110000610351499</v>
      </c>
      <c r="E605" s="1">
        <v>60.259998321533203</v>
      </c>
      <c r="F605" s="1">
        <v>55.483573913574197</v>
      </c>
      <c r="G605" s="1">
        <v>12570300</v>
      </c>
      <c r="H605" s="1">
        <f t="shared" si="9"/>
        <v>-2.4829760048943328E-3</v>
      </c>
    </row>
    <row r="606" spans="1:8" x14ac:dyDescent="0.35">
      <c r="A606" s="3">
        <v>45076</v>
      </c>
      <c r="B606" s="1">
        <v>60.090000152587798</v>
      </c>
      <c r="C606" s="1">
        <v>60.200000762939403</v>
      </c>
      <c r="D606" s="1">
        <v>59.520000457763601</v>
      </c>
      <c r="E606" s="1">
        <v>59.779998779296797</v>
      </c>
      <c r="F606" s="1">
        <v>55.041614532470703</v>
      </c>
      <c r="G606" s="1">
        <v>15634200</v>
      </c>
      <c r="H606" s="1">
        <f t="shared" si="9"/>
        <v>-7.965589631841791E-3</v>
      </c>
    </row>
    <row r="607" spans="1:8" x14ac:dyDescent="0.35">
      <c r="A607" s="3">
        <v>45077</v>
      </c>
      <c r="B607" s="1">
        <v>59.919998168945298</v>
      </c>
      <c r="C607" s="1">
        <v>60.279998779296797</v>
      </c>
      <c r="D607" s="1">
        <v>59.369998931884702</v>
      </c>
      <c r="E607" s="1">
        <v>59.659999847412102</v>
      </c>
      <c r="F607" s="1">
        <v>54.931137084960902</v>
      </c>
      <c r="G607" s="1">
        <v>59432200</v>
      </c>
      <c r="H607" s="1">
        <f t="shared" si="9"/>
        <v>-2.0071621889766185E-3</v>
      </c>
    </row>
    <row r="608" spans="1:8" x14ac:dyDescent="0.35">
      <c r="A608" s="3">
        <v>45078</v>
      </c>
      <c r="B608" s="1">
        <v>59.939998626708899</v>
      </c>
      <c r="C608" s="1">
        <v>60.169998168945298</v>
      </c>
      <c r="D608" s="1">
        <v>59.770000457763601</v>
      </c>
      <c r="E608" s="1">
        <v>60</v>
      </c>
      <c r="F608" s="1">
        <v>55.244182586669901</v>
      </c>
      <c r="G608" s="1">
        <v>13402700</v>
      </c>
      <c r="H608" s="1">
        <f t="shared" si="9"/>
        <v>5.6988716841018111E-3</v>
      </c>
    </row>
    <row r="609" spans="1:8" x14ac:dyDescent="0.35">
      <c r="A609" s="3">
        <v>45079</v>
      </c>
      <c r="B609" s="1">
        <v>60.270000457763601</v>
      </c>
      <c r="C609" s="1">
        <v>61.319999694824197</v>
      </c>
      <c r="D609" s="1">
        <v>60.080001831054602</v>
      </c>
      <c r="E609" s="1">
        <v>61.159999847412102</v>
      </c>
      <c r="F609" s="1">
        <v>56.312236785888601</v>
      </c>
      <c r="G609" s="1">
        <v>15259800</v>
      </c>
      <c r="H609" s="1">
        <f t="shared" si="9"/>
        <v>1.9333333379366817E-2</v>
      </c>
    </row>
    <row r="610" spans="1:8" x14ac:dyDescent="0.35">
      <c r="A610" s="3">
        <v>45082</v>
      </c>
      <c r="B610" s="1">
        <v>61</v>
      </c>
      <c r="C610" s="1">
        <v>61.439998626708899</v>
      </c>
      <c r="D610" s="1">
        <v>60.549999237060497</v>
      </c>
      <c r="E610" s="1">
        <v>60.75</v>
      </c>
      <c r="F610" s="1">
        <v>55.934730529785099</v>
      </c>
      <c r="G610" s="1">
        <v>12915600</v>
      </c>
      <c r="H610" s="1">
        <f t="shared" si="9"/>
        <v>-6.7038050280059467E-3</v>
      </c>
    </row>
    <row r="611" spans="1:8" x14ac:dyDescent="0.35">
      <c r="A611" s="3">
        <v>45083</v>
      </c>
      <c r="B611" s="1">
        <v>60.950000762939403</v>
      </c>
      <c r="C611" s="1">
        <v>60.990001678466797</v>
      </c>
      <c r="D611" s="1">
        <v>60.119998931884702</v>
      </c>
      <c r="E611" s="1">
        <v>60.310001373291001</v>
      </c>
      <c r="F611" s="1">
        <v>55.5296020507812</v>
      </c>
      <c r="G611" s="1">
        <v>10943500</v>
      </c>
      <c r="H611" s="1">
        <f t="shared" si="9"/>
        <v>-7.2428788905699523E-3</v>
      </c>
    </row>
    <row r="612" spans="1:8" x14ac:dyDescent="0.35">
      <c r="A612" s="3">
        <v>45084</v>
      </c>
      <c r="B612" s="1">
        <v>60.009998321533203</v>
      </c>
      <c r="C612" s="1">
        <v>60.360000610351499</v>
      </c>
      <c r="D612" s="1">
        <v>59.819999694824197</v>
      </c>
      <c r="E612" s="1">
        <v>60.220001220703097</v>
      </c>
      <c r="F612" s="1">
        <v>55.446739196777301</v>
      </c>
      <c r="G612" s="1">
        <v>16817900</v>
      </c>
      <c r="H612" s="1">
        <f t="shared" si="9"/>
        <v>-1.4922284861346926E-3</v>
      </c>
    </row>
    <row r="613" spans="1:8" x14ac:dyDescent="0.35">
      <c r="A613" s="3">
        <v>45085</v>
      </c>
      <c r="B613" s="1">
        <v>60.130001068115199</v>
      </c>
      <c r="C613" s="1">
        <v>60.409999847412102</v>
      </c>
      <c r="D613" s="1">
        <v>59.9799995422363</v>
      </c>
      <c r="E613" s="1">
        <v>60.369998931884702</v>
      </c>
      <c r="F613" s="1">
        <v>55.584846496582003</v>
      </c>
      <c r="G613" s="1">
        <v>15585900</v>
      </c>
      <c r="H613" s="1">
        <f t="shared" si="9"/>
        <v>2.4908101324870847E-3</v>
      </c>
    </row>
    <row r="614" spans="1:8" x14ac:dyDescent="0.35">
      <c r="A614" s="3">
        <v>45086</v>
      </c>
      <c r="B614" s="1">
        <v>60.270000457763601</v>
      </c>
      <c r="C614" s="1">
        <v>60.669998168945298</v>
      </c>
      <c r="D614" s="1">
        <v>60.169998168945298</v>
      </c>
      <c r="E614" s="1">
        <v>60.470001220703097</v>
      </c>
      <c r="F614" s="1">
        <v>55.676925659179602</v>
      </c>
      <c r="G614" s="1">
        <v>12581500</v>
      </c>
      <c r="H614" s="1">
        <f t="shared" si="9"/>
        <v>1.6565515315988414E-3</v>
      </c>
    </row>
    <row r="615" spans="1:8" x14ac:dyDescent="0.35">
      <c r="A615" s="3">
        <v>45089</v>
      </c>
      <c r="B615" s="1">
        <v>60.590000152587798</v>
      </c>
      <c r="C615" s="1">
        <v>60.650001525878899</v>
      </c>
      <c r="D615" s="1">
        <v>60.020000457763601</v>
      </c>
      <c r="E615" s="1">
        <v>60.209999084472599</v>
      </c>
      <c r="F615" s="1">
        <v>55.437541961669901</v>
      </c>
      <c r="G615" s="1">
        <v>14208900</v>
      </c>
      <c r="H615" s="1">
        <f t="shared" si="9"/>
        <v>-4.2995135718351908E-3</v>
      </c>
    </row>
    <row r="616" spans="1:8" x14ac:dyDescent="0.35">
      <c r="A616" s="3">
        <v>45090</v>
      </c>
      <c r="B616" s="1">
        <v>60.209999084472599</v>
      </c>
      <c r="C616" s="1">
        <v>60.669998168945298</v>
      </c>
      <c r="D616" s="1">
        <v>60.040000915527301</v>
      </c>
      <c r="E616" s="1">
        <v>60.450000762939403</v>
      </c>
      <c r="F616" s="1">
        <v>55.658512115478501</v>
      </c>
      <c r="G616" s="1">
        <v>13397800</v>
      </c>
      <c r="H616" s="1">
        <f t="shared" si="9"/>
        <v>3.9859298588920469E-3</v>
      </c>
    </row>
    <row r="617" spans="1:8" x14ac:dyDescent="0.35">
      <c r="A617" s="3">
        <v>45091</v>
      </c>
      <c r="B617" s="1">
        <v>60.7299995422363</v>
      </c>
      <c r="C617" s="1">
        <v>61.080001831054602</v>
      </c>
      <c r="D617" s="1">
        <v>60.599998474121001</v>
      </c>
      <c r="E617" s="1">
        <v>60.860000610351499</v>
      </c>
      <c r="F617" s="1">
        <v>56.036014556884702</v>
      </c>
      <c r="G617" s="1">
        <v>14099700</v>
      </c>
      <c r="H617" s="1">
        <f t="shared" si="9"/>
        <v>6.7824745408747228E-3</v>
      </c>
    </row>
    <row r="618" spans="1:8" x14ac:dyDescent="0.35">
      <c r="A618" s="3">
        <v>45092</v>
      </c>
      <c r="B618" s="1">
        <v>60.610000610351499</v>
      </c>
      <c r="C618" s="1">
        <v>61.299999237060497</v>
      </c>
      <c r="D618" s="1">
        <v>60.340000152587798</v>
      </c>
      <c r="E618" s="1">
        <v>61.2299995422363</v>
      </c>
      <c r="F618" s="1">
        <v>56.8060493469238</v>
      </c>
      <c r="G618" s="1">
        <v>15271400</v>
      </c>
      <c r="H618" s="1">
        <f t="shared" si="9"/>
        <v>1.3741783674807936E-2</v>
      </c>
    </row>
    <row r="619" spans="1:8" x14ac:dyDescent="0.35">
      <c r="A619" s="3">
        <v>45093</v>
      </c>
      <c r="B619" s="1">
        <v>61.599998474121001</v>
      </c>
      <c r="C619" s="1">
        <v>62.169998168945298</v>
      </c>
      <c r="D619" s="1">
        <v>61.4799995422363</v>
      </c>
      <c r="E619" s="1">
        <v>61.669998168945298</v>
      </c>
      <c r="F619" s="1">
        <v>57.2142524719238</v>
      </c>
      <c r="G619" s="1">
        <v>26738000</v>
      </c>
      <c r="H619" s="1">
        <f t="shared" si="9"/>
        <v>7.1859094179747831E-3</v>
      </c>
    </row>
    <row r="620" spans="1:8" x14ac:dyDescent="0.35">
      <c r="A620" s="3">
        <v>45097</v>
      </c>
      <c r="B620" s="1">
        <v>61.590000152587798</v>
      </c>
      <c r="C620" s="1">
        <v>61.959999084472599</v>
      </c>
      <c r="D620" s="1">
        <v>61.240001678466797</v>
      </c>
      <c r="E620" s="1">
        <v>61.259998321533203</v>
      </c>
      <c r="F620" s="1">
        <v>56.8338813781738</v>
      </c>
      <c r="G620" s="1">
        <v>13971800</v>
      </c>
      <c r="H620" s="1">
        <f t="shared" si="9"/>
        <v>-6.6481877734338281E-3</v>
      </c>
    </row>
    <row r="621" spans="1:8" x14ac:dyDescent="0.35">
      <c r="A621" s="3">
        <v>45098</v>
      </c>
      <c r="B621" s="1">
        <v>61.310001373291001</v>
      </c>
      <c r="C621" s="1">
        <v>61.720001220703097</v>
      </c>
      <c r="D621" s="1">
        <v>60.9799995422363</v>
      </c>
      <c r="E621" s="1">
        <v>61.430000305175703</v>
      </c>
      <c r="F621" s="1">
        <v>56.9915962219238</v>
      </c>
      <c r="G621" s="1">
        <v>13948700</v>
      </c>
      <c r="H621" s="1">
        <f t="shared" si="9"/>
        <v>2.7750144794891313E-3</v>
      </c>
    </row>
    <row r="622" spans="1:8" x14ac:dyDescent="0.35">
      <c r="A622" s="3">
        <v>45099</v>
      </c>
      <c r="B622" s="1">
        <v>61.810001373291001</v>
      </c>
      <c r="C622" s="1">
        <v>62.099998474121001</v>
      </c>
      <c r="D622" s="1">
        <v>61.590000152587798</v>
      </c>
      <c r="E622" s="1">
        <v>61.849998474121001</v>
      </c>
      <c r="F622" s="1">
        <v>57.381248474121001</v>
      </c>
      <c r="G622" s="1">
        <v>15193400</v>
      </c>
      <c r="H622" s="1">
        <f t="shared" si="9"/>
        <v>6.8370124374110509E-3</v>
      </c>
    </row>
    <row r="623" spans="1:8" x14ac:dyDescent="0.35">
      <c r="A623" s="3">
        <v>45100</v>
      </c>
      <c r="B623" s="1">
        <v>61.939998626708899</v>
      </c>
      <c r="C623" s="1">
        <v>61.970001220703097</v>
      </c>
      <c r="D623" s="1">
        <v>61.180000305175703</v>
      </c>
      <c r="E623" s="1">
        <v>61.200000762939403</v>
      </c>
      <c r="F623" s="1">
        <v>56.7782173156738</v>
      </c>
      <c r="G623" s="1">
        <v>25112100</v>
      </c>
      <c r="H623" s="1">
        <f t="shared" si="9"/>
        <v>-1.0509202474379227E-2</v>
      </c>
    </row>
    <row r="624" spans="1:8" x14ac:dyDescent="0.35">
      <c r="A624" s="3">
        <v>45103</v>
      </c>
      <c r="B624" s="1">
        <v>61.209999084472599</v>
      </c>
      <c r="C624" s="1">
        <v>61.290000915527301</v>
      </c>
      <c r="D624" s="1">
        <v>60.389999389648402</v>
      </c>
      <c r="E624" s="1">
        <v>61.220001220703097</v>
      </c>
      <c r="F624" s="1">
        <v>56.796768188476499</v>
      </c>
      <c r="G624" s="1">
        <v>12856100</v>
      </c>
      <c r="H624" s="1">
        <f t="shared" si="9"/>
        <v>3.2672517172492881E-4</v>
      </c>
    </row>
    <row r="625" spans="1:8" x14ac:dyDescent="0.35">
      <c r="A625" s="3">
        <v>45104</v>
      </c>
      <c r="B625" s="1">
        <v>61.220001220703097</v>
      </c>
      <c r="C625" s="1">
        <v>61.360000610351499</v>
      </c>
      <c r="D625" s="1">
        <v>60.9799995422363</v>
      </c>
      <c r="E625" s="1">
        <v>61.090000152587798</v>
      </c>
      <c r="F625" s="1">
        <v>56.676158905029297</v>
      </c>
      <c r="G625" s="1">
        <v>9068500</v>
      </c>
      <c r="H625" s="1">
        <f t="shared" si="9"/>
        <v>-2.1235237020347242E-3</v>
      </c>
    </row>
    <row r="626" spans="1:8" x14ac:dyDescent="0.35">
      <c r="A626" s="3">
        <v>45105</v>
      </c>
      <c r="B626" s="1">
        <v>60.880001068115199</v>
      </c>
      <c r="C626" s="1">
        <v>61.040000915527301</v>
      </c>
      <c r="D626" s="1">
        <v>60.400001525878899</v>
      </c>
      <c r="E626" s="1">
        <v>60.520000457763601</v>
      </c>
      <c r="F626" s="1">
        <v>56.147342681884702</v>
      </c>
      <c r="G626" s="1">
        <v>11173200</v>
      </c>
      <c r="H626" s="1">
        <f t="shared" si="9"/>
        <v>-9.3304880457886746E-3</v>
      </c>
    </row>
    <row r="627" spans="1:8" x14ac:dyDescent="0.35">
      <c r="A627" s="3">
        <v>45106</v>
      </c>
      <c r="B627" s="1">
        <v>60.220001220703097</v>
      </c>
      <c r="C627" s="1">
        <v>60.349998474121001</v>
      </c>
      <c r="D627" s="1">
        <v>59.770000457763601</v>
      </c>
      <c r="E627" s="1">
        <v>60.020000457763601</v>
      </c>
      <c r="F627" s="1">
        <v>55.683467864990199</v>
      </c>
      <c r="G627" s="1">
        <v>17142300</v>
      </c>
      <c r="H627" s="1">
        <f t="shared" si="9"/>
        <v>-8.261741246111844E-3</v>
      </c>
    </row>
    <row r="628" spans="1:8" x14ac:dyDescent="0.35">
      <c r="A628" s="3">
        <v>45107</v>
      </c>
      <c r="B628" s="1">
        <v>60</v>
      </c>
      <c r="C628" s="1">
        <v>60.349998474121001</v>
      </c>
      <c r="D628" s="1">
        <v>59.869998931884702</v>
      </c>
      <c r="E628" s="1">
        <v>60.220001220703097</v>
      </c>
      <c r="F628" s="1">
        <v>55.869014739990199</v>
      </c>
      <c r="G628" s="1">
        <v>19739200</v>
      </c>
      <c r="H628" s="1">
        <f t="shared" si="9"/>
        <v>3.3321716860357162E-3</v>
      </c>
    </row>
    <row r="629" spans="1:8" x14ac:dyDescent="0.35">
      <c r="A629" s="3">
        <v>45110</v>
      </c>
      <c r="B629" s="1">
        <v>60.200000762939403</v>
      </c>
      <c r="C629" s="1">
        <v>60.630001068115199</v>
      </c>
      <c r="D629" s="1">
        <v>60.029998779296797</v>
      </c>
      <c r="E629" s="1">
        <v>60.580001831054602</v>
      </c>
      <c r="F629" s="1">
        <v>56.203006744384702</v>
      </c>
      <c r="G629" s="1">
        <v>9694500</v>
      </c>
      <c r="H629" s="1">
        <f t="shared" si="9"/>
        <v>5.9781259066205867E-3</v>
      </c>
    </row>
    <row r="630" spans="1:8" x14ac:dyDescent="0.35">
      <c r="A630" s="3">
        <v>45112</v>
      </c>
      <c r="B630" s="1">
        <v>60.279998779296797</v>
      </c>
      <c r="C630" s="1">
        <v>61.099998474121001</v>
      </c>
      <c r="D630" s="1">
        <v>60.159999847412102</v>
      </c>
      <c r="E630" s="1">
        <v>61.029998779296797</v>
      </c>
      <c r="F630" s="1">
        <v>56.620494842529297</v>
      </c>
      <c r="G630" s="1">
        <v>14716600</v>
      </c>
      <c r="H630" s="1">
        <f t="shared" si="9"/>
        <v>7.4282164305436707E-3</v>
      </c>
    </row>
    <row r="631" spans="1:8" x14ac:dyDescent="0.35">
      <c r="A631" s="3">
        <v>45113</v>
      </c>
      <c r="B631" s="1">
        <v>60.7299995422363</v>
      </c>
      <c r="C631" s="1">
        <v>61.020000457763601</v>
      </c>
      <c r="D631" s="1">
        <v>60.5</v>
      </c>
      <c r="E631" s="1">
        <v>60.560001373291001</v>
      </c>
      <c r="F631" s="1">
        <v>56.184452056884702</v>
      </c>
      <c r="G631" s="1">
        <v>12603900</v>
      </c>
      <c r="H631" s="1">
        <f t="shared" si="9"/>
        <v>-7.701147558976662E-3</v>
      </c>
    </row>
    <row r="632" spans="1:8" x14ac:dyDescent="0.35">
      <c r="A632" s="3">
        <v>45114</v>
      </c>
      <c r="B632" s="1">
        <v>60.310001373291001</v>
      </c>
      <c r="C632" s="1">
        <v>60.5</v>
      </c>
      <c r="D632" s="1">
        <v>59.7299995422363</v>
      </c>
      <c r="E632" s="1">
        <v>59.759998321533203</v>
      </c>
      <c r="F632" s="1">
        <v>55.442253112792898</v>
      </c>
      <c r="G632" s="1">
        <v>14574000</v>
      </c>
      <c r="H632" s="1">
        <f t="shared" si="9"/>
        <v>-1.3210041513626487E-2</v>
      </c>
    </row>
    <row r="633" spans="1:8" x14ac:dyDescent="0.35">
      <c r="A633" s="3">
        <v>45117</v>
      </c>
      <c r="B633" s="1">
        <v>59.970001220703097</v>
      </c>
      <c r="C633" s="1">
        <v>60.150001525878899</v>
      </c>
      <c r="D633" s="1">
        <v>59.139999389648402</v>
      </c>
      <c r="E633" s="1">
        <v>59.310001373291001</v>
      </c>
      <c r="F633" s="1">
        <v>55.024768829345703</v>
      </c>
      <c r="G633" s="1">
        <v>15480600</v>
      </c>
      <c r="H633" s="1">
        <f t="shared" si="9"/>
        <v>-7.5300742666041306E-3</v>
      </c>
    </row>
    <row r="634" spans="1:8" x14ac:dyDescent="0.35">
      <c r="A634" s="3">
        <v>45118</v>
      </c>
      <c r="B634" s="1">
        <v>59.459999084472599</v>
      </c>
      <c r="C634" s="1">
        <v>59.560001373291001</v>
      </c>
      <c r="D634" s="1">
        <v>58.840000152587798</v>
      </c>
      <c r="E634" s="1">
        <v>59.520000457763601</v>
      </c>
      <c r="F634" s="1">
        <v>55.219593048095703</v>
      </c>
      <c r="G634" s="1">
        <v>15967700</v>
      </c>
      <c r="H634" s="1">
        <f t="shared" si="9"/>
        <v>3.540664011769491E-3</v>
      </c>
    </row>
    <row r="635" spans="1:8" x14ac:dyDescent="0.35">
      <c r="A635" s="3">
        <v>45119</v>
      </c>
      <c r="B635" s="1">
        <v>59.75</v>
      </c>
      <c r="C635" s="1">
        <v>60.049999237060497</v>
      </c>
      <c r="D635" s="1">
        <v>59.450000762939403</v>
      </c>
      <c r="E635" s="1">
        <v>59.840000152587798</v>
      </c>
      <c r="F635" s="1">
        <v>55.516471862792898</v>
      </c>
      <c r="G635" s="1">
        <v>14241300</v>
      </c>
      <c r="H635" s="1">
        <f t="shared" si="9"/>
        <v>5.3763310866600583E-3</v>
      </c>
    </row>
    <row r="636" spans="1:8" x14ac:dyDescent="0.35">
      <c r="A636" s="3">
        <v>45120</v>
      </c>
      <c r="B636" s="1">
        <v>60.119998931884702</v>
      </c>
      <c r="C636" s="1">
        <v>60.459999084472599</v>
      </c>
      <c r="D636" s="1">
        <v>59.9799995422363</v>
      </c>
      <c r="E636" s="1">
        <v>60.349998474121001</v>
      </c>
      <c r="F636" s="1">
        <v>55.989620208740199</v>
      </c>
      <c r="G636" s="1">
        <v>11269800</v>
      </c>
      <c r="H636" s="1">
        <f t="shared" si="9"/>
        <v>8.5226659777060659E-3</v>
      </c>
    </row>
    <row r="637" spans="1:8" x14ac:dyDescent="0.35">
      <c r="A637" s="3">
        <v>45121</v>
      </c>
      <c r="B637" s="1">
        <v>60.139999389648402</v>
      </c>
      <c r="C637" s="1">
        <v>61.040000915527301</v>
      </c>
      <c r="D637" s="1">
        <v>60.090000152587798</v>
      </c>
      <c r="E637" s="1">
        <v>60.900001525878899</v>
      </c>
      <c r="F637" s="1">
        <v>56.499889373779297</v>
      </c>
      <c r="G637" s="1">
        <v>11634200</v>
      </c>
      <c r="H637" s="1">
        <f t="shared" si="9"/>
        <v>9.1136386197426464E-3</v>
      </c>
    </row>
    <row r="638" spans="1:8" x14ac:dyDescent="0.35">
      <c r="A638" s="3">
        <v>45124</v>
      </c>
      <c r="B638" s="1">
        <v>60.759998321533203</v>
      </c>
      <c r="C638" s="1">
        <v>61.099998474121001</v>
      </c>
      <c r="D638" s="1">
        <v>60.490001678466797</v>
      </c>
      <c r="E638" s="1">
        <v>60.810001373291001</v>
      </c>
      <c r="F638" s="1">
        <v>56.416397094726499</v>
      </c>
      <c r="G638" s="1">
        <v>10014300</v>
      </c>
      <c r="H638" s="1">
        <f t="shared" si="9"/>
        <v>-1.4777423456610477E-3</v>
      </c>
    </row>
    <row r="639" spans="1:8" x14ac:dyDescent="0.35">
      <c r="A639" s="3">
        <v>45125</v>
      </c>
      <c r="B639" s="1">
        <v>60.959999084472599</v>
      </c>
      <c r="C639" s="1">
        <v>61.25</v>
      </c>
      <c r="D639" s="1">
        <v>60.409999847412102</v>
      </c>
      <c r="E639" s="1">
        <v>60.569999694824197</v>
      </c>
      <c r="F639" s="1">
        <v>56.193733215332003</v>
      </c>
      <c r="G639" s="1">
        <v>11152900</v>
      </c>
      <c r="H639" s="1">
        <f t="shared" si="9"/>
        <v>-3.946793678097341E-3</v>
      </c>
    </row>
    <row r="640" spans="1:8" x14ac:dyDescent="0.35">
      <c r="A640" s="3">
        <v>45126</v>
      </c>
      <c r="B640" s="1">
        <v>60.770000457763601</v>
      </c>
      <c r="C640" s="1">
        <v>61.790000915527301</v>
      </c>
      <c r="D640" s="1">
        <v>60.680000305175703</v>
      </c>
      <c r="E640" s="1">
        <v>61.639999389648402</v>
      </c>
      <c r="F640" s="1">
        <v>57.1864204406738</v>
      </c>
      <c r="G640" s="1">
        <v>12936000</v>
      </c>
      <c r="H640" s="1">
        <f t="shared" si="9"/>
        <v>1.7665443609839224E-2</v>
      </c>
    </row>
    <row r="641" spans="1:8" x14ac:dyDescent="0.35">
      <c r="A641" s="3">
        <v>45127</v>
      </c>
      <c r="B641" s="1">
        <v>61.680000305175703</v>
      </c>
      <c r="C641" s="1">
        <v>62.409999847412102</v>
      </c>
      <c r="D641" s="1">
        <v>61.669998168945298</v>
      </c>
      <c r="E641" s="1">
        <v>62.389999389648402</v>
      </c>
      <c r="F641" s="1">
        <v>57.882228851318303</v>
      </c>
      <c r="G641" s="1">
        <v>11563000</v>
      </c>
      <c r="H641" s="1">
        <f t="shared" si="9"/>
        <v>1.2167371296938349E-2</v>
      </c>
    </row>
    <row r="642" spans="1:8" x14ac:dyDescent="0.35">
      <c r="A642" s="3">
        <v>45128</v>
      </c>
      <c r="B642" s="1">
        <v>62.459999084472599</v>
      </c>
      <c r="C642" s="1">
        <v>62.680000305175703</v>
      </c>
      <c r="D642" s="1">
        <v>62.240001678466797</v>
      </c>
      <c r="E642" s="1">
        <v>62.439998626708899</v>
      </c>
      <c r="F642" s="1">
        <v>57.928619384765597</v>
      </c>
      <c r="G642" s="1">
        <v>12815100</v>
      </c>
      <c r="H642" s="1">
        <f t="shared" si="9"/>
        <v>8.0146418629553986E-4</v>
      </c>
    </row>
    <row r="643" spans="1:8" x14ac:dyDescent="0.35">
      <c r="A643" s="3">
        <v>45131</v>
      </c>
      <c r="B643" s="1">
        <v>62.419998168945298</v>
      </c>
      <c r="C643" s="1">
        <v>62.810001373291001</v>
      </c>
      <c r="D643" s="1">
        <v>62.400001525878899</v>
      </c>
      <c r="E643" s="1">
        <v>62.459999084472599</v>
      </c>
      <c r="F643" s="1">
        <v>57.947185516357401</v>
      </c>
      <c r="G643" s="1">
        <v>10251100</v>
      </c>
      <c r="H643" s="1">
        <f t="shared" si="9"/>
        <v>3.2050015672713597E-4</v>
      </c>
    </row>
    <row r="644" spans="1:8" x14ac:dyDescent="0.35">
      <c r="A644" s="3">
        <v>45132</v>
      </c>
      <c r="B644" s="1">
        <v>62.299999237060497</v>
      </c>
      <c r="C644" s="1">
        <v>62.389999389648402</v>
      </c>
      <c r="D644" s="1">
        <v>62.049999237060497</v>
      </c>
      <c r="E644" s="1">
        <v>62.25</v>
      </c>
      <c r="F644" s="1">
        <v>57.752353668212798</v>
      </c>
      <c r="G644" s="1">
        <v>13422700</v>
      </c>
      <c r="H644" s="1">
        <f t="shared" ref="H644:H707" si="10">(F644-F643)/F643</f>
        <v>-3.3622314251932897E-3</v>
      </c>
    </row>
    <row r="645" spans="1:8" x14ac:dyDescent="0.35">
      <c r="A645" s="3">
        <v>45133</v>
      </c>
      <c r="B645" s="1">
        <v>61.860000610351499</v>
      </c>
      <c r="C645" s="1">
        <v>63.169998168945298</v>
      </c>
      <c r="D645" s="1">
        <v>61.389999389648402</v>
      </c>
      <c r="E645" s="1">
        <v>63.049999237060497</v>
      </c>
      <c r="F645" s="1">
        <v>58.494552612304602</v>
      </c>
      <c r="G645" s="1">
        <v>17145500</v>
      </c>
      <c r="H645" s="1">
        <f t="shared" si="10"/>
        <v>1.2851405993870588E-2</v>
      </c>
    </row>
    <row r="646" spans="1:8" x14ac:dyDescent="0.35">
      <c r="A646" s="3">
        <v>45134</v>
      </c>
      <c r="B646" s="1">
        <v>63.049999237060497</v>
      </c>
      <c r="C646" s="1">
        <v>63.270000457763601</v>
      </c>
      <c r="D646" s="1">
        <v>62.380001068115199</v>
      </c>
      <c r="E646" s="1">
        <v>62.439998626708899</v>
      </c>
      <c r="F646" s="1">
        <v>57.928619384765597</v>
      </c>
      <c r="G646" s="1">
        <v>11517100</v>
      </c>
      <c r="H646" s="1">
        <f t="shared" si="10"/>
        <v>-9.674973177245208E-3</v>
      </c>
    </row>
    <row r="647" spans="1:8" x14ac:dyDescent="0.35">
      <c r="A647" s="3">
        <v>45135</v>
      </c>
      <c r="B647" s="1">
        <v>62.590000152587798</v>
      </c>
      <c r="C647" s="1">
        <v>62.770000457763601</v>
      </c>
      <c r="D647" s="1">
        <v>62.220001220703097</v>
      </c>
      <c r="E647" s="1">
        <v>62.4799995422363</v>
      </c>
      <c r="F647" s="1">
        <v>57.965732574462798</v>
      </c>
      <c r="G647" s="1">
        <v>9721800</v>
      </c>
      <c r="H647" s="1">
        <f t="shared" si="10"/>
        <v>6.4067105502193134E-4</v>
      </c>
    </row>
    <row r="648" spans="1:8" x14ac:dyDescent="0.35">
      <c r="A648" s="3">
        <v>45138</v>
      </c>
      <c r="B648" s="1">
        <v>62.450000762939403</v>
      </c>
      <c r="C648" s="1">
        <v>62.450000762939403</v>
      </c>
      <c r="D648" s="1">
        <v>61.7299995422363</v>
      </c>
      <c r="E648" s="1">
        <v>61.930000305175703</v>
      </c>
      <c r="F648" s="1">
        <v>57.455471038818303</v>
      </c>
      <c r="G648" s="1">
        <v>15577900</v>
      </c>
      <c r="H648" s="1">
        <f t="shared" si="10"/>
        <v>-8.8028135414145517E-3</v>
      </c>
    </row>
    <row r="649" spans="1:8" x14ac:dyDescent="0.35">
      <c r="A649" s="3">
        <v>45139</v>
      </c>
      <c r="B649" s="1">
        <v>62.090000152587798</v>
      </c>
      <c r="C649" s="1">
        <v>62.360000610351499</v>
      </c>
      <c r="D649" s="1">
        <v>61.619998931884702</v>
      </c>
      <c r="E649" s="1">
        <v>61.770000457763601</v>
      </c>
      <c r="F649" s="1">
        <v>57.3070259094238</v>
      </c>
      <c r="G649" s="1">
        <v>9281600</v>
      </c>
      <c r="H649" s="1">
        <f t="shared" si="10"/>
        <v>-2.5836552500667818E-3</v>
      </c>
    </row>
    <row r="650" spans="1:8" x14ac:dyDescent="0.35">
      <c r="A650" s="3">
        <v>45140</v>
      </c>
      <c r="B650" s="1">
        <v>61.560001373291001</v>
      </c>
      <c r="C650" s="1">
        <v>62.590000152587798</v>
      </c>
      <c r="D650" s="1">
        <v>61.560001373291001</v>
      </c>
      <c r="E650" s="1">
        <v>61.959999084472599</v>
      </c>
      <c r="F650" s="1">
        <v>57.483303070068303</v>
      </c>
      <c r="G650" s="1">
        <v>11059400</v>
      </c>
      <c r="H650" s="1">
        <f t="shared" si="10"/>
        <v>3.0760130690278085E-3</v>
      </c>
    </row>
    <row r="651" spans="1:8" x14ac:dyDescent="0.35">
      <c r="A651" s="3">
        <v>45141</v>
      </c>
      <c r="B651" s="1">
        <v>61.869998931884702</v>
      </c>
      <c r="C651" s="1">
        <v>62.119998931884702</v>
      </c>
      <c r="D651" s="1">
        <v>61.529998779296797</v>
      </c>
      <c r="E651" s="1">
        <v>61.639999389648402</v>
      </c>
      <c r="F651" s="1">
        <v>57.1864204406738</v>
      </c>
      <c r="G651" s="1">
        <v>8037400</v>
      </c>
      <c r="H651" s="1">
        <f t="shared" si="10"/>
        <v>-5.1646758891468495E-3</v>
      </c>
    </row>
    <row r="652" spans="1:8" x14ac:dyDescent="0.35">
      <c r="A652" s="3">
        <v>45142</v>
      </c>
      <c r="B652" s="1">
        <v>61.680000305175703</v>
      </c>
      <c r="C652" s="1">
        <v>61.889999389648402</v>
      </c>
      <c r="D652" s="1">
        <v>60.619998931884702</v>
      </c>
      <c r="E652" s="1">
        <v>60.709999084472599</v>
      </c>
      <c r="F652" s="1">
        <v>56.323616027832003</v>
      </c>
      <c r="G652" s="1">
        <v>9359300</v>
      </c>
      <c r="H652" s="1">
        <f t="shared" si="10"/>
        <v>-1.5087575095505153E-2</v>
      </c>
    </row>
    <row r="653" spans="1:8" x14ac:dyDescent="0.35">
      <c r="A653" s="3">
        <v>45145</v>
      </c>
      <c r="B653" s="1">
        <v>60.790000915527301</v>
      </c>
      <c r="C653" s="1">
        <v>61.330001831054602</v>
      </c>
      <c r="D653" s="1">
        <v>60.740001678466797</v>
      </c>
      <c r="E653" s="1">
        <v>61.189998626708899</v>
      </c>
      <c r="F653" s="1">
        <v>56.7689399719238</v>
      </c>
      <c r="G653" s="1">
        <v>6982600</v>
      </c>
      <c r="H653" s="1">
        <f t="shared" si="10"/>
        <v>7.9065226187136593E-3</v>
      </c>
    </row>
    <row r="654" spans="1:8" x14ac:dyDescent="0.35">
      <c r="A654" s="3">
        <v>45146</v>
      </c>
      <c r="B654" s="1">
        <v>61.189998626708899</v>
      </c>
      <c r="C654" s="1">
        <v>61.349998474121001</v>
      </c>
      <c r="D654" s="1">
        <v>60.619998931884702</v>
      </c>
      <c r="E654" s="1">
        <v>60.919998168945298</v>
      </c>
      <c r="F654" s="1">
        <v>56.518447875976499</v>
      </c>
      <c r="G654" s="1">
        <v>7956100</v>
      </c>
      <c r="H654" s="1">
        <f t="shared" si="10"/>
        <v>-4.412484997450841E-3</v>
      </c>
    </row>
    <row r="655" spans="1:8" x14ac:dyDescent="0.35">
      <c r="A655" s="3">
        <v>45147</v>
      </c>
      <c r="B655" s="1">
        <v>60.909999847412102</v>
      </c>
      <c r="C655" s="1">
        <v>61.630001068115199</v>
      </c>
      <c r="D655" s="1">
        <v>60.75</v>
      </c>
      <c r="E655" s="1">
        <v>61.060001373291001</v>
      </c>
      <c r="F655" s="1">
        <v>56.648330688476499</v>
      </c>
      <c r="G655" s="1">
        <v>7904100</v>
      </c>
      <c r="H655" s="1">
        <f t="shared" si="10"/>
        <v>2.2980604984944651E-3</v>
      </c>
    </row>
    <row r="656" spans="1:8" x14ac:dyDescent="0.35">
      <c r="A656" s="3">
        <v>45148</v>
      </c>
      <c r="B656" s="1">
        <v>61.349998474121001</v>
      </c>
      <c r="C656" s="1">
        <v>61.7299995422363</v>
      </c>
      <c r="D656" s="1">
        <v>60.790000915527301</v>
      </c>
      <c r="E656" s="1">
        <v>60.919998168945298</v>
      </c>
      <c r="F656" s="1">
        <v>56.518447875976499</v>
      </c>
      <c r="G656" s="1">
        <v>7870300</v>
      </c>
      <c r="H656" s="1">
        <f t="shared" si="10"/>
        <v>-2.2927915248599018E-3</v>
      </c>
    </row>
    <row r="657" spans="1:8" x14ac:dyDescent="0.35">
      <c r="A657" s="3">
        <v>45149</v>
      </c>
      <c r="B657" s="1">
        <v>60.840000152587798</v>
      </c>
      <c r="C657" s="1">
        <v>61.200000762939403</v>
      </c>
      <c r="D657" s="1">
        <v>60.689998626708899</v>
      </c>
      <c r="E657" s="1">
        <v>61.169998168945298</v>
      </c>
      <c r="F657" s="1">
        <v>56.750381469726499</v>
      </c>
      <c r="G657" s="1">
        <v>8483900</v>
      </c>
      <c r="H657" s="1">
        <f t="shared" si="10"/>
        <v>4.1036794615972594E-3</v>
      </c>
    </row>
    <row r="658" spans="1:8" x14ac:dyDescent="0.35">
      <c r="A658" s="3">
        <v>45152</v>
      </c>
      <c r="B658" s="1">
        <v>61.319999694824197</v>
      </c>
      <c r="C658" s="1">
        <v>61.4799995422363</v>
      </c>
      <c r="D658" s="1">
        <v>60.75</v>
      </c>
      <c r="E658" s="1">
        <v>60.880001068115199</v>
      </c>
      <c r="F658" s="1">
        <v>56.481338500976499</v>
      </c>
      <c r="G658" s="1">
        <v>7176300</v>
      </c>
      <c r="H658" s="1">
        <f t="shared" si="10"/>
        <v>-4.7408133968847594E-3</v>
      </c>
    </row>
    <row r="659" spans="1:8" x14ac:dyDescent="0.35">
      <c r="A659" s="3">
        <v>45153</v>
      </c>
      <c r="B659" s="1">
        <v>60.689998626708899</v>
      </c>
      <c r="C659" s="1">
        <v>60.900001525878899</v>
      </c>
      <c r="D659" s="1">
        <v>60.369998931884702</v>
      </c>
      <c r="E659" s="1">
        <v>60.470001220703097</v>
      </c>
      <c r="F659" s="1">
        <v>56.100955963134702</v>
      </c>
      <c r="G659" s="1">
        <v>7187400</v>
      </c>
      <c r="H659" s="1">
        <f t="shared" si="10"/>
        <v>-6.7346587020989329E-3</v>
      </c>
    </row>
    <row r="660" spans="1:8" x14ac:dyDescent="0.35">
      <c r="A660" s="3">
        <v>45154</v>
      </c>
      <c r="B660" s="1">
        <v>60.540000915527301</v>
      </c>
      <c r="C660" s="1">
        <v>60.819999694824197</v>
      </c>
      <c r="D660" s="1">
        <v>60.400001525878899</v>
      </c>
      <c r="E660" s="1">
        <v>60.4799995422363</v>
      </c>
      <c r="F660" s="1">
        <v>56.110237121582003</v>
      </c>
      <c r="G660" s="1">
        <v>8372300</v>
      </c>
      <c r="H660" s="1">
        <f t="shared" si="10"/>
        <v>1.6543672541694345E-4</v>
      </c>
    </row>
    <row r="661" spans="1:8" x14ac:dyDescent="0.35">
      <c r="A661" s="3">
        <v>45155</v>
      </c>
      <c r="B661" s="1">
        <v>60.580001831054602</v>
      </c>
      <c r="C661" s="1">
        <v>61.020000457763601</v>
      </c>
      <c r="D661" s="1">
        <v>60.450000762939403</v>
      </c>
      <c r="E661" s="1">
        <v>60.610000610351499</v>
      </c>
      <c r="F661" s="1">
        <v>56.230846405029297</v>
      </c>
      <c r="G661" s="1">
        <v>12873500</v>
      </c>
      <c r="H661" s="1">
        <f t="shared" si="10"/>
        <v>2.1495058590815224E-3</v>
      </c>
    </row>
    <row r="662" spans="1:8" x14ac:dyDescent="0.35">
      <c r="A662" s="3">
        <v>45156</v>
      </c>
      <c r="B662" s="1">
        <v>60.540000915527301</v>
      </c>
      <c r="C662" s="1">
        <v>61.090000152587798</v>
      </c>
      <c r="D662" s="1">
        <v>60.369998931884702</v>
      </c>
      <c r="E662" s="1">
        <v>60.950000762939403</v>
      </c>
      <c r="F662" s="1">
        <v>56.546276092529297</v>
      </c>
      <c r="G662" s="1">
        <v>11083800</v>
      </c>
      <c r="H662" s="1">
        <f t="shared" si="10"/>
        <v>5.6095489871870029E-3</v>
      </c>
    </row>
    <row r="663" spans="1:8" x14ac:dyDescent="0.35">
      <c r="A663" s="3">
        <v>45159</v>
      </c>
      <c r="B663" s="1">
        <v>60.860000610351499</v>
      </c>
      <c r="C663" s="1">
        <v>60.930000305175703</v>
      </c>
      <c r="D663" s="1">
        <v>60.319999694824197</v>
      </c>
      <c r="E663" s="1">
        <v>60.430000305175703</v>
      </c>
      <c r="F663" s="1">
        <v>56.063850402832003</v>
      </c>
      <c r="G663" s="1">
        <v>8648500</v>
      </c>
      <c r="H663" s="1">
        <f t="shared" si="10"/>
        <v>-8.5315200758380363E-3</v>
      </c>
    </row>
    <row r="664" spans="1:8" x14ac:dyDescent="0.35">
      <c r="A664" s="3">
        <v>45160</v>
      </c>
      <c r="B664" s="1">
        <v>60.340000152587798</v>
      </c>
      <c r="C664" s="1">
        <v>60.580001831054602</v>
      </c>
      <c r="D664" s="1">
        <v>59.9799995422363</v>
      </c>
      <c r="E664" s="1">
        <v>60.060001373291001</v>
      </c>
      <c r="F664" s="1">
        <v>55.7205810546875</v>
      </c>
      <c r="G664" s="1">
        <v>9411500</v>
      </c>
      <c r="H664" s="1">
        <f t="shared" si="10"/>
        <v>-6.1228286262543776E-3</v>
      </c>
    </row>
    <row r="665" spans="1:8" x14ac:dyDescent="0.35">
      <c r="A665" s="3">
        <v>45161</v>
      </c>
      <c r="B665" s="1">
        <v>60.200000762939403</v>
      </c>
      <c r="C665" s="1">
        <v>60.439998626708899</v>
      </c>
      <c r="D665" s="1">
        <v>60.159999847412102</v>
      </c>
      <c r="E665" s="1">
        <v>60.270000457763601</v>
      </c>
      <c r="F665" s="1">
        <v>55.9154052734375</v>
      </c>
      <c r="G665" s="1">
        <v>7749500</v>
      </c>
      <c r="H665" s="1">
        <f t="shared" si="10"/>
        <v>3.4964498765507829E-3</v>
      </c>
    </row>
    <row r="666" spans="1:8" x14ac:dyDescent="0.35">
      <c r="A666" s="3">
        <v>45162</v>
      </c>
      <c r="B666" s="1">
        <v>60.270000457763601</v>
      </c>
      <c r="C666" s="1">
        <v>60.880001068115199</v>
      </c>
      <c r="D666" s="1">
        <v>60.090000152587798</v>
      </c>
      <c r="E666" s="1">
        <v>60.110000610351499</v>
      </c>
      <c r="F666" s="1">
        <v>55.766963958740199</v>
      </c>
      <c r="G666" s="1">
        <v>8955100</v>
      </c>
      <c r="H666" s="1">
        <f t="shared" si="10"/>
        <v>-2.6547480783049586E-3</v>
      </c>
    </row>
    <row r="667" spans="1:8" x14ac:dyDescent="0.35">
      <c r="A667" s="3">
        <v>45163</v>
      </c>
      <c r="B667" s="1">
        <v>60.409999847412102</v>
      </c>
      <c r="C667" s="1">
        <v>60.569999694824197</v>
      </c>
      <c r="D667" s="1">
        <v>60.009998321533203</v>
      </c>
      <c r="E667" s="1">
        <v>60.389999389648402</v>
      </c>
      <c r="F667" s="1">
        <v>56.026741027832003</v>
      </c>
      <c r="G667" s="1">
        <v>7629200</v>
      </c>
      <c r="H667" s="1">
        <f t="shared" si="10"/>
        <v>4.6582609245861568E-3</v>
      </c>
    </row>
    <row r="668" spans="1:8" x14ac:dyDescent="0.35">
      <c r="A668" s="3">
        <v>45166</v>
      </c>
      <c r="B668" s="1">
        <v>60.549999237060497</v>
      </c>
      <c r="C668" s="1">
        <v>60.7299995422363</v>
      </c>
      <c r="D668" s="1">
        <v>60.369998931884702</v>
      </c>
      <c r="E668" s="1">
        <v>60.560001373291001</v>
      </c>
      <c r="F668" s="1">
        <v>56.184452056884702</v>
      </c>
      <c r="G668" s="1">
        <v>6254300</v>
      </c>
      <c r="H668" s="1">
        <f t="shared" si="10"/>
        <v>2.8149241979709989E-3</v>
      </c>
    </row>
    <row r="669" spans="1:8" x14ac:dyDescent="0.35">
      <c r="A669" s="3">
        <v>45167</v>
      </c>
      <c r="B669" s="1">
        <v>60.560001373291001</v>
      </c>
      <c r="C669" s="1">
        <v>60.630001068115199</v>
      </c>
      <c r="D669" s="1">
        <v>60.150001525878899</v>
      </c>
      <c r="E669" s="1">
        <v>60.5</v>
      </c>
      <c r="F669" s="1">
        <v>56.128791809082003</v>
      </c>
      <c r="G669" s="1">
        <v>8189600</v>
      </c>
      <c r="H669" s="1">
        <f t="shared" si="10"/>
        <v>-9.9066994097130089E-4</v>
      </c>
    </row>
    <row r="670" spans="1:8" x14ac:dyDescent="0.35">
      <c r="A670" s="3">
        <v>45168</v>
      </c>
      <c r="B670" s="1">
        <v>60.639999389648402</v>
      </c>
      <c r="C670" s="1">
        <v>60.740001678466797</v>
      </c>
      <c r="D670" s="1">
        <v>60.290000915527301</v>
      </c>
      <c r="E670" s="1">
        <v>60.470001220703097</v>
      </c>
      <c r="F670" s="1">
        <v>56.100955963134702</v>
      </c>
      <c r="G670" s="1">
        <v>9447900</v>
      </c>
      <c r="H670" s="1">
        <f t="shared" si="10"/>
        <v>-4.9592811550233889E-4</v>
      </c>
    </row>
    <row r="671" spans="1:8" x14ac:dyDescent="0.35">
      <c r="A671" s="3">
        <v>45169</v>
      </c>
      <c r="B671" s="1">
        <v>60.299999237060497</v>
      </c>
      <c r="C671" s="1">
        <v>60.470001220703097</v>
      </c>
      <c r="D671" s="1">
        <v>59.810001373291001</v>
      </c>
      <c r="E671" s="1">
        <v>59.830001831054602</v>
      </c>
      <c r="F671" s="1">
        <v>55.507198333740199</v>
      </c>
      <c r="G671" s="1">
        <v>14663500</v>
      </c>
      <c r="H671" s="1">
        <f t="shared" si="10"/>
        <v>-1.0583734612021146E-2</v>
      </c>
    </row>
    <row r="672" spans="1:8" x14ac:dyDescent="0.35">
      <c r="A672" s="3">
        <v>45170</v>
      </c>
      <c r="B672" s="1">
        <v>60</v>
      </c>
      <c r="C672" s="1">
        <v>60.130001068115199</v>
      </c>
      <c r="D672" s="1">
        <v>59.119998931884702</v>
      </c>
      <c r="E672" s="1">
        <v>59.310001373291001</v>
      </c>
      <c r="F672" s="1">
        <v>55.024768829345703</v>
      </c>
      <c r="G672" s="1">
        <v>11262300</v>
      </c>
      <c r="H672" s="1">
        <f t="shared" si="10"/>
        <v>-8.6912962440269595E-3</v>
      </c>
    </row>
    <row r="673" spans="1:8" x14ac:dyDescent="0.35">
      <c r="A673" s="3">
        <v>45174</v>
      </c>
      <c r="B673" s="1">
        <v>59.25</v>
      </c>
      <c r="C673" s="1">
        <v>59.319999694824197</v>
      </c>
      <c r="D673" s="1">
        <v>58.669998168945298</v>
      </c>
      <c r="E673" s="1">
        <v>58.819999694824197</v>
      </c>
      <c r="F673" s="1">
        <v>54.570171356201101</v>
      </c>
      <c r="G673" s="1">
        <v>12474600</v>
      </c>
      <c r="H673" s="1">
        <f t="shared" si="10"/>
        <v>-8.2616880146192864E-3</v>
      </c>
    </row>
    <row r="674" spans="1:8" x14ac:dyDescent="0.35">
      <c r="A674" s="3">
        <v>45175</v>
      </c>
      <c r="B674" s="1">
        <v>58.619998931884702</v>
      </c>
      <c r="C674" s="1">
        <v>58.830001831054602</v>
      </c>
      <c r="D674" s="1">
        <v>58.419998168945298</v>
      </c>
      <c r="E674" s="1">
        <v>58.779998779296797</v>
      </c>
      <c r="F674" s="1">
        <v>54.533058166503899</v>
      </c>
      <c r="G674" s="1">
        <v>13923500</v>
      </c>
      <c r="H674" s="1">
        <f t="shared" si="10"/>
        <v>-6.8010029609306521E-4</v>
      </c>
    </row>
    <row r="675" spans="1:8" x14ac:dyDescent="0.35">
      <c r="A675" s="3">
        <v>45176</v>
      </c>
      <c r="B675" s="1">
        <v>58.950000762939403</v>
      </c>
      <c r="C675" s="1">
        <v>59.159999847412102</v>
      </c>
      <c r="D675" s="1">
        <v>58.299999237060497</v>
      </c>
      <c r="E675" s="1">
        <v>58.330001831054602</v>
      </c>
      <c r="F675" s="1">
        <v>54.115581512451101</v>
      </c>
      <c r="G675" s="1">
        <v>17628600</v>
      </c>
      <c r="H675" s="1">
        <f t="shared" si="10"/>
        <v>-7.6554784948632678E-3</v>
      </c>
    </row>
    <row r="676" spans="1:8" x14ac:dyDescent="0.35">
      <c r="A676" s="3">
        <v>45177</v>
      </c>
      <c r="B676" s="1">
        <v>58.299999237060497</v>
      </c>
      <c r="C676" s="1">
        <v>58.409999847412102</v>
      </c>
      <c r="D676" s="1">
        <v>58.009998321533203</v>
      </c>
      <c r="E676" s="1">
        <v>58.330001831054602</v>
      </c>
      <c r="F676" s="1">
        <v>54.115581512451101</v>
      </c>
      <c r="G676" s="1">
        <v>14312300</v>
      </c>
      <c r="H676" s="1">
        <f t="shared" si="10"/>
        <v>0</v>
      </c>
    </row>
    <row r="677" spans="1:8" x14ac:dyDescent="0.35">
      <c r="A677" s="3">
        <v>45180</v>
      </c>
      <c r="B677" s="1">
        <v>58.400001525878899</v>
      </c>
      <c r="C677" s="1">
        <v>58.990001678466797</v>
      </c>
      <c r="D677" s="1">
        <v>58.2299995422363</v>
      </c>
      <c r="E677" s="1">
        <v>58.880001068115199</v>
      </c>
      <c r="F677" s="1">
        <v>54.625839233398402</v>
      </c>
      <c r="G677" s="1">
        <v>14767400</v>
      </c>
      <c r="H677" s="1">
        <f t="shared" si="10"/>
        <v>9.4290351630038245E-3</v>
      </c>
    </row>
    <row r="678" spans="1:8" x14ac:dyDescent="0.35">
      <c r="A678" s="3">
        <v>45181</v>
      </c>
      <c r="B678" s="1">
        <v>58.990001678466797</v>
      </c>
      <c r="C678" s="1">
        <v>59</v>
      </c>
      <c r="D678" s="1">
        <v>58.189998626708899</v>
      </c>
      <c r="E678" s="1">
        <v>58.299999237060497</v>
      </c>
      <c r="F678" s="1">
        <v>54.087738037109297</v>
      </c>
      <c r="G678" s="1">
        <v>12292700</v>
      </c>
      <c r="H678" s="1">
        <f t="shared" si="10"/>
        <v>-9.8506714741713013E-3</v>
      </c>
    </row>
    <row r="679" spans="1:8" x14ac:dyDescent="0.35">
      <c r="A679" s="3">
        <v>45182</v>
      </c>
      <c r="B679" s="1">
        <v>58.400001525878899</v>
      </c>
      <c r="C679" s="1">
        <v>58.680000305175703</v>
      </c>
      <c r="D679" s="1">
        <v>58.340000152587798</v>
      </c>
      <c r="E679" s="1">
        <v>58.439998626708899</v>
      </c>
      <c r="F679" s="1">
        <v>54.217628479003899</v>
      </c>
      <c r="G679" s="1">
        <v>12641400</v>
      </c>
      <c r="H679" s="1">
        <f t="shared" si="10"/>
        <v>2.4014766860001651E-3</v>
      </c>
    </row>
    <row r="680" spans="1:8" x14ac:dyDescent="0.35">
      <c r="A680" s="3">
        <v>45183</v>
      </c>
      <c r="B680" s="1">
        <v>58.240001678466797</v>
      </c>
      <c r="C680" s="1">
        <v>58.590000152587798</v>
      </c>
      <c r="D680" s="1">
        <v>58.189998626708899</v>
      </c>
      <c r="E680" s="1">
        <v>58.459999084472599</v>
      </c>
      <c r="F680" s="1">
        <v>54.666481018066399</v>
      </c>
      <c r="G680" s="1">
        <v>12311600</v>
      </c>
      <c r="H680" s="1">
        <f t="shared" si="10"/>
        <v>8.2787195171459931E-3</v>
      </c>
    </row>
    <row r="681" spans="1:8" x14ac:dyDescent="0.35">
      <c r="A681" s="3">
        <v>45184</v>
      </c>
      <c r="B681" s="1">
        <v>58.409999847412102</v>
      </c>
      <c r="C681" s="1">
        <v>58.639999389648402</v>
      </c>
      <c r="D681" s="1">
        <v>57.75</v>
      </c>
      <c r="E681" s="1">
        <v>57.939998626708899</v>
      </c>
      <c r="F681" s="1">
        <v>54.180221557617102</v>
      </c>
      <c r="G681" s="1">
        <v>55727500</v>
      </c>
      <c r="H681" s="1">
        <f t="shared" si="10"/>
        <v>-8.8950203377568034E-3</v>
      </c>
    </row>
    <row r="682" spans="1:8" x14ac:dyDescent="0.35">
      <c r="A682" s="3">
        <v>45187</v>
      </c>
      <c r="B682" s="1">
        <v>57.9799995422363</v>
      </c>
      <c r="C682" s="1">
        <v>58.349998474121001</v>
      </c>
      <c r="D682" s="1">
        <v>57.630001068115199</v>
      </c>
      <c r="E682" s="1">
        <v>58.299999237060497</v>
      </c>
      <c r="F682" s="1">
        <v>54.516860961913999</v>
      </c>
      <c r="G682" s="1">
        <v>13617400</v>
      </c>
      <c r="H682" s="1">
        <f t="shared" si="10"/>
        <v>6.2133264615557623E-3</v>
      </c>
    </row>
    <row r="683" spans="1:8" x14ac:dyDescent="0.35">
      <c r="A683" s="3">
        <v>45188</v>
      </c>
      <c r="B683" s="1">
        <v>58.259998321533203</v>
      </c>
      <c r="C683" s="1">
        <v>58.389999389648402</v>
      </c>
      <c r="D683" s="1">
        <v>57.919998168945298</v>
      </c>
      <c r="E683" s="1">
        <v>58.180000305175703</v>
      </c>
      <c r="F683" s="1">
        <v>54.404651641845703</v>
      </c>
      <c r="G683" s="1">
        <v>11998900</v>
      </c>
      <c r="H683" s="1">
        <f t="shared" si="10"/>
        <v>-2.0582498347930548E-3</v>
      </c>
    </row>
    <row r="684" spans="1:8" x14ac:dyDescent="0.35">
      <c r="A684" s="3">
        <v>45189</v>
      </c>
      <c r="B684" s="1">
        <v>58.299999237060497</v>
      </c>
      <c r="C684" s="1">
        <v>58.830001831054602</v>
      </c>
      <c r="D684" s="1">
        <v>58.080001831054602</v>
      </c>
      <c r="E684" s="1">
        <v>58.439998626708899</v>
      </c>
      <c r="F684" s="1">
        <v>54.647777557372997</v>
      </c>
      <c r="G684" s="1">
        <v>14766600</v>
      </c>
      <c r="H684" s="1">
        <f t="shared" si="10"/>
        <v>4.4688442658879571E-3</v>
      </c>
    </row>
    <row r="685" spans="1:8" x14ac:dyDescent="0.35">
      <c r="A685" s="3">
        <v>45190</v>
      </c>
      <c r="B685" s="1">
        <v>58.369998931884702</v>
      </c>
      <c r="C685" s="1">
        <v>58.419998168945298</v>
      </c>
      <c r="D685" s="1">
        <v>57.419998168945298</v>
      </c>
      <c r="E685" s="1">
        <v>57.540000915527301</v>
      </c>
      <c r="F685" s="1">
        <v>53.806182861328097</v>
      </c>
      <c r="G685" s="1">
        <v>15941800</v>
      </c>
      <c r="H685" s="1">
        <f t="shared" si="10"/>
        <v>-1.5400346247591432E-2</v>
      </c>
    </row>
    <row r="686" spans="1:8" x14ac:dyDescent="0.35">
      <c r="A686" s="3">
        <v>45191</v>
      </c>
      <c r="B686" s="1">
        <v>57.849998474121001</v>
      </c>
      <c r="C686" s="1">
        <v>57.970001220703097</v>
      </c>
      <c r="D686" s="1">
        <v>57.5</v>
      </c>
      <c r="E686" s="1">
        <v>57.599998474121001</v>
      </c>
      <c r="F686" s="1">
        <v>53.862285614013601</v>
      </c>
      <c r="G686" s="1">
        <v>14644100</v>
      </c>
      <c r="H686" s="1">
        <f t="shared" si="10"/>
        <v>1.0426822662758847E-3</v>
      </c>
    </row>
    <row r="687" spans="1:8" x14ac:dyDescent="0.35">
      <c r="A687" s="3">
        <v>45194</v>
      </c>
      <c r="B687" s="1">
        <v>57.400001525878899</v>
      </c>
      <c r="C687" s="1">
        <v>57.490001678466797</v>
      </c>
      <c r="D687" s="1">
        <v>56.740001678466797</v>
      </c>
      <c r="E687" s="1">
        <v>57</v>
      </c>
      <c r="F687" s="1">
        <v>53.301216125488203</v>
      </c>
      <c r="G687" s="1">
        <v>12358800</v>
      </c>
      <c r="H687" s="1">
        <f t="shared" si="10"/>
        <v>-1.0416741178532937E-2</v>
      </c>
    </row>
    <row r="688" spans="1:8" x14ac:dyDescent="0.35">
      <c r="A688" s="3">
        <v>45195</v>
      </c>
      <c r="B688" s="1">
        <v>56.7299995422363</v>
      </c>
      <c r="C688" s="1">
        <v>56.900001525878899</v>
      </c>
      <c r="D688" s="1">
        <v>56.400001525878899</v>
      </c>
      <c r="E688" s="1">
        <v>56.529998779296797</v>
      </c>
      <c r="F688" s="1">
        <v>52.861717224121001</v>
      </c>
      <c r="G688" s="1">
        <v>11194700</v>
      </c>
      <c r="H688" s="1">
        <f t="shared" si="10"/>
        <v>-8.2455698634057422E-3</v>
      </c>
    </row>
    <row r="689" spans="1:8" x14ac:dyDescent="0.35">
      <c r="A689" s="3">
        <v>45196</v>
      </c>
      <c r="B689" s="1">
        <v>56.419998168945298</v>
      </c>
      <c r="C689" s="1">
        <v>56.529998779296797</v>
      </c>
      <c r="D689" s="1">
        <v>55.680000305175703</v>
      </c>
      <c r="E689" s="1">
        <v>55.950000762939403</v>
      </c>
      <c r="F689" s="1">
        <v>52.3193550109863</v>
      </c>
      <c r="G689" s="1">
        <v>13766300</v>
      </c>
      <c r="H689" s="1">
        <f t="shared" si="10"/>
        <v>-1.0260018811632925E-2</v>
      </c>
    </row>
    <row r="690" spans="1:8" x14ac:dyDescent="0.35">
      <c r="A690" s="3">
        <v>45197</v>
      </c>
      <c r="B690" s="1">
        <v>56.2299995422363</v>
      </c>
      <c r="C690" s="1">
        <v>56.319999694824197</v>
      </c>
      <c r="D690" s="1">
        <v>55.700000762939403</v>
      </c>
      <c r="E690" s="1">
        <v>55.810001373291001</v>
      </c>
      <c r="F690" s="1">
        <v>52.188446044921797</v>
      </c>
      <c r="G690" s="1">
        <v>12484800</v>
      </c>
      <c r="H690" s="1">
        <f t="shared" si="10"/>
        <v>-2.5021135302033806E-3</v>
      </c>
    </row>
    <row r="691" spans="1:8" x14ac:dyDescent="0.35">
      <c r="A691" s="3">
        <v>45198</v>
      </c>
      <c r="B691" s="1">
        <v>56.139999389648402</v>
      </c>
      <c r="C691" s="1">
        <v>56.270000457763601</v>
      </c>
      <c r="D691" s="1">
        <v>55.619998931884702</v>
      </c>
      <c r="E691" s="1">
        <v>55.9799995422363</v>
      </c>
      <c r="F691" s="1">
        <v>52.347408294677699</v>
      </c>
      <c r="G691" s="1">
        <v>12271600</v>
      </c>
      <c r="H691" s="1">
        <f t="shared" si="10"/>
        <v>3.0459280128608056E-3</v>
      </c>
    </row>
    <row r="692" spans="1:8" x14ac:dyDescent="0.35">
      <c r="A692" s="3">
        <v>45201</v>
      </c>
      <c r="B692" s="1">
        <v>55.909999847412102</v>
      </c>
      <c r="C692" s="1">
        <v>56.009998321533203</v>
      </c>
      <c r="D692" s="1">
        <v>55.080001831054602</v>
      </c>
      <c r="E692" s="1">
        <v>55.4799995422363</v>
      </c>
      <c r="F692" s="1">
        <v>51.879856109619098</v>
      </c>
      <c r="G692" s="1">
        <v>11792500</v>
      </c>
      <c r="H692" s="1">
        <f t="shared" si="10"/>
        <v>-8.9317160159414835E-3</v>
      </c>
    </row>
    <row r="693" spans="1:8" x14ac:dyDescent="0.35">
      <c r="A693" s="3">
        <v>45202</v>
      </c>
      <c r="B693" s="1">
        <v>55.159999847412102</v>
      </c>
      <c r="C693" s="1">
        <v>55.430000305175703</v>
      </c>
      <c r="D693" s="1">
        <v>54.779998779296797</v>
      </c>
      <c r="E693" s="1">
        <v>54.880001068115199</v>
      </c>
      <c r="F693" s="1">
        <v>51.318790435791001</v>
      </c>
      <c r="G693" s="1">
        <v>13604200</v>
      </c>
      <c r="H693" s="1">
        <f t="shared" si="10"/>
        <v>-1.0814711448748E-2</v>
      </c>
    </row>
    <row r="694" spans="1:8" x14ac:dyDescent="0.35">
      <c r="A694" s="3">
        <v>45203</v>
      </c>
      <c r="B694" s="1">
        <v>54.889999389648402</v>
      </c>
      <c r="C694" s="1">
        <v>55.279998779296797</v>
      </c>
      <c r="D694" s="1">
        <v>54.709999084472599</v>
      </c>
      <c r="E694" s="1">
        <v>55.040000915527301</v>
      </c>
      <c r="F694" s="1">
        <v>51.468406677246001</v>
      </c>
      <c r="G694" s="1">
        <v>12100500</v>
      </c>
      <c r="H694" s="1">
        <f t="shared" si="10"/>
        <v>2.9154280563606946E-3</v>
      </c>
    </row>
    <row r="695" spans="1:8" x14ac:dyDescent="0.35">
      <c r="A695" s="3">
        <v>45204</v>
      </c>
      <c r="B695" s="1">
        <v>54.740001678466797</v>
      </c>
      <c r="C695" s="1">
        <v>54.950000762939403</v>
      </c>
      <c r="D695" s="1">
        <v>52.240001678466797</v>
      </c>
      <c r="E695" s="1">
        <v>52.380001068115199</v>
      </c>
      <c r="F695" s="1">
        <v>48.981014251708899</v>
      </c>
      <c r="G695" s="1">
        <v>29878100</v>
      </c>
      <c r="H695" s="1">
        <f t="shared" si="10"/>
        <v>-4.8328529793730132E-2</v>
      </c>
    </row>
    <row r="696" spans="1:8" x14ac:dyDescent="0.35">
      <c r="A696" s="3">
        <v>45205</v>
      </c>
      <c r="B696" s="1">
        <v>52.040000915527301</v>
      </c>
      <c r="C696" s="1">
        <v>53.290000915527301</v>
      </c>
      <c r="D696" s="1">
        <v>51.549999237060497</v>
      </c>
      <c r="E696" s="1">
        <v>53.139999389648402</v>
      </c>
      <c r="F696" s="1">
        <v>49.691696166992102</v>
      </c>
      <c r="G696" s="1">
        <v>30298900</v>
      </c>
      <c r="H696" s="1">
        <f t="shared" si="10"/>
        <v>1.4509334405185538E-2</v>
      </c>
    </row>
    <row r="697" spans="1:8" x14ac:dyDescent="0.35">
      <c r="A697" s="3">
        <v>45208</v>
      </c>
      <c r="B697" s="1">
        <v>52.959999084472599</v>
      </c>
      <c r="C697" s="1">
        <v>53.150001525878899</v>
      </c>
      <c r="D697" s="1">
        <v>52.110000610351499</v>
      </c>
      <c r="E697" s="1">
        <v>52.880001068115199</v>
      </c>
      <c r="F697" s="1">
        <v>49.448574066162102</v>
      </c>
      <c r="G697" s="1">
        <v>15704700</v>
      </c>
      <c r="H697" s="1">
        <f t="shared" si="10"/>
        <v>-4.8926102263237847E-3</v>
      </c>
    </row>
    <row r="698" spans="1:8" x14ac:dyDescent="0.35">
      <c r="A698" s="3">
        <v>45209</v>
      </c>
      <c r="B698" s="1">
        <v>54.130001068115199</v>
      </c>
      <c r="C698" s="1">
        <v>54.330001831054602</v>
      </c>
      <c r="D698" s="1">
        <v>53.560001373291001</v>
      </c>
      <c r="E698" s="1">
        <v>54.029998779296797</v>
      </c>
      <c r="F698" s="1">
        <v>50.523948669433501</v>
      </c>
      <c r="G698" s="1">
        <v>20909700</v>
      </c>
      <c r="H698" s="1">
        <f t="shared" si="10"/>
        <v>2.1747332932847564E-2</v>
      </c>
    </row>
    <row r="699" spans="1:8" x14ac:dyDescent="0.35">
      <c r="A699" s="3">
        <v>45210</v>
      </c>
      <c r="B699" s="1">
        <v>54.220001220703097</v>
      </c>
      <c r="C699" s="1">
        <v>54.279998779296797</v>
      </c>
      <c r="D699" s="1">
        <v>53.020000457763601</v>
      </c>
      <c r="E699" s="1">
        <v>53.709999084472599</v>
      </c>
      <c r="F699" s="1">
        <v>50.224712371826101</v>
      </c>
      <c r="G699" s="1">
        <v>21138900</v>
      </c>
      <c r="H699" s="1">
        <f t="shared" si="10"/>
        <v>-5.9226625291153388E-3</v>
      </c>
    </row>
    <row r="700" spans="1:8" x14ac:dyDescent="0.35">
      <c r="A700" s="3">
        <v>45211</v>
      </c>
      <c r="B700" s="1">
        <v>53.759998321533203</v>
      </c>
      <c r="C700" s="1">
        <v>53.830001831054602</v>
      </c>
      <c r="D700" s="1">
        <v>52.430000305175703</v>
      </c>
      <c r="E700" s="1">
        <v>52.810001373291001</v>
      </c>
      <c r="F700" s="1">
        <v>49.383121490478501</v>
      </c>
      <c r="G700" s="1">
        <v>19330400</v>
      </c>
      <c r="H700" s="1">
        <f t="shared" si="10"/>
        <v>-1.675650972607054E-2</v>
      </c>
    </row>
    <row r="701" spans="1:8" x14ac:dyDescent="0.35">
      <c r="A701" s="3">
        <v>45212</v>
      </c>
      <c r="B701" s="1">
        <v>52.740001678466797</v>
      </c>
      <c r="C701" s="1">
        <v>53.419998168945298</v>
      </c>
      <c r="D701" s="1">
        <v>52.639999389648402</v>
      </c>
      <c r="E701" s="1">
        <v>52.889999389648402</v>
      </c>
      <c r="F701" s="1">
        <v>49.457920074462798</v>
      </c>
      <c r="G701" s="1">
        <v>14494600</v>
      </c>
      <c r="H701" s="1">
        <f t="shared" si="10"/>
        <v>1.5146588900565685E-3</v>
      </c>
    </row>
    <row r="702" spans="1:8" x14ac:dyDescent="0.35">
      <c r="A702" s="3">
        <v>45215</v>
      </c>
      <c r="B702" s="1">
        <v>53.020000457763601</v>
      </c>
      <c r="C702" s="1">
        <v>53.560001373291001</v>
      </c>
      <c r="D702" s="1">
        <v>52.840000152587798</v>
      </c>
      <c r="E702" s="1">
        <v>53.430000305175703</v>
      </c>
      <c r="F702" s="1">
        <v>49.962882995605398</v>
      </c>
      <c r="G702" s="1">
        <v>12816800</v>
      </c>
      <c r="H702" s="1">
        <f t="shared" si="10"/>
        <v>1.0209950608160188E-2</v>
      </c>
    </row>
    <row r="703" spans="1:8" x14ac:dyDescent="0.35">
      <c r="A703" s="3">
        <v>45216</v>
      </c>
      <c r="B703" s="1">
        <v>53.310001373291001</v>
      </c>
      <c r="C703" s="1">
        <v>54.099998474121001</v>
      </c>
      <c r="D703" s="1">
        <v>53.209999084472599</v>
      </c>
      <c r="E703" s="1">
        <v>54.069999694824197</v>
      </c>
      <c r="F703" s="1">
        <v>50.561351776122997</v>
      </c>
      <c r="G703" s="1">
        <v>16457200</v>
      </c>
      <c r="H703" s="1">
        <f t="shared" si="10"/>
        <v>1.1978267558544193E-2</v>
      </c>
    </row>
    <row r="704" spans="1:8" x14ac:dyDescent="0.35">
      <c r="A704" s="3">
        <v>45217</v>
      </c>
      <c r="B704" s="1">
        <v>54.099998474121001</v>
      </c>
      <c r="C704" s="1">
        <v>54.529998779296797</v>
      </c>
      <c r="D704" s="1">
        <v>53.919998168945298</v>
      </c>
      <c r="E704" s="1">
        <v>54.049999237060497</v>
      </c>
      <c r="F704" s="1">
        <v>50.542648315429602</v>
      </c>
      <c r="G704" s="1">
        <v>12809500</v>
      </c>
      <c r="H704" s="1">
        <f t="shared" si="10"/>
        <v>-3.6991615208807355E-4</v>
      </c>
    </row>
    <row r="705" spans="1:8" x14ac:dyDescent="0.35">
      <c r="A705" s="3">
        <v>45218</v>
      </c>
      <c r="B705" s="1">
        <v>54.159999847412102</v>
      </c>
      <c r="C705" s="1">
        <v>54.759998321533203</v>
      </c>
      <c r="D705" s="1">
        <v>53.860000610351499</v>
      </c>
      <c r="E705" s="1">
        <v>54.349998474121001</v>
      </c>
      <c r="F705" s="1">
        <v>50.8231811523437</v>
      </c>
      <c r="G705" s="1">
        <v>16202200</v>
      </c>
      <c r="H705" s="1">
        <f t="shared" si="10"/>
        <v>5.5504182361662529E-3</v>
      </c>
    </row>
    <row r="706" spans="1:8" x14ac:dyDescent="0.35">
      <c r="A706" s="3">
        <v>45219</v>
      </c>
      <c r="B706" s="1">
        <v>54.529998779296797</v>
      </c>
      <c r="C706" s="1">
        <v>55.020000457763601</v>
      </c>
      <c r="D706" s="1">
        <v>54.439998626708899</v>
      </c>
      <c r="E706" s="1">
        <v>54.569999694824197</v>
      </c>
      <c r="F706" s="1">
        <v>51.028903961181598</v>
      </c>
      <c r="G706" s="1">
        <v>15686400</v>
      </c>
      <c r="H706" s="1">
        <f t="shared" si="10"/>
        <v>4.0478144849146434E-3</v>
      </c>
    </row>
    <row r="707" spans="1:8" x14ac:dyDescent="0.35">
      <c r="A707" s="3">
        <v>45222</v>
      </c>
      <c r="B707" s="1">
        <v>54.380001068115199</v>
      </c>
      <c r="C707" s="1">
        <v>54.889999389648402</v>
      </c>
      <c r="D707" s="1">
        <v>54.049999237060497</v>
      </c>
      <c r="E707" s="1">
        <v>54.080001831054602</v>
      </c>
      <c r="F707" s="1">
        <v>50.570701599121001</v>
      </c>
      <c r="G707" s="1">
        <v>21212700</v>
      </c>
      <c r="H707" s="1">
        <f t="shared" si="10"/>
        <v>-8.9792710893645215E-3</v>
      </c>
    </row>
    <row r="708" spans="1:8" x14ac:dyDescent="0.35">
      <c r="A708" s="3">
        <v>45223</v>
      </c>
      <c r="B708" s="1">
        <v>55.650001525878899</v>
      </c>
      <c r="C708" s="1">
        <v>56.169998168945298</v>
      </c>
      <c r="D708" s="1">
        <v>55.299999237060497</v>
      </c>
      <c r="E708" s="1">
        <v>55.639999389648402</v>
      </c>
      <c r="F708" s="1">
        <v>52.029468536376903</v>
      </c>
      <c r="G708" s="1">
        <v>25290800</v>
      </c>
      <c r="H708" s="1">
        <f t="shared" ref="H708:H771" si="11">(F708-F707)/F707</f>
        <v>2.8846088567639285E-2</v>
      </c>
    </row>
    <row r="709" spans="1:8" x14ac:dyDescent="0.35">
      <c r="A709" s="3">
        <v>45224</v>
      </c>
      <c r="B709" s="1">
        <v>55.759998321533203</v>
      </c>
      <c r="C709" s="1">
        <v>56.220001220703097</v>
      </c>
      <c r="D709" s="1">
        <v>55.560001373291001</v>
      </c>
      <c r="E709" s="1">
        <v>56.119998931884702</v>
      </c>
      <c r="F709" s="1">
        <v>52.478321075439403</v>
      </c>
      <c r="G709" s="1">
        <v>16701000</v>
      </c>
      <c r="H709" s="1">
        <f t="shared" si="11"/>
        <v>8.6268907157619808E-3</v>
      </c>
    </row>
    <row r="710" spans="1:8" x14ac:dyDescent="0.35">
      <c r="A710" s="3">
        <v>45225</v>
      </c>
      <c r="B710" s="1">
        <v>56.369998931884702</v>
      </c>
      <c r="C710" s="1">
        <v>56.630001068115199</v>
      </c>
      <c r="D710" s="1">
        <v>55.720001220703097</v>
      </c>
      <c r="E710" s="1">
        <v>55.779998779296797</v>
      </c>
      <c r="F710" s="1">
        <v>52.160392761230398</v>
      </c>
      <c r="G710" s="1">
        <v>16228400</v>
      </c>
      <c r="H710" s="1">
        <f t="shared" si="11"/>
        <v>-6.0582790701701897E-3</v>
      </c>
    </row>
    <row r="711" spans="1:8" x14ac:dyDescent="0.35">
      <c r="A711" s="3">
        <v>45226</v>
      </c>
      <c r="B711" s="1">
        <v>55.549999237060497</v>
      </c>
      <c r="C711" s="1">
        <v>56.139999389648402</v>
      </c>
      <c r="D711" s="1">
        <v>55.099998474121001</v>
      </c>
      <c r="E711" s="1">
        <v>55.240001678466797</v>
      </c>
      <c r="F711" s="1">
        <v>51.655426025390597</v>
      </c>
      <c r="G711" s="1">
        <v>13626500</v>
      </c>
      <c r="H711" s="1">
        <f t="shared" si="11"/>
        <v>-9.6810378355726475E-3</v>
      </c>
    </row>
    <row r="712" spans="1:8" x14ac:dyDescent="0.35">
      <c r="A712" s="3">
        <v>45229</v>
      </c>
      <c r="B712" s="1">
        <v>55.430000305175703</v>
      </c>
      <c r="C712" s="1">
        <v>56.279998779296797</v>
      </c>
      <c r="D712" s="1">
        <v>55.419998168945298</v>
      </c>
      <c r="E712" s="1">
        <v>56.150001525878899</v>
      </c>
      <c r="F712" s="1">
        <v>52.506381988525298</v>
      </c>
      <c r="G712" s="1">
        <v>15014300</v>
      </c>
      <c r="H712" s="1">
        <f t="shared" si="11"/>
        <v>1.6473699446722685E-2</v>
      </c>
    </row>
    <row r="713" spans="1:8" x14ac:dyDescent="0.35">
      <c r="A713" s="3">
        <v>45230</v>
      </c>
      <c r="B713" s="1">
        <v>56.569999694824197</v>
      </c>
      <c r="C713" s="1">
        <v>56.720001220703097</v>
      </c>
      <c r="D713" s="1">
        <v>56.150001525878899</v>
      </c>
      <c r="E713" s="1">
        <v>56.490001678466797</v>
      </c>
      <c r="F713" s="1">
        <v>52.824310302734297</v>
      </c>
      <c r="G713" s="1">
        <v>16639400</v>
      </c>
      <c r="H713" s="1">
        <f t="shared" si="11"/>
        <v>6.0550413524679417E-3</v>
      </c>
    </row>
    <row r="714" spans="1:8" x14ac:dyDescent="0.35">
      <c r="A714" s="3">
        <v>45231</v>
      </c>
      <c r="B714" s="1">
        <v>56.799999237060497</v>
      </c>
      <c r="C714" s="1">
        <v>56.880001068115199</v>
      </c>
      <c r="D714" s="1">
        <v>56.259998321533203</v>
      </c>
      <c r="E714" s="1">
        <v>56.439998626708899</v>
      </c>
      <c r="F714" s="1">
        <v>52.777561187744098</v>
      </c>
      <c r="G714" s="1">
        <v>14110800</v>
      </c>
      <c r="H714" s="1">
        <f t="shared" si="11"/>
        <v>-8.8499243477636121E-4</v>
      </c>
    </row>
    <row r="715" spans="1:8" x14ac:dyDescent="0.35">
      <c r="A715" s="3">
        <v>45232</v>
      </c>
      <c r="B715" s="1">
        <v>56.5</v>
      </c>
      <c r="C715" s="1">
        <v>57.150001525878899</v>
      </c>
      <c r="D715" s="1">
        <v>56.360000610351499</v>
      </c>
      <c r="E715" s="1">
        <v>57.090000152587798</v>
      </c>
      <c r="F715" s="1">
        <v>53.385383605957003</v>
      </c>
      <c r="G715" s="1">
        <v>13087200</v>
      </c>
      <c r="H715" s="1">
        <f t="shared" si="11"/>
        <v>1.1516682554745484E-2</v>
      </c>
    </row>
    <row r="716" spans="1:8" x14ac:dyDescent="0.35">
      <c r="A716" s="3">
        <v>45233</v>
      </c>
      <c r="B716" s="1">
        <v>57.400001525878899</v>
      </c>
      <c r="C716" s="1">
        <v>57.590000152587798</v>
      </c>
      <c r="D716" s="1">
        <v>56.700000762939403</v>
      </c>
      <c r="E716" s="1">
        <v>56.740001678466797</v>
      </c>
      <c r="F716" s="1">
        <v>53.058094024658203</v>
      </c>
      <c r="G716" s="1">
        <v>13958700</v>
      </c>
      <c r="H716" s="1">
        <f t="shared" si="11"/>
        <v>-6.1306964414559184E-3</v>
      </c>
    </row>
    <row r="717" spans="1:8" x14ac:dyDescent="0.35">
      <c r="A717" s="3">
        <v>45236</v>
      </c>
      <c r="B717" s="1">
        <v>56.779998779296797</v>
      </c>
      <c r="C717" s="1">
        <v>57.279998779296797</v>
      </c>
      <c r="D717" s="1">
        <v>56.740001678466797</v>
      </c>
      <c r="E717" s="1">
        <v>56.970001220703097</v>
      </c>
      <c r="F717" s="1">
        <v>53.273170471191399</v>
      </c>
      <c r="G717" s="1">
        <v>12673200</v>
      </c>
      <c r="H717" s="1">
        <f t="shared" si="11"/>
        <v>4.0536029513845986E-3</v>
      </c>
    </row>
    <row r="718" spans="1:8" x14ac:dyDescent="0.35">
      <c r="A718" s="3">
        <v>45237</v>
      </c>
      <c r="B718" s="1">
        <v>56.919998168945298</v>
      </c>
      <c r="C718" s="1">
        <v>57.400001525878899</v>
      </c>
      <c r="D718" s="1">
        <v>56.7299995422363</v>
      </c>
      <c r="E718" s="1">
        <v>57.180000305175703</v>
      </c>
      <c r="F718" s="1">
        <v>53.469539642333899</v>
      </c>
      <c r="G718" s="1">
        <v>10449300</v>
      </c>
      <c r="H718" s="1">
        <f t="shared" si="11"/>
        <v>3.6860800550380379E-3</v>
      </c>
    </row>
    <row r="719" spans="1:8" x14ac:dyDescent="0.35">
      <c r="A719" s="3">
        <v>45238</v>
      </c>
      <c r="B719" s="1">
        <v>57.319999694824197</v>
      </c>
      <c r="C719" s="1">
        <v>57.470001220703097</v>
      </c>
      <c r="D719" s="1">
        <v>56.919998168945298</v>
      </c>
      <c r="E719" s="1">
        <v>57.090000152587798</v>
      </c>
      <c r="F719" s="1">
        <v>53.385383605957003</v>
      </c>
      <c r="G719" s="1">
        <v>13744000</v>
      </c>
      <c r="H719" s="1">
        <f t="shared" si="11"/>
        <v>-1.5739061330961356E-3</v>
      </c>
    </row>
    <row r="720" spans="1:8" x14ac:dyDescent="0.35">
      <c r="A720" s="3">
        <v>45239</v>
      </c>
      <c r="B720" s="1">
        <v>57.029998779296797</v>
      </c>
      <c r="C720" s="1">
        <v>57.139999389648402</v>
      </c>
      <c r="D720" s="1">
        <v>56.369998931884702</v>
      </c>
      <c r="E720" s="1">
        <v>56.659999847412102</v>
      </c>
      <c r="F720" s="1">
        <v>52.983283996582003</v>
      </c>
      <c r="G720" s="1">
        <v>12021100</v>
      </c>
      <c r="H720" s="1">
        <f t="shared" si="11"/>
        <v>-7.5320168595759936E-3</v>
      </c>
    </row>
    <row r="721" spans="1:8" x14ac:dyDescent="0.35">
      <c r="A721" s="3">
        <v>45240</v>
      </c>
      <c r="B721" s="1">
        <v>56.869998931884702</v>
      </c>
      <c r="C721" s="1">
        <v>56.930000305175703</v>
      </c>
      <c r="D721" s="1">
        <v>56.060001373291001</v>
      </c>
      <c r="E721" s="1">
        <v>56.720001220703097</v>
      </c>
      <c r="F721" s="1">
        <v>53.039390563964801</v>
      </c>
      <c r="G721" s="1">
        <v>11678900</v>
      </c>
      <c r="H721" s="1">
        <f t="shared" si="11"/>
        <v>1.0589484673395816E-3</v>
      </c>
    </row>
    <row r="722" spans="1:8" x14ac:dyDescent="0.35">
      <c r="A722" s="3">
        <v>45243</v>
      </c>
      <c r="B722" s="1">
        <v>56.619998931884702</v>
      </c>
      <c r="C722" s="1">
        <v>57.099998474121001</v>
      </c>
      <c r="D722" s="1">
        <v>56.599998474121001</v>
      </c>
      <c r="E722" s="1">
        <v>56.930000305175703</v>
      </c>
      <c r="F722" s="1">
        <v>53.235763549804602</v>
      </c>
      <c r="G722" s="1">
        <v>12798200</v>
      </c>
      <c r="H722" s="1">
        <f t="shared" si="11"/>
        <v>3.7023989859570105E-3</v>
      </c>
    </row>
    <row r="723" spans="1:8" x14ac:dyDescent="0.35">
      <c r="A723" s="3">
        <v>45244</v>
      </c>
      <c r="B723" s="1">
        <v>57.020000457763601</v>
      </c>
      <c r="C723" s="1">
        <v>57.240001678466797</v>
      </c>
      <c r="D723" s="1">
        <v>56.810001373291001</v>
      </c>
      <c r="E723" s="1">
        <v>57.099998474121001</v>
      </c>
      <c r="F723" s="1">
        <v>53.394729614257798</v>
      </c>
      <c r="G723" s="1">
        <v>12697100</v>
      </c>
      <c r="H723" s="1">
        <f t="shared" si="11"/>
        <v>2.9860765367716703E-3</v>
      </c>
    </row>
    <row r="724" spans="1:8" x14ac:dyDescent="0.35">
      <c r="A724" s="3">
        <v>45245</v>
      </c>
      <c r="B724" s="1">
        <v>57.299999237060497</v>
      </c>
      <c r="C724" s="1">
        <v>57.340000152587798</v>
      </c>
      <c r="D724" s="1">
        <v>56.75</v>
      </c>
      <c r="E724" s="1">
        <v>57.209999084472599</v>
      </c>
      <c r="F724" s="1">
        <v>53.497596740722599</v>
      </c>
      <c r="G724" s="1">
        <v>10201900</v>
      </c>
      <c r="H724" s="1">
        <f t="shared" si="11"/>
        <v>1.9265408254325702E-3</v>
      </c>
    </row>
    <row r="725" spans="1:8" x14ac:dyDescent="0.35">
      <c r="A725" s="3">
        <v>45246</v>
      </c>
      <c r="B725" s="1">
        <v>57.25</v>
      </c>
      <c r="C725" s="1">
        <v>57.529998779296797</v>
      </c>
      <c r="D725" s="1">
        <v>56.810001373291001</v>
      </c>
      <c r="E725" s="1">
        <v>57.150001525878899</v>
      </c>
      <c r="F725" s="1">
        <v>53.441490173339801</v>
      </c>
      <c r="G725" s="1">
        <v>16010400</v>
      </c>
      <c r="H725" s="1">
        <f t="shared" si="11"/>
        <v>-1.0487679970881706E-3</v>
      </c>
    </row>
    <row r="726" spans="1:8" x14ac:dyDescent="0.35">
      <c r="A726" s="3">
        <v>45247</v>
      </c>
      <c r="B726" s="1">
        <v>57.189998626708899</v>
      </c>
      <c r="C726" s="1">
        <v>57.340000152587798</v>
      </c>
      <c r="D726" s="1">
        <v>56.700000762939403</v>
      </c>
      <c r="E726" s="1">
        <v>57.259998321533203</v>
      </c>
      <c r="F726" s="1">
        <v>53.544342041015597</v>
      </c>
      <c r="G726" s="1">
        <v>14475800</v>
      </c>
      <c r="H726" s="1">
        <f t="shared" si="11"/>
        <v>1.9245696057911361E-3</v>
      </c>
    </row>
    <row r="727" spans="1:8" x14ac:dyDescent="0.35">
      <c r="A727" s="3">
        <v>45250</v>
      </c>
      <c r="B727" s="1">
        <v>57.049999237060497</v>
      </c>
      <c r="C727" s="1">
        <v>57.580001831054602</v>
      </c>
      <c r="D727" s="1">
        <v>56.959999084472599</v>
      </c>
      <c r="E727" s="1">
        <v>57.400001525878899</v>
      </c>
      <c r="F727" s="1">
        <v>53.675266265869098</v>
      </c>
      <c r="G727" s="1">
        <v>13051000</v>
      </c>
      <c r="H727" s="1">
        <f t="shared" si="11"/>
        <v>2.4451551716372184E-3</v>
      </c>
    </row>
    <row r="728" spans="1:8" x14ac:dyDescent="0.35">
      <c r="A728" s="3">
        <v>45251</v>
      </c>
      <c r="B728" s="1">
        <v>57.459999084472599</v>
      </c>
      <c r="C728" s="1">
        <v>58.040000915527301</v>
      </c>
      <c r="D728" s="1">
        <v>57.330001831054602</v>
      </c>
      <c r="E728" s="1">
        <v>58.029998779296797</v>
      </c>
      <c r="F728" s="1">
        <v>54.264381408691399</v>
      </c>
      <c r="G728" s="1">
        <v>13891600</v>
      </c>
      <c r="H728" s="1">
        <f t="shared" si="11"/>
        <v>1.0975542066326111E-2</v>
      </c>
    </row>
    <row r="729" spans="1:8" x14ac:dyDescent="0.35">
      <c r="A729" s="3">
        <v>45252</v>
      </c>
      <c r="B729" s="1">
        <v>58.259998321533203</v>
      </c>
      <c r="C729" s="1">
        <v>58.540000915527301</v>
      </c>
      <c r="D729" s="1">
        <v>58.130001068115199</v>
      </c>
      <c r="E729" s="1">
        <v>58.419998168945298</v>
      </c>
      <c r="F729" s="1">
        <v>54.629074096679602</v>
      </c>
      <c r="G729" s="1">
        <v>11320600</v>
      </c>
      <c r="H729" s="1">
        <f t="shared" si="11"/>
        <v>6.7206642464331329E-3</v>
      </c>
    </row>
    <row r="730" spans="1:8" x14ac:dyDescent="0.35">
      <c r="A730" s="3">
        <v>45254</v>
      </c>
      <c r="B730" s="1">
        <v>58.459999084472599</v>
      </c>
      <c r="C730" s="1">
        <v>58.75</v>
      </c>
      <c r="D730" s="1">
        <v>58.340000152587798</v>
      </c>
      <c r="E730" s="1">
        <v>58.569999694824197</v>
      </c>
      <c r="F730" s="1">
        <v>54.769344329833899</v>
      </c>
      <c r="G730" s="1">
        <v>4816000</v>
      </c>
      <c r="H730" s="1">
        <f t="shared" si="11"/>
        <v>2.5676846161817451E-3</v>
      </c>
    </row>
    <row r="731" spans="1:8" x14ac:dyDescent="0.35">
      <c r="A731" s="3">
        <v>45257</v>
      </c>
      <c r="B731" s="1">
        <v>58.540000915527301</v>
      </c>
      <c r="C731" s="1">
        <v>58.689998626708899</v>
      </c>
      <c r="D731" s="1">
        <v>58.270000457763601</v>
      </c>
      <c r="E731" s="1">
        <v>58.459999084472599</v>
      </c>
      <c r="F731" s="1">
        <v>54.666481018066399</v>
      </c>
      <c r="G731" s="1">
        <v>16246500</v>
      </c>
      <c r="H731" s="1">
        <f t="shared" si="11"/>
        <v>-1.8781183712558774E-3</v>
      </c>
    </row>
    <row r="732" spans="1:8" x14ac:dyDescent="0.35">
      <c r="A732" s="3">
        <v>45258</v>
      </c>
      <c r="B732" s="1">
        <v>58.400001525878899</v>
      </c>
      <c r="C732" s="1">
        <v>58.830001831054602</v>
      </c>
      <c r="D732" s="1">
        <v>58.360000610351499</v>
      </c>
      <c r="E732" s="1">
        <v>58.580001831054602</v>
      </c>
      <c r="F732" s="1">
        <v>54.778690338134702</v>
      </c>
      <c r="G732" s="1">
        <v>13739600</v>
      </c>
      <c r="H732" s="1">
        <f t="shared" si="11"/>
        <v>2.0526164841526773E-3</v>
      </c>
    </row>
    <row r="733" spans="1:8" x14ac:dyDescent="0.35">
      <c r="A733" s="3">
        <v>45259</v>
      </c>
      <c r="B733" s="1">
        <v>58.580001831054602</v>
      </c>
      <c r="C733" s="1">
        <v>58.669998168945298</v>
      </c>
      <c r="D733" s="1">
        <v>58.099998474121001</v>
      </c>
      <c r="E733" s="1">
        <v>58.2299995422363</v>
      </c>
      <c r="F733" s="1">
        <v>54.451404571533203</v>
      </c>
      <c r="G733" s="1">
        <v>11263600</v>
      </c>
      <c r="H733" s="1">
        <f t="shared" si="11"/>
        <v>-5.9746913367451481E-3</v>
      </c>
    </row>
    <row r="734" spans="1:8" x14ac:dyDescent="0.35">
      <c r="A734" s="3">
        <v>45260</v>
      </c>
      <c r="B734" s="1">
        <v>57.959999084472599</v>
      </c>
      <c r="C734" s="1">
        <v>58.459999084472599</v>
      </c>
      <c r="D734" s="1">
        <v>57.599998474121001</v>
      </c>
      <c r="E734" s="1">
        <v>58.439998626708899</v>
      </c>
      <c r="F734" s="1">
        <v>55.082916259765597</v>
      </c>
      <c r="G734" s="1">
        <v>22727500</v>
      </c>
      <c r="H734" s="1">
        <f t="shared" si="11"/>
        <v>1.1597711632998779E-2</v>
      </c>
    </row>
    <row r="735" spans="1:8" x14ac:dyDescent="0.35">
      <c r="A735" s="3">
        <v>45261</v>
      </c>
      <c r="B735" s="1">
        <v>58.270000457763601</v>
      </c>
      <c r="C735" s="1">
        <v>58.689998626708899</v>
      </c>
      <c r="D735" s="1">
        <v>58.240001678466797</v>
      </c>
      <c r="E735" s="1">
        <v>58.639999389648402</v>
      </c>
      <c r="F735" s="1">
        <v>55.271427154541001</v>
      </c>
      <c r="G735" s="1">
        <v>15371200</v>
      </c>
      <c r="H735" s="1">
        <f t="shared" si="11"/>
        <v>3.4223114456468874E-3</v>
      </c>
    </row>
    <row r="736" spans="1:8" x14ac:dyDescent="0.35">
      <c r="A736" s="3">
        <v>45264</v>
      </c>
      <c r="B736" s="1">
        <v>58.590000152587798</v>
      </c>
      <c r="C736" s="1">
        <v>58.959999084472599</v>
      </c>
      <c r="D736" s="1">
        <v>58.439998626708899</v>
      </c>
      <c r="E736" s="1">
        <v>58.569999694824197</v>
      </c>
      <c r="F736" s="1">
        <v>55.205451965332003</v>
      </c>
      <c r="G736" s="1">
        <v>14942200</v>
      </c>
      <c r="H736" s="1">
        <f t="shared" si="11"/>
        <v>-1.1936581450037369E-3</v>
      </c>
    </row>
    <row r="737" spans="1:8" x14ac:dyDescent="0.35">
      <c r="A737" s="3">
        <v>45265</v>
      </c>
      <c r="B737" s="1">
        <v>58.549999237060497</v>
      </c>
      <c r="C737" s="1">
        <v>58.830001831054602</v>
      </c>
      <c r="D737" s="1">
        <v>58.419998168945298</v>
      </c>
      <c r="E737" s="1">
        <v>58.659999847412102</v>
      </c>
      <c r="F737" s="1">
        <v>55.290279388427699</v>
      </c>
      <c r="G737" s="1">
        <v>11891500</v>
      </c>
      <c r="H737" s="1">
        <f t="shared" si="11"/>
        <v>1.5365769154279557E-3</v>
      </c>
    </row>
    <row r="738" spans="1:8" x14ac:dyDescent="0.35">
      <c r="A738" s="3">
        <v>45266</v>
      </c>
      <c r="B738" s="1">
        <v>58.560001373291001</v>
      </c>
      <c r="C738" s="1">
        <v>58.7299995422363</v>
      </c>
      <c r="D738" s="1">
        <v>58.209999084472599</v>
      </c>
      <c r="E738" s="1">
        <v>58.599998474121001</v>
      </c>
      <c r="F738" s="1">
        <v>55.233726501464801</v>
      </c>
      <c r="G738" s="1">
        <v>14868500</v>
      </c>
      <c r="H738" s="1">
        <f t="shared" si="11"/>
        <v>-1.0228359774708299E-3</v>
      </c>
    </row>
    <row r="739" spans="1:8" x14ac:dyDescent="0.35">
      <c r="A739" s="3">
        <v>45267</v>
      </c>
      <c r="B739" s="1">
        <v>58.669998168945298</v>
      </c>
      <c r="C739" s="1">
        <v>58.889999389648402</v>
      </c>
      <c r="D739" s="1">
        <v>58.389999389648402</v>
      </c>
      <c r="E739" s="1">
        <v>58.740001678466797</v>
      </c>
      <c r="F739" s="1">
        <v>55.365684509277301</v>
      </c>
      <c r="G739" s="1">
        <v>11587900</v>
      </c>
      <c r="H739" s="1">
        <f t="shared" si="11"/>
        <v>2.3890839197496564E-3</v>
      </c>
    </row>
    <row r="740" spans="1:8" x14ac:dyDescent="0.35">
      <c r="A740" s="3">
        <v>45268</v>
      </c>
      <c r="B740" s="1">
        <v>58.740001678466797</v>
      </c>
      <c r="C740" s="1">
        <v>58.75</v>
      </c>
      <c r="D740" s="1">
        <v>58.369998931884702</v>
      </c>
      <c r="E740" s="1">
        <v>58.610000610351499</v>
      </c>
      <c r="F740" s="1">
        <v>55.243152618408203</v>
      </c>
      <c r="G740" s="1">
        <v>11178700</v>
      </c>
      <c r="H740" s="1">
        <f t="shared" si="11"/>
        <v>-2.2131378299597476E-3</v>
      </c>
    </row>
    <row r="741" spans="1:8" x14ac:dyDescent="0.35">
      <c r="A741" s="3">
        <v>45271</v>
      </c>
      <c r="B741" s="1">
        <v>58.830001831054602</v>
      </c>
      <c r="C741" s="1">
        <v>59.090000152587798</v>
      </c>
      <c r="D741" s="1">
        <v>58.5</v>
      </c>
      <c r="E741" s="1">
        <v>59.040000915527301</v>
      </c>
      <c r="F741" s="1">
        <v>55.6484565734863</v>
      </c>
      <c r="G741" s="1">
        <v>14524800</v>
      </c>
      <c r="H741" s="1">
        <f t="shared" si="11"/>
        <v>7.3367274651707807E-3</v>
      </c>
    </row>
    <row r="742" spans="1:8" x14ac:dyDescent="0.35">
      <c r="A742" s="3">
        <v>45272</v>
      </c>
      <c r="B742" s="1">
        <v>59.200000762939403</v>
      </c>
      <c r="C742" s="1">
        <v>59.419998168945298</v>
      </c>
      <c r="D742" s="1">
        <v>58.900001525878899</v>
      </c>
      <c r="E742" s="1">
        <v>59.419998168945298</v>
      </c>
      <c r="F742" s="1">
        <v>56.006622314453097</v>
      </c>
      <c r="G742" s="1">
        <v>12899000</v>
      </c>
      <c r="H742" s="1">
        <f t="shared" si="11"/>
        <v>6.4362205714335102E-3</v>
      </c>
    </row>
    <row r="743" spans="1:8" x14ac:dyDescent="0.35">
      <c r="A743" s="3">
        <v>45273</v>
      </c>
      <c r="B743" s="1">
        <v>59.450000762939403</v>
      </c>
      <c r="C743" s="1">
        <v>60.020000457763601</v>
      </c>
      <c r="D743" s="1">
        <v>59.259998321533203</v>
      </c>
      <c r="E743" s="1">
        <v>59.930000305175703</v>
      </c>
      <c r="F743" s="1">
        <v>56.487327575683501</v>
      </c>
      <c r="G743" s="1">
        <v>16196800</v>
      </c>
      <c r="H743" s="1">
        <f t="shared" si="11"/>
        <v>8.5830075331351265E-3</v>
      </c>
    </row>
    <row r="744" spans="1:8" x14ac:dyDescent="0.35">
      <c r="A744" s="3">
        <v>45274</v>
      </c>
      <c r="B744" s="1">
        <v>59.970001220703097</v>
      </c>
      <c r="C744" s="1">
        <v>60.040000915527301</v>
      </c>
      <c r="D744" s="1">
        <v>58.770000457763601</v>
      </c>
      <c r="E744" s="1">
        <v>59.040000915527301</v>
      </c>
      <c r="F744" s="1">
        <v>55.6484565734863</v>
      </c>
      <c r="G744" s="1">
        <v>22478300</v>
      </c>
      <c r="H744" s="1">
        <f t="shared" si="11"/>
        <v>-1.4850605227752294E-2</v>
      </c>
    </row>
    <row r="745" spans="1:8" x14ac:dyDescent="0.35">
      <c r="A745" s="3">
        <v>45275</v>
      </c>
      <c r="B745" s="1">
        <v>58.830001831054602</v>
      </c>
      <c r="C745" s="1">
        <v>59.169998168945298</v>
      </c>
      <c r="D745" s="1">
        <v>57.799999237060497</v>
      </c>
      <c r="E745" s="1">
        <v>58.599998474121001</v>
      </c>
      <c r="F745" s="1">
        <v>55.233726501464801</v>
      </c>
      <c r="G745" s="1">
        <v>65177400</v>
      </c>
      <c r="H745" s="1">
        <f t="shared" si="11"/>
        <v>-7.4526787903601384E-3</v>
      </c>
    </row>
    <row r="746" spans="1:8" x14ac:dyDescent="0.35">
      <c r="A746" s="3">
        <v>45278</v>
      </c>
      <c r="B746" s="1">
        <v>58.799999237060497</v>
      </c>
      <c r="C746" s="1">
        <v>59.490001678466797</v>
      </c>
      <c r="D746" s="1">
        <v>58.619998931884702</v>
      </c>
      <c r="E746" s="1">
        <v>59.020000457763601</v>
      </c>
      <c r="F746" s="1">
        <v>55.629600524902301</v>
      </c>
      <c r="G746" s="1">
        <v>16717700</v>
      </c>
      <c r="H746" s="1">
        <f t="shared" si="11"/>
        <v>7.1672517592489687E-3</v>
      </c>
    </row>
    <row r="747" spans="1:8" x14ac:dyDescent="0.35">
      <c r="A747" s="3">
        <v>45279</v>
      </c>
      <c r="B747" s="1">
        <v>59</v>
      </c>
      <c r="C747" s="1">
        <v>59.200000762939403</v>
      </c>
      <c r="D747" s="1">
        <v>58.639999389648402</v>
      </c>
      <c r="E747" s="1">
        <v>58.830001831054602</v>
      </c>
      <c r="F747" s="1">
        <v>55.450511932372997</v>
      </c>
      <c r="G747" s="1">
        <v>14612200</v>
      </c>
      <c r="H747" s="1">
        <f t="shared" si="11"/>
        <v>-3.219303946810402E-3</v>
      </c>
    </row>
    <row r="748" spans="1:8" x14ac:dyDescent="0.35">
      <c r="A748" s="3">
        <v>45280</v>
      </c>
      <c r="B748" s="1">
        <v>58.5</v>
      </c>
      <c r="C748" s="1">
        <v>58.669998168945298</v>
      </c>
      <c r="D748" s="1">
        <v>57.569999694824197</v>
      </c>
      <c r="E748" s="1">
        <v>57.610000610351499</v>
      </c>
      <c r="F748" s="1">
        <v>54.3005981445312</v>
      </c>
      <c r="G748" s="1">
        <v>17701000</v>
      </c>
      <c r="H748" s="1">
        <f t="shared" si="11"/>
        <v>-2.0737658639549128E-2</v>
      </c>
    </row>
    <row r="749" spans="1:8" x14ac:dyDescent="0.35">
      <c r="A749" s="3">
        <v>45281</v>
      </c>
      <c r="B749" s="1">
        <v>57.849998474121001</v>
      </c>
      <c r="C749" s="1">
        <v>58.069999694824197</v>
      </c>
      <c r="D749" s="1">
        <v>57.470001220703097</v>
      </c>
      <c r="E749" s="1">
        <v>57.990001678466797</v>
      </c>
      <c r="F749" s="1">
        <v>54.658767700195298</v>
      </c>
      <c r="G749" s="1">
        <v>11725100</v>
      </c>
      <c r="H749" s="1">
        <f t="shared" si="11"/>
        <v>6.5960517545453692E-3</v>
      </c>
    </row>
    <row r="750" spans="1:8" x14ac:dyDescent="0.35">
      <c r="A750" s="3">
        <v>45282</v>
      </c>
      <c r="B750" s="1">
        <v>58.119998931884702</v>
      </c>
      <c r="C750" s="1">
        <v>58.459999084472599</v>
      </c>
      <c r="D750" s="1">
        <v>58.020000457763601</v>
      </c>
      <c r="E750" s="1">
        <v>58.319999694824197</v>
      </c>
      <c r="F750" s="1">
        <v>54.969802856445298</v>
      </c>
      <c r="G750" s="1">
        <v>9029400</v>
      </c>
      <c r="H750" s="1">
        <f t="shared" si="11"/>
        <v>5.6904897299557789E-3</v>
      </c>
    </row>
    <row r="751" spans="1:8" x14ac:dyDescent="0.35">
      <c r="A751" s="3">
        <v>45286</v>
      </c>
      <c r="B751" s="1">
        <v>58.060001373291001</v>
      </c>
      <c r="C751" s="1">
        <v>58.709999084472599</v>
      </c>
      <c r="D751" s="1">
        <v>58.060001373291001</v>
      </c>
      <c r="E751" s="1">
        <v>58.560001373291001</v>
      </c>
      <c r="F751" s="1">
        <v>55.196025848388601</v>
      </c>
      <c r="G751" s="1">
        <v>6422500</v>
      </c>
      <c r="H751" s="1">
        <f t="shared" si="11"/>
        <v>4.1154048257019994E-3</v>
      </c>
    </row>
    <row r="752" spans="1:8" x14ac:dyDescent="0.35">
      <c r="A752" s="3">
        <v>45287</v>
      </c>
      <c r="B752" s="1">
        <v>58.639999389648402</v>
      </c>
      <c r="C752" s="1">
        <v>58.770000457763601</v>
      </c>
      <c r="D752" s="1">
        <v>58.400001525878899</v>
      </c>
      <c r="E752" s="1">
        <v>58.709999084472599</v>
      </c>
      <c r="F752" s="1">
        <v>55.337406158447202</v>
      </c>
      <c r="G752" s="1">
        <v>8560100</v>
      </c>
      <c r="H752" s="1">
        <f t="shared" si="11"/>
        <v>2.561421911913398E-3</v>
      </c>
    </row>
    <row r="753" spans="1:8" x14ac:dyDescent="0.35">
      <c r="A753" s="3">
        <v>45288</v>
      </c>
      <c r="B753" s="1">
        <v>58.650001525878899</v>
      </c>
      <c r="C753" s="1">
        <v>58.869998931884702</v>
      </c>
      <c r="D753" s="1">
        <v>58.529998779296797</v>
      </c>
      <c r="E753" s="1">
        <v>58.75</v>
      </c>
      <c r="F753" s="1">
        <v>55.375110626220703</v>
      </c>
      <c r="G753" s="1">
        <v>8400100</v>
      </c>
      <c r="H753" s="1">
        <f t="shared" si="11"/>
        <v>6.8135589271283359E-4</v>
      </c>
    </row>
    <row r="754" spans="1:8" x14ac:dyDescent="0.35">
      <c r="A754" s="3">
        <v>45289</v>
      </c>
      <c r="B754" s="1">
        <v>58.740001678466797</v>
      </c>
      <c r="C754" s="1">
        <v>58.9799995422363</v>
      </c>
      <c r="D754" s="1">
        <v>58.630001068115199</v>
      </c>
      <c r="E754" s="1">
        <v>58.930000305175703</v>
      </c>
      <c r="F754" s="1">
        <v>55.544765472412102</v>
      </c>
      <c r="G754" s="1">
        <v>9244300</v>
      </c>
      <c r="H754" s="1">
        <f t="shared" si="11"/>
        <v>3.0637382801194041E-3</v>
      </c>
    </row>
    <row r="755" spans="1:8" x14ac:dyDescent="0.35">
      <c r="A755" s="3">
        <v>45293</v>
      </c>
      <c r="B755" s="1">
        <v>58.799999237060497</v>
      </c>
      <c r="C755" s="1">
        <v>59.880001068115199</v>
      </c>
      <c r="D755" s="1">
        <v>58.669998168945298</v>
      </c>
      <c r="E755" s="1">
        <v>59.819999694824197</v>
      </c>
      <c r="F755" s="1">
        <v>56.383640289306598</v>
      </c>
      <c r="G755" s="1">
        <v>16322600</v>
      </c>
      <c r="H755" s="1">
        <f t="shared" si="11"/>
        <v>1.5102679969206943E-2</v>
      </c>
    </row>
    <row r="756" spans="1:8" x14ac:dyDescent="0.35">
      <c r="A756" s="3">
        <v>45294</v>
      </c>
      <c r="B756" s="1">
        <v>59.930000305175703</v>
      </c>
      <c r="C756" s="1">
        <v>60.200000762939403</v>
      </c>
      <c r="D756" s="1">
        <v>59.759998321533203</v>
      </c>
      <c r="E756" s="1">
        <v>59.959999084472599</v>
      </c>
      <c r="F756" s="1">
        <v>56.515598297119098</v>
      </c>
      <c r="G756" s="1">
        <v>14830600</v>
      </c>
      <c r="H756" s="1">
        <f t="shared" si="11"/>
        <v>2.3403598479172054E-3</v>
      </c>
    </row>
    <row r="757" spans="1:8" x14ac:dyDescent="0.35">
      <c r="A757" s="3">
        <v>45295</v>
      </c>
      <c r="B757" s="1">
        <v>60.049999237060497</v>
      </c>
      <c r="C757" s="1">
        <v>60.259998321533203</v>
      </c>
      <c r="D757" s="1">
        <v>59.659999847412102</v>
      </c>
      <c r="E757" s="1">
        <v>59.759998321533203</v>
      </c>
      <c r="F757" s="1">
        <v>56.327095031738203</v>
      </c>
      <c r="G757" s="1">
        <v>12912900</v>
      </c>
      <c r="H757" s="1">
        <f t="shared" si="11"/>
        <v>-3.3354201505552128E-3</v>
      </c>
    </row>
    <row r="758" spans="1:8" x14ac:dyDescent="0.35">
      <c r="A758" s="3">
        <v>45296</v>
      </c>
      <c r="B758" s="1">
        <v>59.799999237060497</v>
      </c>
      <c r="C758" s="1">
        <v>59.950000762939403</v>
      </c>
      <c r="D758" s="1">
        <v>59.090000152587798</v>
      </c>
      <c r="E758" s="1">
        <v>59.669998168945298</v>
      </c>
      <c r="F758" s="1">
        <v>56.242256164550703</v>
      </c>
      <c r="G758" s="1">
        <v>10412800</v>
      </c>
      <c r="H758" s="1">
        <f t="shared" si="11"/>
        <v>-1.5061821870930232E-3</v>
      </c>
    </row>
    <row r="759" spans="1:8" x14ac:dyDescent="0.35">
      <c r="A759" s="3">
        <v>45299</v>
      </c>
      <c r="B759" s="1">
        <v>59.680000305175703</v>
      </c>
      <c r="C759" s="1">
        <v>60.180000305175703</v>
      </c>
      <c r="D759" s="1">
        <v>59.419998168945298</v>
      </c>
      <c r="E759" s="1">
        <v>60.110000610351499</v>
      </c>
      <c r="F759" s="1">
        <v>56.656982421875</v>
      </c>
      <c r="G759" s="1">
        <v>11554600</v>
      </c>
      <c r="H759" s="1">
        <f t="shared" si="11"/>
        <v>7.3739263963897919E-3</v>
      </c>
    </row>
    <row r="760" spans="1:8" x14ac:dyDescent="0.35">
      <c r="A760" s="3">
        <v>45300</v>
      </c>
      <c r="B760" s="1">
        <v>59.990001678466797</v>
      </c>
      <c r="C760" s="1">
        <v>60.139999389648402</v>
      </c>
      <c r="D760" s="1">
        <v>59.619998931884702</v>
      </c>
      <c r="E760" s="1">
        <v>60</v>
      </c>
      <c r="F760" s="1">
        <v>56.553306579589801</v>
      </c>
      <c r="G760" s="1">
        <v>10493700</v>
      </c>
      <c r="H760" s="1">
        <f t="shared" si="11"/>
        <v>-1.8298864121144955E-3</v>
      </c>
    </row>
    <row r="761" spans="1:8" x14ac:dyDescent="0.35">
      <c r="A761" s="3">
        <v>45301</v>
      </c>
      <c r="B761" s="1">
        <v>60.220001220703097</v>
      </c>
      <c r="C761" s="1">
        <v>60.409999847412102</v>
      </c>
      <c r="D761" s="1">
        <v>59.9799995422363</v>
      </c>
      <c r="E761" s="1">
        <v>60.200000762939403</v>
      </c>
      <c r="F761" s="1">
        <v>56.741809844970703</v>
      </c>
      <c r="G761" s="1">
        <v>12258000</v>
      </c>
      <c r="H761" s="1">
        <f t="shared" si="11"/>
        <v>3.3331961786463109E-3</v>
      </c>
    </row>
    <row r="762" spans="1:8" x14ac:dyDescent="0.35">
      <c r="A762" s="3">
        <v>45302</v>
      </c>
      <c r="B762" s="1">
        <v>60.25</v>
      </c>
      <c r="C762" s="1">
        <v>60.259998321533203</v>
      </c>
      <c r="D762" s="1">
        <v>59.689998626708899</v>
      </c>
      <c r="E762" s="1">
        <v>59.810001373291001</v>
      </c>
      <c r="F762" s="1">
        <v>56.374221801757798</v>
      </c>
      <c r="G762" s="1">
        <v>13754200</v>
      </c>
      <c r="H762" s="1">
        <f t="shared" si="11"/>
        <v>-6.4782572888884673E-3</v>
      </c>
    </row>
    <row r="763" spans="1:8" x14ac:dyDescent="0.35">
      <c r="A763" s="3">
        <v>45303</v>
      </c>
      <c r="B763" s="1">
        <v>60.080001831054602</v>
      </c>
      <c r="C763" s="1">
        <v>60.459999084472599</v>
      </c>
      <c r="D763" s="1">
        <v>59.869998931884702</v>
      </c>
      <c r="E763" s="1">
        <v>60.389999389648402</v>
      </c>
      <c r="F763" s="1">
        <v>56.920906066894503</v>
      </c>
      <c r="G763" s="1">
        <v>13218000</v>
      </c>
      <c r="H763" s="1">
        <f t="shared" si="11"/>
        <v>9.697415727690957E-3</v>
      </c>
    </row>
    <row r="764" spans="1:8" x14ac:dyDescent="0.35">
      <c r="A764" s="3">
        <v>45307</v>
      </c>
      <c r="B764" s="1">
        <v>60.389999389648402</v>
      </c>
      <c r="C764" s="1">
        <v>60.430000305175703</v>
      </c>
      <c r="D764" s="1">
        <v>59.849998474121001</v>
      </c>
      <c r="E764" s="1">
        <v>59.990001678466797</v>
      </c>
      <c r="F764" s="1">
        <v>56.543876647949197</v>
      </c>
      <c r="G764" s="1">
        <v>11826900</v>
      </c>
      <c r="H764" s="1">
        <f t="shared" si="11"/>
        <v>-6.6237423997118636E-3</v>
      </c>
    </row>
    <row r="765" spans="1:8" x14ac:dyDescent="0.35">
      <c r="A765" s="3">
        <v>45308</v>
      </c>
      <c r="B765" s="1">
        <v>59.860000610351499</v>
      </c>
      <c r="C765" s="1">
        <v>60.209999084472599</v>
      </c>
      <c r="D765" s="1">
        <v>59.819999694824197</v>
      </c>
      <c r="E765" s="1">
        <v>59.990001678466797</v>
      </c>
      <c r="F765" s="1">
        <v>56.543876647949197</v>
      </c>
      <c r="G765" s="1">
        <v>8982100</v>
      </c>
      <c r="H765" s="1">
        <f t="shared" si="11"/>
        <v>0</v>
      </c>
    </row>
    <row r="766" spans="1:8" x14ac:dyDescent="0.35">
      <c r="A766" s="3">
        <v>45309</v>
      </c>
      <c r="B766" s="1">
        <v>59.689998626708899</v>
      </c>
      <c r="C766" s="1">
        <v>60.2299995422363</v>
      </c>
      <c r="D766" s="1">
        <v>59.529998779296797</v>
      </c>
      <c r="E766" s="1">
        <v>60.159999847412102</v>
      </c>
      <c r="F766" s="1">
        <v>56.704113006591797</v>
      </c>
      <c r="G766" s="1">
        <v>10397700</v>
      </c>
      <c r="H766" s="1">
        <f t="shared" si="11"/>
        <v>2.83384104772751E-3</v>
      </c>
    </row>
    <row r="767" spans="1:8" x14ac:dyDescent="0.35">
      <c r="A767" s="3">
        <v>45310</v>
      </c>
      <c r="B767" s="1">
        <v>60.259998321533203</v>
      </c>
      <c r="C767" s="1">
        <v>60.279998779296797</v>
      </c>
      <c r="D767" s="1">
        <v>59.639999389648402</v>
      </c>
      <c r="E767" s="1">
        <v>59.830001831054602</v>
      </c>
      <c r="F767" s="1">
        <v>56.393070220947202</v>
      </c>
      <c r="G767" s="1">
        <v>14392600</v>
      </c>
      <c r="H767" s="1">
        <f t="shared" si="11"/>
        <v>-5.485365507938318E-3</v>
      </c>
    </row>
    <row r="768" spans="1:8" x14ac:dyDescent="0.35">
      <c r="A768" s="3">
        <v>45313</v>
      </c>
      <c r="B768" s="1">
        <v>59.759998321533203</v>
      </c>
      <c r="C768" s="1">
        <v>60.069999694824197</v>
      </c>
      <c r="D768" s="1">
        <v>59.439998626708899</v>
      </c>
      <c r="E768" s="1">
        <v>59.569999694824197</v>
      </c>
      <c r="F768" s="1">
        <v>56.148002624511697</v>
      </c>
      <c r="G768" s="1">
        <v>14314300</v>
      </c>
      <c r="H768" s="1">
        <f t="shared" si="11"/>
        <v>-4.3457040993748535E-3</v>
      </c>
    </row>
    <row r="769" spans="1:8" x14ac:dyDescent="0.35">
      <c r="A769" s="3">
        <v>45314</v>
      </c>
      <c r="B769" s="1">
        <v>59.529998779296797</v>
      </c>
      <c r="C769" s="1">
        <v>60</v>
      </c>
      <c r="D769" s="1">
        <v>59.459999084472599</v>
      </c>
      <c r="E769" s="1">
        <v>59.849998474121001</v>
      </c>
      <c r="F769" s="1">
        <v>56.411918640136697</v>
      </c>
      <c r="G769" s="1">
        <v>14481600</v>
      </c>
      <c r="H769" s="1">
        <f t="shared" si="11"/>
        <v>4.7003633840714066E-3</v>
      </c>
    </row>
    <row r="770" spans="1:8" x14ac:dyDescent="0.35">
      <c r="A770" s="3">
        <v>45315</v>
      </c>
      <c r="B770" s="1">
        <v>59.799999237060497</v>
      </c>
      <c r="C770" s="1">
        <v>59.810001373291001</v>
      </c>
      <c r="D770" s="1">
        <v>58.889999389648402</v>
      </c>
      <c r="E770" s="1">
        <v>58.909999847412102</v>
      </c>
      <c r="F770" s="1">
        <v>55.525917053222599</v>
      </c>
      <c r="G770" s="1">
        <v>16370500</v>
      </c>
      <c r="H770" s="1">
        <f t="shared" si="11"/>
        <v>-1.5705928964516974E-2</v>
      </c>
    </row>
    <row r="771" spans="1:8" x14ac:dyDescent="0.35">
      <c r="A771" s="3">
        <v>45316</v>
      </c>
      <c r="B771" s="1">
        <v>59.009998321533203</v>
      </c>
      <c r="C771" s="1">
        <v>59.169998168945298</v>
      </c>
      <c r="D771" s="1">
        <v>58.659999847412102</v>
      </c>
      <c r="E771" s="1">
        <v>59.159999847412102</v>
      </c>
      <c r="F771" s="1">
        <v>55.761558532714801</v>
      </c>
      <c r="G771" s="1">
        <v>14899700</v>
      </c>
      <c r="H771" s="1">
        <f t="shared" si="11"/>
        <v>4.2438106743259204E-3</v>
      </c>
    </row>
    <row r="772" spans="1:8" x14ac:dyDescent="0.35">
      <c r="A772" s="3">
        <v>45317</v>
      </c>
      <c r="B772" s="1">
        <v>59.25</v>
      </c>
      <c r="C772" s="1">
        <v>59.490001678466797</v>
      </c>
      <c r="D772" s="1">
        <v>59.130001068115199</v>
      </c>
      <c r="E772" s="1">
        <v>59.369998931884702</v>
      </c>
      <c r="F772" s="1">
        <v>55.959499359130803</v>
      </c>
      <c r="G772" s="1">
        <v>13025100</v>
      </c>
      <c r="H772" s="1">
        <f t="shared" ref="H772:H835" si="12">(F772-F771)/F771</f>
        <v>3.5497721302009755E-3</v>
      </c>
    </row>
    <row r="773" spans="1:8" x14ac:dyDescent="0.35">
      <c r="A773" s="3">
        <v>45320</v>
      </c>
      <c r="B773" s="1">
        <v>59.340000152587798</v>
      </c>
      <c r="C773" s="1">
        <v>59.790000915527301</v>
      </c>
      <c r="D773" s="1">
        <v>59.169998168945298</v>
      </c>
      <c r="E773" s="1">
        <v>59.7299995422363</v>
      </c>
      <c r="F773" s="1">
        <v>56.298820495605398</v>
      </c>
      <c r="G773" s="1">
        <v>14547100</v>
      </c>
      <c r="H773" s="1">
        <f t="shared" si="12"/>
        <v>6.0636914261319027E-3</v>
      </c>
    </row>
    <row r="774" spans="1:8" x14ac:dyDescent="0.35">
      <c r="A774" s="3">
        <v>45321</v>
      </c>
      <c r="B774" s="1">
        <v>59.849998474121001</v>
      </c>
      <c r="C774" s="1">
        <v>60.020000457763601</v>
      </c>
      <c r="D774" s="1">
        <v>59.450000762939403</v>
      </c>
      <c r="E774" s="1">
        <v>59.900001525878899</v>
      </c>
      <c r="F774" s="1">
        <v>56.4590454101562</v>
      </c>
      <c r="G774" s="1">
        <v>22061500</v>
      </c>
      <c r="H774" s="1">
        <f t="shared" si="12"/>
        <v>2.8459728488150031E-3</v>
      </c>
    </row>
    <row r="775" spans="1:8" x14ac:dyDescent="0.35">
      <c r="A775" s="3">
        <v>45322</v>
      </c>
      <c r="B775" s="1">
        <v>60.099998474121001</v>
      </c>
      <c r="C775" s="1">
        <v>60.450000762939403</v>
      </c>
      <c r="D775" s="1">
        <v>59.290000915527301</v>
      </c>
      <c r="E775" s="1">
        <v>59.490001678466797</v>
      </c>
      <c r="F775" s="1">
        <v>56.072601318359297</v>
      </c>
      <c r="G775" s="1">
        <v>22837000</v>
      </c>
      <c r="H775" s="1">
        <f t="shared" si="12"/>
        <v>-6.8446798735174418E-3</v>
      </c>
    </row>
    <row r="776" spans="1:8" x14ac:dyDescent="0.35">
      <c r="A776" s="3">
        <v>45323</v>
      </c>
      <c r="B776" s="1">
        <v>59.569999694824197</v>
      </c>
      <c r="C776" s="1">
        <v>61.009998321533203</v>
      </c>
      <c r="D776" s="1">
        <v>59.360000610351499</v>
      </c>
      <c r="E776" s="1">
        <v>60.9799995422363</v>
      </c>
      <c r="F776" s="1">
        <v>57.477005004882798</v>
      </c>
      <c r="G776" s="1">
        <v>15870900</v>
      </c>
      <c r="H776" s="1">
        <f t="shared" si="12"/>
        <v>2.5046166104365688E-2</v>
      </c>
    </row>
    <row r="777" spans="1:8" x14ac:dyDescent="0.35">
      <c r="A777" s="3">
        <v>45324</v>
      </c>
      <c r="B777" s="1">
        <v>60.819999694824197</v>
      </c>
      <c r="C777" s="1">
        <v>60.869998931884702</v>
      </c>
      <c r="D777" s="1">
        <v>60.2299995422363</v>
      </c>
      <c r="E777" s="1">
        <v>60.540000915527301</v>
      </c>
      <c r="F777" s="1">
        <v>57.062282562255803</v>
      </c>
      <c r="G777" s="1">
        <v>17544900</v>
      </c>
      <c r="H777" s="1">
        <f t="shared" si="12"/>
        <v>-7.2154497714653739E-3</v>
      </c>
    </row>
    <row r="778" spans="1:8" x14ac:dyDescent="0.35">
      <c r="A778" s="3">
        <v>45327</v>
      </c>
      <c r="B778" s="1">
        <v>60.380001068115199</v>
      </c>
      <c r="C778" s="1">
        <v>60.380001068115199</v>
      </c>
      <c r="D778" s="1">
        <v>59.880001068115199</v>
      </c>
      <c r="E778" s="1">
        <v>60.040000915527301</v>
      </c>
      <c r="F778" s="1">
        <v>56.5910034179687</v>
      </c>
      <c r="G778" s="1">
        <v>12759600</v>
      </c>
      <c r="H778" s="1">
        <f t="shared" si="12"/>
        <v>-8.2590307139033502E-3</v>
      </c>
    </row>
    <row r="779" spans="1:8" x14ac:dyDescent="0.35">
      <c r="A779" s="3">
        <v>45328</v>
      </c>
      <c r="B779" s="1">
        <v>59.959999084472599</v>
      </c>
      <c r="C779" s="1">
        <v>60.049999237060497</v>
      </c>
      <c r="D779" s="1">
        <v>59.680000305175703</v>
      </c>
      <c r="E779" s="1">
        <v>59.939998626708899</v>
      </c>
      <c r="F779" s="1">
        <v>56.496753692626903</v>
      </c>
      <c r="G779" s="1">
        <v>12775200</v>
      </c>
      <c r="H779" s="1">
        <f t="shared" si="12"/>
        <v>-1.6654542179732905E-3</v>
      </c>
    </row>
    <row r="780" spans="1:8" x14ac:dyDescent="0.35">
      <c r="A780" s="3">
        <v>45329</v>
      </c>
      <c r="B780" s="1">
        <v>60.069999694824197</v>
      </c>
      <c r="C780" s="1">
        <v>60.209999084472599</v>
      </c>
      <c r="D780" s="1">
        <v>59.939998626708899</v>
      </c>
      <c r="E780" s="1">
        <v>59.990001678466797</v>
      </c>
      <c r="F780" s="1">
        <v>56.543876647949197</v>
      </c>
      <c r="G780" s="1">
        <v>10259900</v>
      </c>
      <c r="H780" s="1">
        <f t="shared" si="12"/>
        <v>8.3408253116043756E-4</v>
      </c>
    </row>
    <row r="781" spans="1:8" x14ac:dyDescent="0.35">
      <c r="A781" s="3">
        <v>45330</v>
      </c>
      <c r="B781" s="1">
        <v>59.889999389648402</v>
      </c>
      <c r="C781" s="1">
        <v>59.970001220703097</v>
      </c>
      <c r="D781" s="1">
        <v>59.409999847412102</v>
      </c>
      <c r="E781" s="1">
        <v>59.830001831054602</v>
      </c>
      <c r="F781" s="1">
        <v>56.393070220947202</v>
      </c>
      <c r="G781" s="1">
        <v>12874800</v>
      </c>
      <c r="H781" s="1">
        <f t="shared" si="12"/>
        <v>-2.6670691141489921E-3</v>
      </c>
    </row>
    <row r="782" spans="1:8" x14ac:dyDescent="0.35">
      <c r="A782" s="3">
        <v>45331</v>
      </c>
      <c r="B782" s="1">
        <v>59.470001220703097</v>
      </c>
      <c r="C782" s="1">
        <v>59.580001831054602</v>
      </c>
      <c r="D782" s="1">
        <v>59.029998779296797</v>
      </c>
      <c r="E782" s="1">
        <v>59.560001373291001</v>
      </c>
      <c r="F782" s="1">
        <v>56.138580322265597</v>
      </c>
      <c r="G782" s="1">
        <v>15235300</v>
      </c>
      <c r="H782" s="1">
        <f t="shared" si="12"/>
        <v>-4.5127867251156485E-3</v>
      </c>
    </row>
    <row r="783" spans="1:8" x14ac:dyDescent="0.35">
      <c r="A783" s="3">
        <v>45334</v>
      </c>
      <c r="B783" s="1">
        <v>59.659999847412102</v>
      </c>
      <c r="C783" s="1">
        <v>59.759998321533203</v>
      </c>
      <c r="D783" s="1">
        <v>58.959999084472599</v>
      </c>
      <c r="E783" s="1">
        <v>59.700000762939403</v>
      </c>
      <c r="F783" s="1">
        <v>56.270538330078097</v>
      </c>
      <c r="G783" s="1">
        <v>13516800</v>
      </c>
      <c r="H783" s="1">
        <f t="shared" si="12"/>
        <v>2.3505761466533384E-3</v>
      </c>
    </row>
    <row r="784" spans="1:8" x14ac:dyDescent="0.35">
      <c r="A784" s="3">
        <v>45335</v>
      </c>
      <c r="B784" s="1">
        <v>59.5</v>
      </c>
      <c r="C784" s="1">
        <v>60.659999847412102</v>
      </c>
      <c r="D784" s="1">
        <v>58.790000915527301</v>
      </c>
      <c r="E784" s="1">
        <v>59.349998474121001</v>
      </c>
      <c r="F784" s="1">
        <v>55.940639495849602</v>
      </c>
      <c r="G784" s="1">
        <v>24195700</v>
      </c>
      <c r="H784" s="1">
        <f t="shared" si="12"/>
        <v>-5.8627275305833462E-3</v>
      </c>
    </row>
    <row r="785" spans="1:8" x14ac:dyDescent="0.35">
      <c r="A785" s="3">
        <v>45336</v>
      </c>
      <c r="B785" s="1">
        <v>59.169998168945298</v>
      </c>
      <c r="C785" s="1">
        <v>59.590000152587798</v>
      </c>
      <c r="D785" s="1">
        <v>59.040000915527301</v>
      </c>
      <c r="E785" s="1">
        <v>59.290000915527301</v>
      </c>
      <c r="F785" s="1">
        <v>55.884090423583899</v>
      </c>
      <c r="G785" s="1">
        <v>15872500</v>
      </c>
      <c r="H785" s="1">
        <f t="shared" si="12"/>
        <v>-1.0108763999721294E-3</v>
      </c>
    </row>
    <row r="786" spans="1:8" x14ac:dyDescent="0.35">
      <c r="A786" s="3">
        <v>45337</v>
      </c>
      <c r="B786" s="1">
        <v>59.419998168945298</v>
      </c>
      <c r="C786" s="1">
        <v>59.590000152587798</v>
      </c>
      <c r="D786" s="1">
        <v>59.130001068115199</v>
      </c>
      <c r="E786" s="1">
        <v>59.400001525878899</v>
      </c>
      <c r="F786" s="1">
        <v>55.987770080566399</v>
      </c>
      <c r="G786" s="1">
        <v>13695800</v>
      </c>
      <c r="H786" s="1">
        <f t="shared" si="12"/>
        <v>1.855262494148884E-3</v>
      </c>
    </row>
    <row r="787" spans="1:8" x14ac:dyDescent="0.35">
      <c r="A787" s="3">
        <v>45338</v>
      </c>
      <c r="B787" s="1">
        <v>59.349998474121001</v>
      </c>
      <c r="C787" s="1">
        <v>59.619998931884702</v>
      </c>
      <c r="D787" s="1">
        <v>58.959999084472599</v>
      </c>
      <c r="E787" s="1">
        <v>59.389999389648402</v>
      </c>
      <c r="F787" s="1">
        <v>55.978340148925703</v>
      </c>
      <c r="G787" s="1">
        <v>13947100</v>
      </c>
      <c r="H787" s="1">
        <f t="shared" si="12"/>
        <v>-1.684284197625014E-4</v>
      </c>
    </row>
    <row r="788" spans="1:8" x14ac:dyDescent="0.35">
      <c r="A788" s="3">
        <v>45342</v>
      </c>
      <c r="B788" s="1">
        <v>59.599998474121001</v>
      </c>
      <c r="C788" s="1">
        <v>60.840000152587798</v>
      </c>
      <c r="D788" s="1">
        <v>59.509998321533203</v>
      </c>
      <c r="E788" s="1">
        <v>60.700000762939403</v>
      </c>
      <c r="F788" s="1">
        <v>57.213088989257798</v>
      </c>
      <c r="G788" s="1">
        <v>18339300</v>
      </c>
      <c r="H788" s="1">
        <f t="shared" si="12"/>
        <v>2.2057617947355154E-2</v>
      </c>
    </row>
    <row r="789" spans="1:8" x14ac:dyDescent="0.35">
      <c r="A789" s="3">
        <v>45343</v>
      </c>
      <c r="B789" s="1">
        <v>60.990001678466797</v>
      </c>
      <c r="C789" s="1">
        <v>61.279998779296797</v>
      </c>
      <c r="D789" s="1">
        <v>60.830001831054602</v>
      </c>
      <c r="E789" s="1">
        <v>61.240001678466797</v>
      </c>
      <c r="F789" s="1">
        <v>57.722072601318303</v>
      </c>
      <c r="G789" s="1">
        <v>14373000</v>
      </c>
      <c r="H789" s="1">
        <f t="shared" si="12"/>
        <v>8.8962791740902127E-3</v>
      </c>
    </row>
    <row r="790" spans="1:8" x14ac:dyDescent="0.35">
      <c r="A790" s="3">
        <v>45344</v>
      </c>
      <c r="B790" s="1">
        <v>60.990001678466797</v>
      </c>
      <c r="C790" s="1">
        <v>61.25</v>
      </c>
      <c r="D790" s="1">
        <v>60.5</v>
      </c>
      <c r="E790" s="1">
        <v>61.150001525878899</v>
      </c>
      <c r="F790" s="1">
        <v>57.637245178222599</v>
      </c>
      <c r="G790" s="1">
        <v>12982800</v>
      </c>
      <c r="H790" s="1">
        <f t="shared" si="12"/>
        <v>-1.4695838051692858E-3</v>
      </c>
    </row>
    <row r="791" spans="1:8" x14ac:dyDescent="0.35">
      <c r="A791" s="3">
        <v>45345</v>
      </c>
      <c r="B791" s="1">
        <v>61.090000152587798</v>
      </c>
      <c r="C791" s="1">
        <v>61.619998931884702</v>
      </c>
      <c r="D791" s="1">
        <v>61</v>
      </c>
      <c r="E791" s="1">
        <v>61.200000762939403</v>
      </c>
      <c r="F791" s="1">
        <v>57.684375762939403</v>
      </c>
      <c r="G791" s="1">
        <v>13612900</v>
      </c>
      <c r="H791" s="1">
        <f t="shared" si="12"/>
        <v>8.1771057188922676E-4</v>
      </c>
    </row>
    <row r="792" spans="1:8" x14ac:dyDescent="0.35">
      <c r="A792" s="3">
        <v>45348</v>
      </c>
      <c r="B792" s="1">
        <v>61.240001678466797</v>
      </c>
      <c r="C792" s="1">
        <v>61.270000457763601</v>
      </c>
      <c r="D792" s="1">
        <v>60.659999847412102</v>
      </c>
      <c r="E792" s="1">
        <v>60.709999084472599</v>
      </c>
      <c r="F792" s="1">
        <v>57.222518920898402</v>
      </c>
      <c r="G792" s="1">
        <v>10336100</v>
      </c>
      <c r="H792" s="1">
        <f t="shared" si="12"/>
        <v>-8.0066193996630106E-3</v>
      </c>
    </row>
    <row r="793" spans="1:8" x14ac:dyDescent="0.35">
      <c r="A793" s="3">
        <v>45349</v>
      </c>
      <c r="B793" s="1">
        <v>60.540000915527301</v>
      </c>
      <c r="C793" s="1">
        <v>60.779998779296797</v>
      </c>
      <c r="D793" s="1">
        <v>60.119998931884702</v>
      </c>
      <c r="E793" s="1">
        <v>60.340000152587798</v>
      </c>
      <c r="F793" s="1">
        <v>56.873775482177699</v>
      </c>
      <c r="G793" s="1">
        <v>9931100</v>
      </c>
      <c r="H793" s="1">
        <f t="shared" si="12"/>
        <v>-6.0945139308318276E-3</v>
      </c>
    </row>
    <row r="794" spans="1:8" x14ac:dyDescent="0.35">
      <c r="A794" s="3">
        <v>45350</v>
      </c>
      <c r="B794" s="1">
        <v>60.369998931884702</v>
      </c>
      <c r="C794" s="1">
        <v>60.490001678466797</v>
      </c>
      <c r="D794" s="1">
        <v>60.060001373291001</v>
      </c>
      <c r="E794" s="1">
        <v>60.400001525878899</v>
      </c>
      <c r="F794" s="1">
        <v>56.930324554443303</v>
      </c>
      <c r="G794" s="1">
        <v>8076500</v>
      </c>
      <c r="H794" s="1">
        <f t="shared" si="12"/>
        <v>9.9429080953706401E-4</v>
      </c>
    </row>
    <row r="795" spans="1:8" x14ac:dyDescent="0.35">
      <c r="A795" s="3">
        <v>45351</v>
      </c>
      <c r="B795" s="1">
        <v>60.349998474121001</v>
      </c>
      <c r="C795" s="1">
        <v>60.639999389648402</v>
      </c>
      <c r="D795" s="1">
        <v>59.900001525878899</v>
      </c>
      <c r="E795" s="1">
        <v>60.020000457763601</v>
      </c>
      <c r="F795" s="1">
        <v>56.572154998779297</v>
      </c>
      <c r="G795" s="1">
        <v>18152700</v>
      </c>
      <c r="H795" s="1">
        <f t="shared" si="12"/>
        <v>-6.2913668324775292E-3</v>
      </c>
    </row>
    <row r="796" spans="1:8" x14ac:dyDescent="0.35">
      <c r="A796" s="3">
        <v>45352</v>
      </c>
      <c r="B796" s="1">
        <v>59.900001525878899</v>
      </c>
      <c r="C796" s="1">
        <v>59.900001525878899</v>
      </c>
      <c r="D796" s="1">
        <v>59.340000152587798</v>
      </c>
      <c r="E796" s="1">
        <v>59.529998779296797</v>
      </c>
      <c r="F796" s="1">
        <v>56.110298156738203</v>
      </c>
      <c r="G796" s="1">
        <v>10927600</v>
      </c>
      <c r="H796" s="1">
        <f t="shared" si="12"/>
        <v>-8.1640312632788991E-3</v>
      </c>
    </row>
    <row r="797" spans="1:8" x14ac:dyDescent="0.35">
      <c r="A797" s="3">
        <v>45355</v>
      </c>
      <c r="B797" s="1">
        <v>59.2299995422363</v>
      </c>
      <c r="C797" s="1">
        <v>59.950000762939403</v>
      </c>
      <c r="D797" s="1">
        <v>59.220001220703097</v>
      </c>
      <c r="E797" s="1">
        <v>59.810001373291001</v>
      </c>
      <c r="F797" s="1">
        <v>56.374221801757798</v>
      </c>
      <c r="G797" s="1">
        <v>10150200</v>
      </c>
      <c r="H797" s="1">
        <f t="shared" si="12"/>
        <v>4.7036578612067309E-3</v>
      </c>
    </row>
    <row r="798" spans="1:8" x14ac:dyDescent="0.35">
      <c r="A798" s="3">
        <v>45356</v>
      </c>
      <c r="B798" s="1">
        <v>59.909999847412102</v>
      </c>
      <c r="C798" s="1">
        <v>60.110000610351499</v>
      </c>
      <c r="D798" s="1">
        <v>59.419998168945298</v>
      </c>
      <c r="E798" s="1">
        <v>59.520000457763601</v>
      </c>
      <c r="F798" s="1">
        <v>56.100879669189403</v>
      </c>
      <c r="G798" s="1">
        <v>12310000</v>
      </c>
      <c r="H798" s="1">
        <f t="shared" si="12"/>
        <v>-4.8487078638462348E-3</v>
      </c>
    </row>
    <row r="799" spans="1:8" x14ac:dyDescent="0.35">
      <c r="A799" s="3">
        <v>45357</v>
      </c>
      <c r="B799" s="1">
        <v>59.520000457763601</v>
      </c>
      <c r="C799" s="1">
        <v>60</v>
      </c>
      <c r="D799" s="1">
        <v>59.380001068115199</v>
      </c>
      <c r="E799" s="1">
        <v>59.549999237060497</v>
      </c>
      <c r="F799" s="1">
        <v>56.129158020019503</v>
      </c>
      <c r="G799" s="1">
        <v>12378800</v>
      </c>
      <c r="H799" s="1">
        <f t="shared" si="12"/>
        <v>5.0406252088824031E-4</v>
      </c>
    </row>
    <row r="800" spans="1:8" x14ac:dyDescent="0.35">
      <c r="A800" s="3">
        <v>45358</v>
      </c>
      <c r="B800" s="1">
        <v>59.689998626708899</v>
      </c>
      <c r="C800" s="1">
        <v>59.770000457763601</v>
      </c>
      <c r="D800" s="1">
        <v>59.240001678466797</v>
      </c>
      <c r="E800" s="1">
        <v>59.439998626708899</v>
      </c>
      <c r="F800" s="1">
        <v>56.0254707336425</v>
      </c>
      <c r="G800" s="1">
        <v>13686900</v>
      </c>
      <c r="H800" s="1">
        <f t="shared" si="12"/>
        <v>-1.8472980895245369E-3</v>
      </c>
    </row>
    <row r="801" spans="1:8" x14ac:dyDescent="0.35">
      <c r="A801" s="3">
        <v>45359</v>
      </c>
      <c r="B801" s="1">
        <v>59.299999237060497</v>
      </c>
      <c r="C801" s="1">
        <v>59.790000915527301</v>
      </c>
      <c r="D801" s="1">
        <v>58.970001220703097</v>
      </c>
      <c r="E801" s="1">
        <v>59.520000457763601</v>
      </c>
      <c r="F801" s="1">
        <v>56.100879669189403</v>
      </c>
      <c r="G801" s="1">
        <v>13239000</v>
      </c>
      <c r="H801" s="1">
        <f t="shared" si="12"/>
        <v>1.345975938433685E-3</v>
      </c>
    </row>
    <row r="802" spans="1:8" x14ac:dyDescent="0.35">
      <c r="A802" s="3">
        <v>45362</v>
      </c>
      <c r="B802" s="1">
        <v>59.779998779296797</v>
      </c>
      <c r="C802" s="1">
        <v>60.290000915527301</v>
      </c>
      <c r="D802" s="1">
        <v>59.580001831054602</v>
      </c>
      <c r="E802" s="1">
        <v>60.240001678466797</v>
      </c>
      <c r="F802" s="1">
        <v>56.779518127441399</v>
      </c>
      <c r="G802" s="1">
        <v>14114300</v>
      </c>
      <c r="H802" s="1">
        <f t="shared" si="12"/>
        <v>1.2096752533181827E-2</v>
      </c>
    </row>
    <row r="803" spans="1:8" x14ac:dyDescent="0.35">
      <c r="A803" s="3">
        <v>45363</v>
      </c>
      <c r="B803" s="1">
        <v>60.319999694824197</v>
      </c>
      <c r="C803" s="1">
        <v>60.75</v>
      </c>
      <c r="D803" s="1">
        <v>60.209999084472599</v>
      </c>
      <c r="E803" s="1">
        <v>60.5</v>
      </c>
      <c r="F803" s="1">
        <v>57.024578094482401</v>
      </c>
      <c r="G803" s="1">
        <v>12684600</v>
      </c>
      <c r="H803" s="1">
        <f t="shared" si="12"/>
        <v>4.3159923705404701E-3</v>
      </c>
    </row>
    <row r="804" spans="1:8" x14ac:dyDescent="0.35">
      <c r="A804" s="3">
        <v>45364</v>
      </c>
      <c r="B804" s="1">
        <v>60.880001068115199</v>
      </c>
      <c r="C804" s="1">
        <v>61.209999084472599</v>
      </c>
      <c r="D804" s="1">
        <v>60.799999237060497</v>
      </c>
      <c r="E804" s="1">
        <v>61.119998931884702</v>
      </c>
      <c r="F804" s="1">
        <v>57.608963012695298</v>
      </c>
      <c r="G804" s="1">
        <v>13909500</v>
      </c>
      <c r="H804" s="1">
        <f t="shared" si="12"/>
        <v>1.0247948125887876E-2</v>
      </c>
    </row>
    <row r="805" spans="1:8" x14ac:dyDescent="0.35">
      <c r="A805" s="3">
        <v>45365</v>
      </c>
      <c r="B805" s="1">
        <v>60.580001831054602</v>
      </c>
      <c r="C805" s="1">
        <v>60.799999237060497</v>
      </c>
      <c r="D805" s="1">
        <v>60.400001525878899</v>
      </c>
      <c r="E805" s="1">
        <v>60.5</v>
      </c>
      <c r="F805" s="1">
        <v>57.480701446533203</v>
      </c>
      <c r="G805" s="1">
        <v>13996600</v>
      </c>
      <c r="H805" s="1">
        <f t="shared" si="12"/>
        <v>-2.2264168534648007E-3</v>
      </c>
    </row>
    <row r="806" spans="1:8" x14ac:dyDescent="0.35">
      <c r="A806" s="3">
        <v>45366</v>
      </c>
      <c r="B806" s="1">
        <v>60.020000457763601</v>
      </c>
      <c r="C806" s="1">
        <v>60.450000762939403</v>
      </c>
      <c r="D806" s="1">
        <v>59.639999389648402</v>
      </c>
      <c r="E806" s="1">
        <v>59.880001068115199</v>
      </c>
      <c r="F806" s="1">
        <v>56.891647338867102</v>
      </c>
      <c r="G806" s="1">
        <v>36849900</v>
      </c>
      <c r="H806" s="1">
        <f t="shared" si="12"/>
        <v>-1.0247858722009874E-2</v>
      </c>
    </row>
    <row r="807" spans="1:8" x14ac:dyDescent="0.35">
      <c r="A807" s="3">
        <v>45369</v>
      </c>
      <c r="B807" s="1">
        <v>59.889999389648402</v>
      </c>
      <c r="C807" s="1">
        <v>60.400001525878899</v>
      </c>
      <c r="D807" s="1">
        <v>59.799999237060497</v>
      </c>
      <c r="E807" s="1">
        <v>60.130001068115199</v>
      </c>
      <c r="F807" s="1">
        <v>57.129177093505803</v>
      </c>
      <c r="G807" s="1">
        <v>15856700</v>
      </c>
      <c r="H807" s="1">
        <f t="shared" si="12"/>
        <v>4.1751252732037747E-3</v>
      </c>
    </row>
    <row r="808" spans="1:8" x14ac:dyDescent="0.35">
      <c r="A808" s="3">
        <v>45370</v>
      </c>
      <c r="B808" s="1">
        <v>60.240001678466797</v>
      </c>
      <c r="C808" s="1">
        <v>60.349998474121001</v>
      </c>
      <c r="D808" s="1">
        <v>60.060001373291001</v>
      </c>
      <c r="E808" s="1">
        <v>60.2299995422363</v>
      </c>
      <c r="F808" s="1">
        <v>57.2241821289062</v>
      </c>
      <c r="G808" s="1">
        <v>15030600</v>
      </c>
      <c r="H808" s="1">
        <f t="shared" si="12"/>
        <v>1.6629862398490156E-3</v>
      </c>
    </row>
    <row r="809" spans="1:8" x14ac:dyDescent="0.35">
      <c r="A809" s="3">
        <v>45371</v>
      </c>
      <c r="B809" s="1">
        <v>60.180000305175703</v>
      </c>
      <c r="C809" s="1">
        <v>60.810001373291001</v>
      </c>
      <c r="D809" s="1">
        <v>60.159999847412102</v>
      </c>
      <c r="E809" s="1">
        <v>60.75</v>
      </c>
      <c r="F809" s="1">
        <v>57.718223571777301</v>
      </c>
      <c r="G809" s="1">
        <v>15258800</v>
      </c>
      <c r="H809" s="1">
        <f t="shared" si="12"/>
        <v>8.6334382509512704E-3</v>
      </c>
    </row>
    <row r="810" spans="1:8" x14ac:dyDescent="0.35">
      <c r="A810" s="3">
        <v>45372</v>
      </c>
      <c r="B810" s="1">
        <v>60.560001373291001</v>
      </c>
      <c r="C810" s="1">
        <v>60.990001678466797</v>
      </c>
      <c r="D810" s="1">
        <v>60.319999694824197</v>
      </c>
      <c r="E810" s="1">
        <v>60.470001220703097</v>
      </c>
      <c r="F810" s="1">
        <v>57.452201843261697</v>
      </c>
      <c r="G810" s="1">
        <v>13067100</v>
      </c>
      <c r="H810" s="1">
        <f t="shared" si="12"/>
        <v>-4.6089729041085964E-3</v>
      </c>
    </row>
    <row r="811" spans="1:8" x14ac:dyDescent="0.35">
      <c r="A811" s="3">
        <v>45373</v>
      </c>
      <c r="B811" s="1">
        <v>60.520000457763601</v>
      </c>
      <c r="C811" s="1">
        <v>60.790000915527301</v>
      </c>
      <c r="D811" s="1">
        <v>60.430000305175703</v>
      </c>
      <c r="E811" s="1">
        <v>60.490001678466797</v>
      </c>
      <c r="F811" s="1">
        <v>57.471202850341797</v>
      </c>
      <c r="G811" s="1">
        <v>11502800</v>
      </c>
      <c r="H811" s="1">
        <f t="shared" si="12"/>
        <v>3.3072722142028717E-4</v>
      </c>
    </row>
    <row r="812" spans="1:8" x14ac:dyDescent="0.35">
      <c r="A812" s="3">
        <v>45376</v>
      </c>
      <c r="B812" s="1">
        <v>60.4799995422363</v>
      </c>
      <c r="C812" s="1">
        <v>60.709999084472599</v>
      </c>
      <c r="D812" s="1">
        <v>60.119998931884702</v>
      </c>
      <c r="E812" s="1">
        <v>60.400001525878899</v>
      </c>
      <c r="F812" s="1">
        <v>57.385692596435497</v>
      </c>
      <c r="G812" s="1">
        <v>13144700</v>
      </c>
      <c r="H812" s="1">
        <f t="shared" si="12"/>
        <v>-1.4878800106024087E-3</v>
      </c>
    </row>
    <row r="813" spans="1:8" x14ac:dyDescent="0.35">
      <c r="A813" s="3">
        <v>45377</v>
      </c>
      <c r="B813" s="1">
        <v>60.5</v>
      </c>
      <c r="C813" s="1">
        <v>60.709999084472599</v>
      </c>
      <c r="D813" s="1">
        <v>60.380001068115199</v>
      </c>
      <c r="E813" s="1">
        <v>60.540000915527301</v>
      </c>
      <c r="F813" s="1">
        <v>57.518707275390597</v>
      </c>
      <c r="G813" s="1">
        <v>13277400</v>
      </c>
      <c r="H813" s="1">
        <f t="shared" si="12"/>
        <v>2.3179066582070256E-3</v>
      </c>
    </row>
    <row r="814" spans="1:8" x14ac:dyDescent="0.35">
      <c r="A814" s="3">
        <v>45378</v>
      </c>
      <c r="B814" s="1">
        <v>60.790000915527301</v>
      </c>
      <c r="C814" s="1">
        <v>61.430000305175703</v>
      </c>
      <c r="D814" s="1">
        <v>60.700000762939403</v>
      </c>
      <c r="E814" s="1">
        <v>61.029998779296797</v>
      </c>
      <c r="F814" s="1">
        <v>57.9842529296875</v>
      </c>
      <c r="G814" s="1">
        <v>12551200</v>
      </c>
      <c r="H814" s="1">
        <f t="shared" si="12"/>
        <v>8.0938128888735882E-3</v>
      </c>
    </row>
    <row r="815" spans="1:8" x14ac:dyDescent="0.35">
      <c r="A815" s="3">
        <v>45379</v>
      </c>
      <c r="B815" s="1">
        <v>61.139999389648402</v>
      </c>
      <c r="C815" s="1">
        <v>61.259998321533203</v>
      </c>
      <c r="D815" s="1">
        <v>61</v>
      </c>
      <c r="E815" s="1">
        <v>61.180000305175703</v>
      </c>
      <c r="F815" s="1">
        <v>58.126766204833899</v>
      </c>
      <c r="G815" s="1">
        <v>13683500</v>
      </c>
      <c r="H815" s="1">
        <f t="shared" si="12"/>
        <v>2.4577927272636012E-3</v>
      </c>
    </row>
    <row r="816" spans="1:8" x14ac:dyDescent="0.35">
      <c r="A816" s="3">
        <v>45383</v>
      </c>
      <c r="B816" s="1">
        <v>61.180000305175703</v>
      </c>
      <c r="C816" s="1">
        <v>61.299999237060497</v>
      </c>
      <c r="D816" s="1">
        <v>60.630001068115199</v>
      </c>
      <c r="E816" s="1">
        <v>60.680000305175703</v>
      </c>
      <c r="F816" s="1">
        <v>57.651721954345703</v>
      </c>
      <c r="G816" s="1">
        <v>11668700</v>
      </c>
      <c r="H816" s="1">
        <f t="shared" si="12"/>
        <v>-8.1725559755755108E-3</v>
      </c>
    </row>
    <row r="817" spans="1:8" x14ac:dyDescent="0.35">
      <c r="A817" s="3">
        <v>45384</v>
      </c>
      <c r="B817" s="1">
        <v>60.450000762939403</v>
      </c>
      <c r="C817" s="1">
        <v>60.7299995422363</v>
      </c>
      <c r="D817" s="1">
        <v>60.110000610351499</v>
      </c>
      <c r="E817" s="1">
        <v>60.150001525878899</v>
      </c>
      <c r="F817" s="1">
        <v>57.148170471191399</v>
      </c>
      <c r="G817" s="1">
        <v>13017300</v>
      </c>
      <c r="H817" s="1">
        <f t="shared" si="12"/>
        <v>-8.7343702162628462E-3</v>
      </c>
    </row>
    <row r="818" spans="1:8" x14ac:dyDescent="0.35">
      <c r="A818" s="3">
        <v>45385</v>
      </c>
      <c r="B818" s="1">
        <v>60.049999237060497</v>
      </c>
      <c r="C818" s="1">
        <v>60.389999389648402</v>
      </c>
      <c r="D818" s="1">
        <v>59.779998779296797</v>
      </c>
      <c r="E818" s="1">
        <v>59.830001831054602</v>
      </c>
      <c r="F818" s="1">
        <v>56.844142913818303</v>
      </c>
      <c r="G818" s="1">
        <v>13672900</v>
      </c>
      <c r="H818" s="1">
        <f t="shared" si="12"/>
        <v>-5.3199875843157225E-3</v>
      </c>
    </row>
    <row r="819" spans="1:8" x14ac:dyDescent="0.35">
      <c r="A819" s="3">
        <v>45386</v>
      </c>
      <c r="B819" s="1">
        <v>60.090000152587798</v>
      </c>
      <c r="C819" s="1">
        <v>60.150001525878899</v>
      </c>
      <c r="D819" s="1">
        <v>59.169998168945298</v>
      </c>
      <c r="E819" s="1">
        <v>59.299999237060497</v>
      </c>
      <c r="F819" s="1">
        <v>56.340583801269503</v>
      </c>
      <c r="G819" s="1">
        <v>14320700</v>
      </c>
      <c r="H819" s="1">
        <f t="shared" si="12"/>
        <v>-8.8585927544417072E-3</v>
      </c>
    </row>
    <row r="820" spans="1:8" x14ac:dyDescent="0.35">
      <c r="A820" s="3">
        <v>45387</v>
      </c>
      <c r="B820" s="1">
        <v>59.25</v>
      </c>
      <c r="C820" s="1">
        <v>59.680000305175703</v>
      </c>
      <c r="D820" s="1">
        <v>58.909999847412102</v>
      </c>
      <c r="E820" s="1">
        <v>59.509998321533203</v>
      </c>
      <c r="F820" s="1">
        <v>56.540103912353501</v>
      </c>
      <c r="G820" s="1">
        <v>10157800</v>
      </c>
      <c r="H820" s="1">
        <f t="shared" si="12"/>
        <v>3.541321328649471E-3</v>
      </c>
    </row>
    <row r="821" spans="1:8" x14ac:dyDescent="0.35">
      <c r="A821" s="3">
        <v>45390</v>
      </c>
      <c r="B821" s="1">
        <v>59.400001525878899</v>
      </c>
      <c r="C821" s="1">
        <v>59.470001220703097</v>
      </c>
      <c r="D821" s="1">
        <v>59.069999694824197</v>
      </c>
      <c r="E821" s="1">
        <v>59.270000457763601</v>
      </c>
      <c r="F821" s="1">
        <v>56.312088012695298</v>
      </c>
      <c r="G821" s="1">
        <v>10284500</v>
      </c>
      <c r="H821" s="1">
        <f t="shared" si="12"/>
        <v>-4.0328171312112452E-3</v>
      </c>
    </row>
    <row r="822" spans="1:8" x14ac:dyDescent="0.35">
      <c r="A822" s="3">
        <v>45391</v>
      </c>
      <c r="B822" s="1">
        <v>59.4799995422363</v>
      </c>
      <c r="C822" s="1">
        <v>59.740001678466797</v>
      </c>
      <c r="D822" s="1">
        <v>59.130001068115199</v>
      </c>
      <c r="E822" s="1">
        <v>59.720001220703097</v>
      </c>
      <c r="F822" s="1">
        <v>56.7396240234375</v>
      </c>
      <c r="G822" s="1">
        <v>10779100</v>
      </c>
      <c r="H822" s="1">
        <f t="shared" si="12"/>
        <v>7.5922599539519067E-3</v>
      </c>
    </row>
    <row r="823" spans="1:8" x14ac:dyDescent="0.35">
      <c r="A823" s="3">
        <v>45392</v>
      </c>
      <c r="B823" s="1">
        <v>59.319999694824197</v>
      </c>
      <c r="C823" s="1">
        <v>59.389999389648402</v>
      </c>
      <c r="D823" s="1">
        <v>58.689998626708899</v>
      </c>
      <c r="E823" s="1">
        <v>58.919998168945298</v>
      </c>
      <c r="F823" s="1">
        <v>55.9795532226562</v>
      </c>
      <c r="G823" s="1">
        <v>11861900</v>
      </c>
      <c r="H823" s="1">
        <f t="shared" si="12"/>
        <v>-1.3395767311876026E-2</v>
      </c>
    </row>
    <row r="824" spans="1:8" x14ac:dyDescent="0.35">
      <c r="A824" s="3">
        <v>45393</v>
      </c>
      <c r="B824" s="1">
        <v>59.150001525878899</v>
      </c>
      <c r="C824" s="1">
        <v>59.369998931884702</v>
      </c>
      <c r="D824" s="1">
        <v>58.790000915527301</v>
      </c>
      <c r="E824" s="1">
        <v>59.049999237060497</v>
      </c>
      <c r="F824" s="1">
        <v>56.103065490722599</v>
      </c>
      <c r="G824" s="1">
        <v>11109000</v>
      </c>
      <c r="H824" s="1">
        <f t="shared" si="12"/>
        <v>2.2063818118578859E-3</v>
      </c>
    </row>
    <row r="825" spans="1:8" x14ac:dyDescent="0.35">
      <c r="A825" s="3">
        <v>45394</v>
      </c>
      <c r="B825" s="1">
        <v>58.950000762939403</v>
      </c>
      <c r="C825" s="1">
        <v>59.009998321533203</v>
      </c>
      <c r="D825" s="1">
        <v>58.130001068115199</v>
      </c>
      <c r="E825" s="1">
        <v>58.279998779296797</v>
      </c>
      <c r="F825" s="1">
        <v>55.371494293212798</v>
      </c>
      <c r="G825" s="1">
        <v>12250900</v>
      </c>
      <c r="H825" s="1">
        <f t="shared" si="12"/>
        <v>-1.3039772267538149E-2</v>
      </c>
    </row>
    <row r="826" spans="1:8" x14ac:dyDescent="0.35">
      <c r="A826" s="3">
        <v>45397</v>
      </c>
      <c r="B826" s="1">
        <v>58.610000610351499</v>
      </c>
      <c r="C826" s="1">
        <v>58.810001373291001</v>
      </c>
      <c r="D826" s="1">
        <v>58.040000915527301</v>
      </c>
      <c r="E826" s="1">
        <v>58.139999389648402</v>
      </c>
      <c r="F826" s="1">
        <v>55.238479614257798</v>
      </c>
      <c r="G826" s="1">
        <v>12425000</v>
      </c>
      <c r="H826" s="1">
        <f t="shared" si="12"/>
        <v>-2.4022230328594246E-3</v>
      </c>
    </row>
    <row r="827" spans="1:8" x14ac:dyDescent="0.35">
      <c r="A827" s="3">
        <v>45398</v>
      </c>
      <c r="B827" s="1">
        <v>58.25</v>
      </c>
      <c r="C827" s="1">
        <v>58.380001068115199</v>
      </c>
      <c r="D827" s="1">
        <v>57.930000305175703</v>
      </c>
      <c r="E827" s="1">
        <v>58.060001373291001</v>
      </c>
      <c r="F827" s="1">
        <v>55.162471771240199</v>
      </c>
      <c r="G827" s="1">
        <v>11236800</v>
      </c>
      <c r="H827" s="1">
        <f t="shared" si="12"/>
        <v>-1.3759944797246155E-3</v>
      </c>
    </row>
    <row r="828" spans="1:8" x14ac:dyDescent="0.35">
      <c r="A828" s="3">
        <v>45399</v>
      </c>
      <c r="B828" s="1">
        <v>58.279998779296797</v>
      </c>
      <c r="C828" s="1">
        <v>58.560001373291001</v>
      </c>
      <c r="D828" s="1">
        <v>58.099998474121001</v>
      </c>
      <c r="E828" s="1">
        <v>58.509998321533203</v>
      </c>
      <c r="F828" s="1">
        <v>55.590015411376903</v>
      </c>
      <c r="G828" s="1">
        <v>13805100</v>
      </c>
      <c r="H828" s="1">
        <f t="shared" si="12"/>
        <v>7.7506251335098982E-3</v>
      </c>
    </row>
    <row r="829" spans="1:8" x14ac:dyDescent="0.35">
      <c r="A829" s="3">
        <v>45400</v>
      </c>
      <c r="B829" s="1">
        <v>58.619998931884702</v>
      </c>
      <c r="C829" s="1">
        <v>58.9799995422363</v>
      </c>
      <c r="D829" s="1">
        <v>58.540000915527301</v>
      </c>
      <c r="E829" s="1">
        <v>58.909999847412102</v>
      </c>
      <c r="F829" s="1">
        <v>55.9700508117675</v>
      </c>
      <c r="G829" s="1">
        <v>11125900</v>
      </c>
      <c r="H829" s="1">
        <f t="shared" si="12"/>
        <v>6.8363967445999223E-3</v>
      </c>
    </row>
    <row r="830" spans="1:8" x14ac:dyDescent="0.35">
      <c r="A830" s="3">
        <v>45401</v>
      </c>
      <c r="B830" s="1">
        <v>59.099998474121001</v>
      </c>
      <c r="C830" s="1">
        <v>60.360000610351499</v>
      </c>
      <c r="D830" s="1">
        <v>59</v>
      </c>
      <c r="E830" s="1">
        <v>60.169998168945298</v>
      </c>
      <c r="F830" s="1">
        <v>57.167163848876903</v>
      </c>
      <c r="G830" s="1">
        <v>21207900</v>
      </c>
      <c r="H830" s="1">
        <f t="shared" si="12"/>
        <v>2.1388457215009617E-2</v>
      </c>
    </row>
    <row r="831" spans="1:8" x14ac:dyDescent="0.35">
      <c r="A831" s="3">
        <v>45404</v>
      </c>
      <c r="B831" s="1">
        <v>60.139999389648402</v>
      </c>
      <c r="C831" s="1">
        <v>60.630001068115199</v>
      </c>
      <c r="D831" s="1">
        <v>59.720001220703097</v>
      </c>
      <c r="E831" s="1">
        <v>60.549999237060497</v>
      </c>
      <c r="F831" s="1">
        <v>57.528205871582003</v>
      </c>
      <c r="G831" s="1">
        <v>15624500</v>
      </c>
      <c r="H831" s="1">
        <f t="shared" si="12"/>
        <v>6.3155489689767494E-3</v>
      </c>
    </row>
    <row r="832" spans="1:8" x14ac:dyDescent="0.35">
      <c r="A832" s="3">
        <v>45405</v>
      </c>
      <c r="B832" s="1">
        <v>60.529998779296797</v>
      </c>
      <c r="C832" s="1">
        <v>60.680000305175703</v>
      </c>
      <c r="D832" s="1">
        <v>60.130001068115199</v>
      </c>
      <c r="E832" s="1">
        <v>60.639999389648402</v>
      </c>
      <c r="F832" s="1">
        <v>57.613712310791001</v>
      </c>
      <c r="G832" s="1">
        <v>13689100</v>
      </c>
      <c r="H832" s="1">
        <f t="shared" si="12"/>
        <v>1.4863394036635058E-3</v>
      </c>
    </row>
    <row r="833" spans="1:8" x14ac:dyDescent="0.35">
      <c r="A833" s="3">
        <v>45406</v>
      </c>
      <c r="B833" s="1">
        <v>60.319999694824197</v>
      </c>
      <c r="C833" s="1">
        <v>61.650001525878899</v>
      </c>
      <c r="D833" s="1">
        <v>59.840000152587798</v>
      </c>
      <c r="E833" s="1">
        <v>61.549999237060497</v>
      </c>
      <c r="F833" s="1">
        <v>58.478302001953097</v>
      </c>
      <c r="G833" s="1">
        <v>19548300</v>
      </c>
      <c r="H833" s="1">
        <f t="shared" si="12"/>
        <v>1.5006665192795747E-2</v>
      </c>
    </row>
    <row r="834" spans="1:8" x14ac:dyDescent="0.35">
      <c r="A834" s="3">
        <v>45407</v>
      </c>
      <c r="B834" s="1">
        <v>61.869998931884702</v>
      </c>
      <c r="C834" s="1">
        <v>62.590000152587798</v>
      </c>
      <c r="D834" s="1">
        <v>61.369998931884702</v>
      </c>
      <c r="E834" s="1">
        <v>61.740001678466797</v>
      </c>
      <c r="F834" s="1">
        <v>58.658821105957003</v>
      </c>
      <c r="G834" s="1">
        <v>19048500</v>
      </c>
      <c r="H834" s="1">
        <f t="shared" si="12"/>
        <v>3.086941614650117E-3</v>
      </c>
    </row>
    <row r="835" spans="1:8" x14ac:dyDescent="0.35">
      <c r="A835" s="3">
        <v>45408</v>
      </c>
      <c r="B835" s="1">
        <v>61.549999237060497</v>
      </c>
      <c r="C835" s="1">
        <v>61.930000305175703</v>
      </c>
      <c r="D835" s="1">
        <v>61.349998474121001</v>
      </c>
      <c r="E835" s="1">
        <v>61.740001678466797</v>
      </c>
      <c r="F835" s="1">
        <v>58.658821105957003</v>
      </c>
      <c r="G835" s="1">
        <v>10994300</v>
      </c>
      <c r="H835" s="1">
        <f t="shared" si="12"/>
        <v>0</v>
      </c>
    </row>
    <row r="836" spans="1:8" x14ac:dyDescent="0.35">
      <c r="A836" s="3">
        <v>45411</v>
      </c>
      <c r="B836" s="1">
        <v>61.919998168945298</v>
      </c>
      <c r="C836" s="1">
        <v>62.049999237060497</v>
      </c>
      <c r="D836" s="1">
        <v>61.529998779296797</v>
      </c>
      <c r="E836" s="1">
        <v>62.040000915527301</v>
      </c>
      <c r="F836" s="1">
        <v>58.94384765625</v>
      </c>
      <c r="G836" s="1">
        <v>13409300</v>
      </c>
      <c r="H836" s="1">
        <f t="shared" ref="H836:H899" si="13">(F836-F835)/F835</f>
        <v>4.8590569145286104E-3</v>
      </c>
    </row>
    <row r="837" spans="1:8" x14ac:dyDescent="0.35">
      <c r="A837" s="3">
        <v>45412</v>
      </c>
      <c r="B837" s="1">
        <v>62.139999389648402</v>
      </c>
      <c r="C837" s="1">
        <v>62.830001831054602</v>
      </c>
      <c r="D837" s="1">
        <v>61.470001220703097</v>
      </c>
      <c r="E837" s="1">
        <v>61.770000457763601</v>
      </c>
      <c r="F837" s="1">
        <v>58.687320709228501</v>
      </c>
      <c r="G837" s="1">
        <v>19349200</v>
      </c>
      <c r="H837" s="1">
        <f t="shared" si="13"/>
        <v>-4.3520563590880249E-3</v>
      </c>
    </row>
    <row r="838" spans="1:8" x14ac:dyDescent="0.35">
      <c r="A838" s="3">
        <v>45413</v>
      </c>
      <c r="B838" s="1">
        <v>61.799999237060497</v>
      </c>
      <c r="C838" s="1">
        <v>62.569999694824197</v>
      </c>
      <c r="D838" s="1">
        <v>61.209999084472599</v>
      </c>
      <c r="E838" s="1">
        <v>61.930000305175703</v>
      </c>
      <c r="F838" s="1">
        <v>58.839340209960902</v>
      </c>
      <c r="G838" s="1">
        <v>16729800</v>
      </c>
      <c r="H838" s="1">
        <f t="shared" si="13"/>
        <v>2.5903295447000309E-3</v>
      </c>
    </row>
    <row r="839" spans="1:8" x14ac:dyDescent="0.35">
      <c r="A839" s="3">
        <v>45414</v>
      </c>
      <c r="B839" s="1">
        <v>62.180000305175703</v>
      </c>
      <c r="C839" s="1">
        <v>62.400001525878899</v>
      </c>
      <c r="D839" s="1">
        <v>61.720001220703097</v>
      </c>
      <c r="E839" s="1">
        <v>61.990001678466797</v>
      </c>
      <c r="F839" s="1">
        <v>58.896343231201101</v>
      </c>
      <c r="G839" s="1">
        <v>10991300</v>
      </c>
      <c r="H839" s="1">
        <f t="shared" si="13"/>
        <v>9.6879096598960187E-4</v>
      </c>
    </row>
    <row r="840" spans="1:8" x14ac:dyDescent="0.35">
      <c r="A840" s="3">
        <v>45415</v>
      </c>
      <c r="B840" s="1">
        <v>61.990001678466797</v>
      </c>
      <c r="C840" s="1">
        <v>62.330001831054602</v>
      </c>
      <c r="D840" s="1">
        <v>61.639999389648402</v>
      </c>
      <c r="E840" s="1">
        <v>62.169998168945298</v>
      </c>
      <c r="F840" s="1">
        <v>59.067356109619098</v>
      </c>
      <c r="G840" s="1">
        <v>11628700</v>
      </c>
      <c r="H840" s="1">
        <f t="shared" si="13"/>
        <v>2.9036247249965238E-3</v>
      </c>
    </row>
    <row r="841" spans="1:8" x14ac:dyDescent="0.35">
      <c r="A841" s="3">
        <v>45418</v>
      </c>
      <c r="B841" s="1">
        <v>62.299999237060497</v>
      </c>
      <c r="C841" s="1">
        <v>62.380001068115199</v>
      </c>
      <c r="D841" s="1">
        <v>61.900001525878899</v>
      </c>
      <c r="E841" s="1">
        <v>62.349998474121001</v>
      </c>
      <c r="F841" s="1">
        <v>59.238376617431598</v>
      </c>
      <c r="G841" s="1">
        <v>9310700</v>
      </c>
      <c r="H841" s="1">
        <f t="shared" si="13"/>
        <v>2.8953472624560113E-3</v>
      </c>
    </row>
    <row r="842" spans="1:8" x14ac:dyDescent="0.35">
      <c r="A842" s="3">
        <v>45419</v>
      </c>
      <c r="B842" s="1">
        <v>62.759998321533203</v>
      </c>
      <c r="C842" s="1">
        <v>62.819999694824197</v>
      </c>
      <c r="D842" s="1">
        <v>62.25</v>
      </c>
      <c r="E842" s="1">
        <v>62.619998931884702</v>
      </c>
      <c r="F842" s="1">
        <v>59.494903564453097</v>
      </c>
      <c r="G842" s="1">
        <v>9807000</v>
      </c>
      <c r="H842" s="1">
        <f t="shared" si="13"/>
        <v>4.3304182469107782E-3</v>
      </c>
    </row>
    <row r="843" spans="1:8" x14ac:dyDescent="0.35">
      <c r="A843" s="3">
        <v>45420</v>
      </c>
      <c r="B843" s="1">
        <v>62.849998474121001</v>
      </c>
      <c r="C843" s="1">
        <v>62.970001220703097</v>
      </c>
      <c r="D843" s="1">
        <v>62.4799995422363</v>
      </c>
      <c r="E843" s="1">
        <v>62.849998474121001</v>
      </c>
      <c r="F843" s="1">
        <v>59.713420867919901</v>
      </c>
      <c r="G843" s="1">
        <v>10484400</v>
      </c>
      <c r="H843" s="1">
        <f t="shared" si="13"/>
        <v>3.6728743198999533E-3</v>
      </c>
    </row>
    <row r="844" spans="1:8" x14ac:dyDescent="0.35">
      <c r="A844" s="3">
        <v>45421</v>
      </c>
      <c r="B844" s="1">
        <v>62.810001373291001</v>
      </c>
      <c r="C844" s="1">
        <v>63.150001525878899</v>
      </c>
      <c r="D844" s="1">
        <v>62.75</v>
      </c>
      <c r="E844" s="1">
        <v>62.880001068115199</v>
      </c>
      <c r="F844" s="1">
        <v>59.741928100585902</v>
      </c>
      <c r="G844" s="1">
        <v>9113700</v>
      </c>
      <c r="H844" s="1">
        <f t="shared" si="13"/>
        <v>4.774007627038577E-4</v>
      </c>
    </row>
    <row r="845" spans="1:8" x14ac:dyDescent="0.35">
      <c r="A845" s="3">
        <v>45422</v>
      </c>
      <c r="B845" s="1">
        <v>62.919998168945298</v>
      </c>
      <c r="C845" s="1">
        <v>63.360000610351499</v>
      </c>
      <c r="D845" s="1">
        <v>62.790000915527301</v>
      </c>
      <c r="E845" s="1">
        <v>63.259998321533203</v>
      </c>
      <c r="F845" s="1">
        <v>60.102958679199197</v>
      </c>
      <c r="G845" s="1">
        <v>8371700</v>
      </c>
      <c r="H845" s="1">
        <f t="shared" si="13"/>
        <v>6.0431691793649154E-3</v>
      </c>
    </row>
    <row r="846" spans="1:8" x14ac:dyDescent="0.35">
      <c r="A846" s="3">
        <v>45425</v>
      </c>
      <c r="B846" s="1">
        <v>63.240001678466797</v>
      </c>
      <c r="C846" s="1">
        <v>63.619998931884702</v>
      </c>
      <c r="D846" s="1">
        <v>63.180000305175703</v>
      </c>
      <c r="E846" s="1">
        <v>63.580001831054602</v>
      </c>
      <c r="F846" s="1">
        <v>60.406997680663999</v>
      </c>
      <c r="G846" s="1">
        <v>10137600</v>
      </c>
      <c r="H846" s="1">
        <f t="shared" si="13"/>
        <v>5.0586361827479357E-3</v>
      </c>
    </row>
    <row r="847" spans="1:8" x14ac:dyDescent="0.35">
      <c r="A847" s="3">
        <v>45426</v>
      </c>
      <c r="B847" s="1">
        <v>63.580001831054602</v>
      </c>
      <c r="C847" s="1">
        <v>63.759998321533203</v>
      </c>
      <c r="D847" s="1">
        <v>62.799999237060497</v>
      </c>
      <c r="E847" s="1">
        <v>63.099998474121001</v>
      </c>
      <c r="F847" s="1">
        <v>59.9509468078613</v>
      </c>
      <c r="G847" s="1">
        <v>10852200</v>
      </c>
      <c r="H847" s="1">
        <f t="shared" si="13"/>
        <v>-7.5496364711513985E-3</v>
      </c>
    </row>
    <row r="848" spans="1:8" x14ac:dyDescent="0.35">
      <c r="A848" s="3">
        <v>45427</v>
      </c>
      <c r="B848" s="1">
        <v>63.060001373291001</v>
      </c>
      <c r="C848" s="1">
        <v>63.389999389648402</v>
      </c>
      <c r="D848" s="1">
        <v>63</v>
      </c>
      <c r="E848" s="1">
        <v>63.130001068115199</v>
      </c>
      <c r="F848" s="1">
        <v>59.979454040527301</v>
      </c>
      <c r="G848" s="1">
        <v>9838900</v>
      </c>
      <c r="H848" s="1">
        <f t="shared" si="13"/>
        <v>4.7550929858314252E-4</v>
      </c>
    </row>
    <row r="849" spans="1:8" x14ac:dyDescent="0.35">
      <c r="A849" s="3">
        <v>45428</v>
      </c>
      <c r="B849" s="1">
        <v>63.240001678466797</v>
      </c>
      <c r="C849" s="1">
        <v>63.7299995422363</v>
      </c>
      <c r="D849" s="1">
        <v>63.069999694824197</v>
      </c>
      <c r="E849" s="1">
        <v>63.319999694824197</v>
      </c>
      <c r="F849" s="1">
        <v>60.1599731445312</v>
      </c>
      <c r="G849" s="1">
        <v>10228000</v>
      </c>
      <c r="H849" s="1">
        <f t="shared" si="13"/>
        <v>3.0096823469237454E-3</v>
      </c>
    </row>
    <row r="850" spans="1:8" x14ac:dyDescent="0.35">
      <c r="A850" s="3">
        <v>45429</v>
      </c>
      <c r="B850" s="1">
        <v>63.340000152587798</v>
      </c>
      <c r="C850" s="1">
        <v>63.369998931884702</v>
      </c>
      <c r="D850" s="1">
        <v>62.939998626708899</v>
      </c>
      <c r="E850" s="1">
        <v>63.029998779296797</v>
      </c>
      <c r="F850" s="1">
        <v>59.884441375732401</v>
      </c>
      <c r="G850" s="1">
        <v>11539000</v>
      </c>
      <c r="H850" s="1">
        <f t="shared" si="13"/>
        <v>-4.5799849035312729E-3</v>
      </c>
    </row>
    <row r="851" spans="1:8" x14ac:dyDescent="0.35">
      <c r="A851" s="3">
        <v>45432</v>
      </c>
      <c r="B851" s="1">
        <v>62.930000305175703</v>
      </c>
      <c r="C851" s="1">
        <v>63.009998321533203</v>
      </c>
      <c r="D851" s="1">
        <v>62.459999084472599</v>
      </c>
      <c r="E851" s="1">
        <v>62.569999694824197</v>
      </c>
      <c r="F851" s="1">
        <v>59.447395324707003</v>
      </c>
      <c r="G851" s="1">
        <v>11000900</v>
      </c>
      <c r="H851" s="1">
        <f t="shared" si="13"/>
        <v>-7.2981569333383893E-3</v>
      </c>
    </row>
    <row r="852" spans="1:8" x14ac:dyDescent="0.35">
      <c r="A852" s="3">
        <v>45433</v>
      </c>
      <c r="B852" s="1">
        <v>62.819999694824197</v>
      </c>
      <c r="C852" s="1">
        <v>62.9799995422363</v>
      </c>
      <c r="D852" s="1">
        <v>62.439998626708899</v>
      </c>
      <c r="E852" s="1">
        <v>62.909999847412102</v>
      </c>
      <c r="F852" s="1">
        <v>59.770431518554602</v>
      </c>
      <c r="G852" s="1">
        <v>9796200</v>
      </c>
      <c r="H852" s="1">
        <f t="shared" si="13"/>
        <v>5.4339839800069747E-3</v>
      </c>
    </row>
    <row r="853" spans="1:8" x14ac:dyDescent="0.35">
      <c r="A853" s="3">
        <v>45434</v>
      </c>
      <c r="B853" s="1">
        <v>62.709999084472599</v>
      </c>
      <c r="C853" s="1">
        <v>63.020000457763601</v>
      </c>
      <c r="D853" s="1">
        <v>62.659999847412102</v>
      </c>
      <c r="E853" s="1">
        <v>63</v>
      </c>
      <c r="F853" s="1">
        <v>59.855941772460902</v>
      </c>
      <c r="G853" s="1">
        <v>7419400</v>
      </c>
      <c r="H853" s="1">
        <f t="shared" si="13"/>
        <v>1.4306447474744213E-3</v>
      </c>
    </row>
    <row r="854" spans="1:8" x14ac:dyDescent="0.35">
      <c r="A854" s="3">
        <v>45435</v>
      </c>
      <c r="B854" s="1">
        <v>62.490001678466797</v>
      </c>
      <c r="C854" s="1">
        <v>62.880001068115199</v>
      </c>
      <c r="D854" s="1">
        <v>62.049999237060497</v>
      </c>
      <c r="E854" s="1">
        <v>62.090000152587798</v>
      </c>
      <c r="F854" s="1">
        <v>58.991348266601499</v>
      </c>
      <c r="G854" s="1">
        <v>9834300</v>
      </c>
      <c r="H854" s="1">
        <f t="shared" si="13"/>
        <v>-1.4444572756805139E-2</v>
      </c>
    </row>
    <row r="855" spans="1:8" x14ac:dyDescent="0.35">
      <c r="A855" s="3">
        <v>45436</v>
      </c>
      <c r="B855" s="1">
        <v>62.220001220703097</v>
      </c>
      <c r="C855" s="1">
        <v>62.419998168945298</v>
      </c>
      <c r="D855" s="1">
        <v>61.970001220703097</v>
      </c>
      <c r="E855" s="1">
        <v>62</v>
      </c>
      <c r="F855" s="1">
        <v>58.905845642089801</v>
      </c>
      <c r="G855" s="1">
        <v>8203100</v>
      </c>
      <c r="H855" s="1">
        <f t="shared" si="13"/>
        <v>-1.449409566387306E-3</v>
      </c>
    </row>
    <row r="856" spans="1:8" x14ac:dyDescent="0.35">
      <c r="A856" s="3">
        <v>45440</v>
      </c>
      <c r="B856" s="1">
        <v>61.790000915527301</v>
      </c>
      <c r="C856" s="1">
        <v>62.130001068115199</v>
      </c>
      <c r="D856" s="1">
        <v>61.400001525878899</v>
      </c>
      <c r="E856" s="1">
        <v>61.819999694824197</v>
      </c>
      <c r="F856" s="1">
        <v>58.734825134277301</v>
      </c>
      <c r="G856" s="1">
        <v>12347000</v>
      </c>
      <c r="H856" s="1">
        <f t="shared" si="13"/>
        <v>-2.9032858445257811E-3</v>
      </c>
    </row>
    <row r="857" spans="1:8" x14ac:dyDescent="0.35">
      <c r="A857" s="3">
        <v>45441</v>
      </c>
      <c r="B857" s="1">
        <v>61.470001220703097</v>
      </c>
      <c r="C857" s="1">
        <v>61.880001068115199</v>
      </c>
      <c r="D857" s="1">
        <v>61.069999694824197</v>
      </c>
      <c r="E857" s="1">
        <v>61.700000762939403</v>
      </c>
      <c r="F857" s="1">
        <v>58.620815277099602</v>
      </c>
      <c r="G857" s="1">
        <v>11861800</v>
      </c>
      <c r="H857" s="1">
        <f t="shared" si="13"/>
        <v>-1.9410946898548501E-3</v>
      </c>
    </row>
    <row r="858" spans="1:8" x14ac:dyDescent="0.35">
      <c r="A858" s="3">
        <v>45442</v>
      </c>
      <c r="B858" s="1">
        <v>61.849998474121001</v>
      </c>
      <c r="C858" s="1">
        <v>62.080001831054602</v>
      </c>
      <c r="D858" s="1">
        <v>61.599998474121001</v>
      </c>
      <c r="E858" s="1">
        <v>61.970001220703097</v>
      </c>
      <c r="F858" s="1">
        <v>58.8773384094238</v>
      </c>
      <c r="G858" s="1">
        <v>9433800</v>
      </c>
      <c r="H858" s="1">
        <f t="shared" si="13"/>
        <v>4.3759734679843145E-3</v>
      </c>
    </row>
    <row r="859" spans="1:8" x14ac:dyDescent="0.35">
      <c r="A859" s="3">
        <v>45443</v>
      </c>
      <c r="B859" s="1">
        <v>61.990001678466797</v>
      </c>
      <c r="C859" s="1">
        <v>63.029998779296797</v>
      </c>
      <c r="D859" s="1">
        <v>61.689998626708899</v>
      </c>
      <c r="E859" s="1">
        <v>62.930000305175703</v>
      </c>
      <c r="F859" s="1">
        <v>59.7894287109375</v>
      </c>
      <c r="G859" s="1">
        <v>19816600</v>
      </c>
      <c r="H859" s="1">
        <f t="shared" si="13"/>
        <v>1.5491364354332172E-2</v>
      </c>
    </row>
    <row r="860" spans="1:8" x14ac:dyDescent="0.35">
      <c r="A860" s="3">
        <v>45446</v>
      </c>
      <c r="B860" s="1">
        <v>62.709999084472599</v>
      </c>
      <c r="C860" s="1">
        <v>63.090000152587798</v>
      </c>
      <c r="D860" s="1">
        <v>62.450000762939403</v>
      </c>
      <c r="E860" s="1">
        <v>62.930000305175703</v>
      </c>
      <c r="F860" s="1">
        <v>59.7894287109375</v>
      </c>
      <c r="G860" s="1">
        <v>9369000</v>
      </c>
      <c r="H860" s="1">
        <f t="shared" si="13"/>
        <v>0</v>
      </c>
    </row>
    <row r="861" spans="1:8" x14ac:dyDescent="0.35">
      <c r="A861" s="3">
        <v>45447</v>
      </c>
      <c r="B861" s="1">
        <v>63.200000762939403</v>
      </c>
      <c r="C861" s="1">
        <v>63.970001220703097</v>
      </c>
      <c r="D861" s="1">
        <v>62.939998626708899</v>
      </c>
      <c r="E861" s="1">
        <v>63.939998626708899</v>
      </c>
      <c r="F861" s="1">
        <v>60.749027252197202</v>
      </c>
      <c r="G861" s="1">
        <v>11895600</v>
      </c>
      <c r="H861" s="1">
        <f t="shared" si="13"/>
        <v>1.6049635561815608E-2</v>
      </c>
    </row>
    <row r="862" spans="1:8" x14ac:dyDescent="0.35">
      <c r="A862" s="3">
        <v>45448</v>
      </c>
      <c r="B862" s="1">
        <v>63.990001678466797</v>
      </c>
      <c r="C862" s="1">
        <v>64.069999694824205</v>
      </c>
      <c r="D862" s="1">
        <v>63.349998474121001</v>
      </c>
      <c r="E862" s="1">
        <v>63.919998168945298</v>
      </c>
      <c r="F862" s="1">
        <v>60.730022430419901</v>
      </c>
      <c r="G862" s="1">
        <v>9632500</v>
      </c>
      <c r="H862" s="1">
        <f t="shared" si="13"/>
        <v>-3.1284158178209744E-4</v>
      </c>
    </row>
    <row r="863" spans="1:8" x14ac:dyDescent="0.35">
      <c r="A863" s="3">
        <v>45449</v>
      </c>
      <c r="B863" s="1">
        <v>63.919998168945298</v>
      </c>
      <c r="C863" s="1">
        <v>64.360000610351506</v>
      </c>
      <c r="D863" s="1">
        <v>63.840000152587798</v>
      </c>
      <c r="E863" s="1">
        <v>64.150001525878906</v>
      </c>
      <c r="F863" s="1">
        <v>60.948543548583899</v>
      </c>
      <c r="G863" s="1">
        <v>8658500</v>
      </c>
      <c r="H863" s="1">
        <f t="shared" si="13"/>
        <v>3.598238719808878E-3</v>
      </c>
    </row>
    <row r="864" spans="1:8" x14ac:dyDescent="0.35">
      <c r="A864" s="3">
        <v>45450</v>
      </c>
      <c r="B864" s="1">
        <v>64.089996337890597</v>
      </c>
      <c r="C864" s="1">
        <v>64.220001220703097</v>
      </c>
      <c r="D864" s="1">
        <v>63.810001373291001</v>
      </c>
      <c r="E864" s="1">
        <v>63.909999847412102</v>
      </c>
      <c r="F864" s="1">
        <v>60.720523834228501</v>
      </c>
      <c r="G864" s="1">
        <v>9523100</v>
      </c>
      <c r="H864" s="1">
        <f t="shared" si="13"/>
        <v>-3.7411839738817777E-3</v>
      </c>
    </row>
    <row r="865" spans="1:8" x14ac:dyDescent="0.35">
      <c r="A865" s="3">
        <v>45453</v>
      </c>
      <c r="B865" s="1">
        <v>63.939998626708899</v>
      </c>
      <c r="C865" s="1">
        <v>63.990001678466797</v>
      </c>
      <c r="D865" s="1">
        <v>63.369998931884702</v>
      </c>
      <c r="E865" s="1">
        <v>63.590000152587798</v>
      </c>
      <c r="F865" s="1">
        <v>60.416488647460902</v>
      </c>
      <c r="G865" s="1">
        <v>15685300</v>
      </c>
      <c r="H865" s="1">
        <f t="shared" si="13"/>
        <v>-5.0071239108153594E-3</v>
      </c>
    </row>
    <row r="866" spans="1:8" x14ac:dyDescent="0.35">
      <c r="A866" s="3">
        <v>45454</v>
      </c>
      <c r="B866" s="1">
        <v>63.590000152587798</v>
      </c>
      <c r="C866" s="1">
        <v>63.650001525878899</v>
      </c>
      <c r="D866" s="1">
        <v>63.069999694824197</v>
      </c>
      <c r="E866" s="1">
        <v>63.549999237060497</v>
      </c>
      <c r="F866" s="1">
        <v>60.378490447997997</v>
      </c>
      <c r="G866" s="1">
        <v>8396000</v>
      </c>
      <c r="H866" s="1">
        <f t="shared" si="13"/>
        <v>-6.2893756842821366E-4</v>
      </c>
    </row>
    <row r="867" spans="1:8" x14ac:dyDescent="0.35">
      <c r="A867" s="3">
        <v>45455</v>
      </c>
      <c r="B867" s="1">
        <v>63.689998626708899</v>
      </c>
      <c r="C867" s="1">
        <v>63.689998626708899</v>
      </c>
      <c r="D867" s="1">
        <v>62.689998626708899</v>
      </c>
      <c r="E867" s="1">
        <v>62.880001068115199</v>
      </c>
      <c r="F867" s="1">
        <v>59.741928100585902</v>
      </c>
      <c r="G867" s="1">
        <v>9569600</v>
      </c>
      <c r="H867" s="1">
        <f t="shared" si="13"/>
        <v>-1.0542866220882838E-2</v>
      </c>
    </row>
    <row r="868" spans="1:8" x14ac:dyDescent="0.35">
      <c r="A868" s="3">
        <v>45456</v>
      </c>
      <c r="B868" s="1">
        <v>62.860000610351499</v>
      </c>
      <c r="C868" s="1">
        <v>63.040000915527301</v>
      </c>
      <c r="D868" s="1">
        <v>62.450000762939403</v>
      </c>
      <c r="E868" s="1">
        <v>62.990001678466797</v>
      </c>
      <c r="F868" s="1">
        <v>59.846439361572202</v>
      </c>
      <c r="G868" s="1">
        <v>9668900</v>
      </c>
      <c r="H868" s="1">
        <f t="shared" si="13"/>
        <v>1.7493787748252259E-3</v>
      </c>
    </row>
    <row r="869" spans="1:8" x14ac:dyDescent="0.35">
      <c r="A869" s="3">
        <v>45457</v>
      </c>
      <c r="B869" s="1">
        <v>62.380001068115199</v>
      </c>
      <c r="C869" s="1">
        <v>62.689998626708899</v>
      </c>
      <c r="D869" s="1">
        <v>62.090000152587798</v>
      </c>
      <c r="E869" s="1">
        <v>62.549999237060497</v>
      </c>
      <c r="F869" s="1">
        <v>59.8895263671875</v>
      </c>
      <c r="G869" s="1">
        <v>8179200</v>
      </c>
      <c r="H869" s="1">
        <f t="shared" si="13"/>
        <v>7.1995938396570303E-4</v>
      </c>
    </row>
    <row r="870" spans="1:8" x14ac:dyDescent="0.35">
      <c r="A870" s="3">
        <v>45460</v>
      </c>
      <c r="B870" s="1">
        <v>62.369998931884702</v>
      </c>
      <c r="C870" s="1">
        <v>62.900001525878899</v>
      </c>
      <c r="D870" s="1">
        <v>62.180000305175703</v>
      </c>
      <c r="E870" s="1">
        <v>62.619998931884702</v>
      </c>
      <c r="F870" s="1">
        <v>59.95654296875</v>
      </c>
      <c r="G870" s="1">
        <v>10532700</v>
      </c>
      <c r="H870" s="1">
        <f t="shared" si="13"/>
        <v>1.11900369943846E-3</v>
      </c>
    </row>
    <row r="871" spans="1:8" x14ac:dyDescent="0.35">
      <c r="A871" s="3">
        <v>45461</v>
      </c>
      <c r="B871" s="1">
        <v>62.529998779296797</v>
      </c>
      <c r="C871" s="1">
        <v>62.819999694824197</v>
      </c>
      <c r="D871" s="1">
        <v>62.439998626708899</v>
      </c>
      <c r="E871" s="1">
        <v>62.630001068115199</v>
      </c>
      <c r="F871" s="1">
        <v>59.966121673583899</v>
      </c>
      <c r="G871" s="1">
        <v>10651700</v>
      </c>
      <c r="H871" s="1">
        <f t="shared" si="13"/>
        <v>1.5976079272768669E-4</v>
      </c>
    </row>
    <row r="872" spans="1:8" x14ac:dyDescent="0.35">
      <c r="A872" s="3">
        <v>45463</v>
      </c>
      <c r="B872" s="1">
        <v>62.400001525878899</v>
      </c>
      <c r="C872" s="1">
        <v>62.740001678466797</v>
      </c>
      <c r="D872" s="1">
        <v>61.950000762939403</v>
      </c>
      <c r="E872" s="1">
        <v>62.180000305175703</v>
      </c>
      <c r="F872" s="1">
        <v>59.535259246826101</v>
      </c>
      <c r="G872" s="1">
        <v>13306300</v>
      </c>
      <c r="H872" s="1">
        <f t="shared" si="13"/>
        <v>-7.1850974305647077E-3</v>
      </c>
    </row>
    <row r="873" spans="1:8" x14ac:dyDescent="0.35">
      <c r="A873" s="3">
        <v>45464</v>
      </c>
      <c r="B873" s="1">
        <v>62.180000305175703</v>
      </c>
      <c r="C873" s="1">
        <v>63.099998474121001</v>
      </c>
      <c r="D873" s="1">
        <v>62.180000305175703</v>
      </c>
      <c r="E873" s="1">
        <v>62.770000457763601</v>
      </c>
      <c r="F873" s="1">
        <v>60.100162506103501</v>
      </c>
      <c r="G873" s="1">
        <v>28278100</v>
      </c>
      <c r="H873" s="1">
        <f t="shared" si="13"/>
        <v>9.4885495826158902E-3</v>
      </c>
    </row>
    <row r="874" spans="1:8" x14ac:dyDescent="0.35">
      <c r="A874" s="3">
        <v>45467</v>
      </c>
      <c r="B874" s="1">
        <v>62.990001678466797</v>
      </c>
      <c r="C874" s="1">
        <v>64.059997558593693</v>
      </c>
      <c r="D874" s="1">
        <v>62.909999847412102</v>
      </c>
      <c r="E874" s="1">
        <v>63.970001220703097</v>
      </c>
      <c r="F874" s="1">
        <v>61.249130249023402</v>
      </c>
      <c r="G874" s="1">
        <v>13212500</v>
      </c>
      <c r="H874" s="1">
        <f t="shared" si="13"/>
        <v>1.9117548023322176E-2</v>
      </c>
    </row>
    <row r="875" spans="1:8" x14ac:dyDescent="0.35">
      <c r="A875" s="3">
        <v>45468</v>
      </c>
      <c r="B875" s="1">
        <v>63.939998626708899</v>
      </c>
      <c r="C875" s="1">
        <v>64.069999694824205</v>
      </c>
      <c r="D875" s="1">
        <v>63.509998321533203</v>
      </c>
      <c r="E875" s="1">
        <v>63.840000152587798</v>
      </c>
      <c r="F875" s="1">
        <v>61.1246528625488</v>
      </c>
      <c r="G875" s="1">
        <v>10235300</v>
      </c>
      <c r="H875" s="1">
        <f t="shared" si="13"/>
        <v>-2.0323127196828568E-3</v>
      </c>
    </row>
    <row r="876" spans="1:8" x14ac:dyDescent="0.35">
      <c r="A876" s="3">
        <v>45469</v>
      </c>
      <c r="B876" s="1">
        <v>63.400001525878899</v>
      </c>
      <c r="C876" s="1">
        <v>64.110000610351506</v>
      </c>
      <c r="D876" s="1">
        <v>63.2299995422363</v>
      </c>
      <c r="E876" s="1">
        <v>64.050003051757798</v>
      </c>
      <c r="F876" s="1">
        <v>61.325725555419901</v>
      </c>
      <c r="G876" s="1">
        <v>9402500</v>
      </c>
      <c r="H876" s="1">
        <f t="shared" si="13"/>
        <v>3.2895514895316239E-3</v>
      </c>
    </row>
    <row r="877" spans="1:8" x14ac:dyDescent="0.35">
      <c r="A877" s="3">
        <v>45470</v>
      </c>
      <c r="B877" s="1">
        <v>64.050003051757798</v>
      </c>
      <c r="C877" s="1">
        <v>64.269996643066406</v>
      </c>
      <c r="D877" s="1">
        <v>63.619998931884702</v>
      </c>
      <c r="E877" s="1">
        <v>63.909999847412102</v>
      </c>
      <c r="F877" s="1">
        <v>61.191677093505803</v>
      </c>
      <c r="G877" s="1">
        <v>8494100</v>
      </c>
      <c r="H877" s="1">
        <f t="shared" si="13"/>
        <v>-2.18584388036239E-3</v>
      </c>
    </row>
    <row r="878" spans="1:8" x14ac:dyDescent="0.35">
      <c r="A878" s="3">
        <v>45471</v>
      </c>
      <c r="B878" s="1">
        <v>63.900001525878899</v>
      </c>
      <c r="C878" s="1">
        <v>64.059997558593693</v>
      </c>
      <c r="D878" s="1">
        <v>63.520000457763601</v>
      </c>
      <c r="E878" s="1">
        <v>63.650001525878899</v>
      </c>
      <c r="F878" s="1">
        <v>60.942733764648402</v>
      </c>
      <c r="G878" s="1">
        <v>17358800</v>
      </c>
      <c r="H878" s="1">
        <f t="shared" si="13"/>
        <v>-4.0682547150488312E-3</v>
      </c>
    </row>
    <row r="879" spans="1:8" x14ac:dyDescent="0.35">
      <c r="A879" s="3">
        <v>45474</v>
      </c>
      <c r="B879" s="1">
        <v>64.029998779296804</v>
      </c>
      <c r="C879" s="1">
        <v>64.300003051757798</v>
      </c>
      <c r="D879" s="1">
        <v>63.119998931884702</v>
      </c>
      <c r="E879" s="1">
        <v>63.279998779296797</v>
      </c>
      <c r="F879" s="1">
        <v>60.588470458984297</v>
      </c>
      <c r="G879" s="1">
        <v>10033400</v>
      </c>
      <c r="H879" s="1">
        <f t="shared" si="13"/>
        <v>-5.8130524146195392E-3</v>
      </c>
    </row>
    <row r="880" spans="1:8" x14ac:dyDescent="0.35">
      <c r="A880" s="3">
        <v>45475</v>
      </c>
      <c r="B880" s="1">
        <v>63.259998321533203</v>
      </c>
      <c r="C880" s="1">
        <v>63.380001068115199</v>
      </c>
      <c r="D880" s="1">
        <v>62.860000610351499</v>
      </c>
      <c r="E880" s="1">
        <v>63.150001525878899</v>
      </c>
      <c r="F880" s="1">
        <v>60.464000701904297</v>
      </c>
      <c r="G880" s="1">
        <v>8878200</v>
      </c>
      <c r="H880" s="1">
        <f t="shared" si="13"/>
        <v>-2.0543472402766872E-3</v>
      </c>
    </row>
    <row r="881" spans="1:8" x14ac:dyDescent="0.35">
      <c r="A881" s="3">
        <v>45476</v>
      </c>
      <c r="B881" s="1">
        <v>63.189998626708899</v>
      </c>
      <c r="C881" s="1">
        <v>63.669998168945298</v>
      </c>
      <c r="D881" s="1">
        <v>62.930000305175703</v>
      </c>
      <c r="E881" s="1">
        <v>63.330001831054602</v>
      </c>
      <c r="F881" s="1">
        <v>60.6363525390625</v>
      </c>
      <c r="G881" s="1">
        <v>9154200</v>
      </c>
      <c r="H881" s="1">
        <f t="shared" si="13"/>
        <v>2.8504868212065721E-3</v>
      </c>
    </row>
    <row r="882" spans="1:8" x14ac:dyDescent="0.35">
      <c r="A882" s="3">
        <v>45478</v>
      </c>
      <c r="B882" s="1">
        <v>63.330001831054602</v>
      </c>
      <c r="C882" s="1">
        <v>63.790000915527301</v>
      </c>
      <c r="D882" s="1">
        <v>63</v>
      </c>
      <c r="E882" s="1">
        <v>63.759998321533203</v>
      </c>
      <c r="F882" s="1">
        <v>61.048053741455</v>
      </c>
      <c r="G882" s="1">
        <v>11735500</v>
      </c>
      <c r="H882" s="1">
        <f t="shared" si="13"/>
        <v>6.7896762445808102E-3</v>
      </c>
    </row>
    <row r="883" spans="1:8" x14ac:dyDescent="0.35">
      <c r="A883" s="3">
        <v>45481</v>
      </c>
      <c r="B883" s="1">
        <v>63.590000152587798</v>
      </c>
      <c r="C883" s="1">
        <v>63.590000152587798</v>
      </c>
      <c r="D883" s="1">
        <v>62.840000152587798</v>
      </c>
      <c r="E883" s="1">
        <v>62.959999084472599</v>
      </c>
      <c r="F883" s="1">
        <v>60.282077789306598</v>
      </c>
      <c r="G883" s="1">
        <v>11235100</v>
      </c>
      <c r="H883" s="1">
        <f t="shared" si="13"/>
        <v>-1.2547098641217811E-2</v>
      </c>
    </row>
    <row r="884" spans="1:8" x14ac:dyDescent="0.35">
      <c r="A884" s="3">
        <v>45482</v>
      </c>
      <c r="B884" s="1">
        <v>63.060001373291001</v>
      </c>
      <c r="C884" s="1">
        <v>63.2299995422363</v>
      </c>
      <c r="D884" s="1">
        <v>62.590000152587798</v>
      </c>
      <c r="E884" s="1">
        <v>62.689998626708899</v>
      </c>
      <c r="F884" s="1">
        <v>60.0235595703125</v>
      </c>
      <c r="G884" s="1">
        <v>11657500</v>
      </c>
      <c r="H884" s="1">
        <f t="shared" si="13"/>
        <v>-4.2884755880122699E-3</v>
      </c>
    </row>
    <row r="885" spans="1:8" x14ac:dyDescent="0.35">
      <c r="A885" s="3">
        <v>45483</v>
      </c>
      <c r="B885" s="1">
        <v>62.720001220703097</v>
      </c>
      <c r="C885" s="1">
        <v>62.860000610351499</v>
      </c>
      <c r="D885" s="1">
        <v>62.290000915527301</v>
      </c>
      <c r="E885" s="1">
        <v>62.830001831054602</v>
      </c>
      <c r="F885" s="1">
        <v>60.1576118469238</v>
      </c>
      <c r="G885" s="1">
        <v>11930400</v>
      </c>
      <c r="H885" s="1">
        <f t="shared" si="13"/>
        <v>2.2333276728493394E-3</v>
      </c>
    </row>
    <row r="886" spans="1:8" x14ac:dyDescent="0.35">
      <c r="A886" s="3">
        <v>45484</v>
      </c>
      <c r="B886" s="1">
        <v>62.639999389648402</v>
      </c>
      <c r="C886" s="1">
        <v>63.459999084472599</v>
      </c>
      <c r="D886" s="1">
        <v>62.400001525878899</v>
      </c>
      <c r="E886" s="1">
        <v>63.099998474121001</v>
      </c>
      <c r="F886" s="1">
        <v>60.416126251220703</v>
      </c>
      <c r="G886" s="1">
        <v>11431600</v>
      </c>
      <c r="H886" s="1">
        <f t="shared" si="13"/>
        <v>4.2972850211327454E-3</v>
      </c>
    </row>
    <row r="887" spans="1:8" x14ac:dyDescent="0.35">
      <c r="A887" s="3">
        <v>45485</v>
      </c>
      <c r="B887" s="1">
        <v>63.459999084472599</v>
      </c>
      <c r="C887" s="1">
        <v>64.110000610351506</v>
      </c>
      <c r="D887" s="1">
        <v>63.389999389648402</v>
      </c>
      <c r="E887" s="1">
        <v>63.700000762939403</v>
      </c>
      <c r="F887" s="1">
        <v>60.990608215332003</v>
      </c>
      <c r="G887" s="1">
        <v>9201500</v>
      </c>
      <c r="H887" s="1">
        <f t="shared" si="13"/>
        <v>9.5087520461425209E-3</v>
      </c>
    </row>
    <row r="888" spans="1:8" x14ac:dyDescent="0.35">
      <c r="A888" s="3">
        <v>45488</v>
      </c>
      <c r="B888" s="1">
        <v>63.790000915527301</v>
      </c>
      <c r="C888" s="1">
        <v>63.939998626708899</v>
      </c>
      <c r="D888" s="1">
        <v>63.349998474121001</v>
      </c>
      <c r="E888" s="1">
        <v>63.409999847412102</v>
      </c>
      <c r="F888" s="1">
        <v>60.712940216064403</v>
      </c>
      <c r="G888" s="1">
        <v>8207500</v>
      </c>
      <c r="H888" s="1">
        <f t="shared" si="13"/>
        <v>-4.5526353547298845E-3</v>
      </c>
    </row>
    <row r="889" spans="1:8" x14ac:dyDescent="0.35">
      <c r="A889" s="3">
        <v>45489</v>
      </c>
      <c r="B889" s="1">
        <v>63.430000305175703</v>
      </c>
      <c r="C889" s="1">
        <v>64.309997558593693</v>
      </c>
      <c r="D889" s="1">
        <v>63.389999389648402</v>
      </c>
      <c r="E889" s="1">
        <v>64.269996643066406</v>
      </c>
      <c r="F889" s="1">
        <v>61.536361694335902</v>
      </c>
      <c r="G889" s="1">
        <v>9025100</v>
      </c>
      <c r="H889" s="1">
        <f t="shared" si="13"/>
        <v>1.356253667407833E-2</v>
      </c>
    </row>
    <row r="890" spans="1:8" x14ac:dyDescent="0.35">
      <c r="A890" s="3">
        <v>45490</v>
      </c>
      <c r="B890" s="1">
        <v>64.470001220703097</v>
      </c>
      <c r="C890" s="1">
        <v>65.389999389648395</v>
      </c>
      <c r="D890" s="1">
        <v>64.410003662109304</v>
      </c>
      <c r="E890" s="1">
        <v>65.209999084472599</v>
      </c>
      <c r="F890" s="1">
        <v>62.436386108398402</v>
      </c>
      <c r="G890" s="1">
        <v>12508200</v>
      </c>
      <c r="H890" s="1">
        <f t="shared" si="13"/>
        <v>1.4625895800163019E-2</v>
      </c>
    </row>
    <row r="891" spans="1:8" x14ac:dyDescent="0.35">
      <c r="A891" s="3">
        <v>45491</v>
      </c>
      <c r="B891" s="1">
        <v>64.800003051757798</v>
      </c>
      <c r="C891" s="1">
        <v>65.809997558593693</v>
      </c>
      <c r="D891" s="1">
        <v>64.720001220703097</v>
      </c>
      <c r="E891" s="1">
        <v>65.190002441406193</v>
      </c>
      <c r="F891" s="1">
        <v>62.417228698730398</v>
      </c>
      <c r="G891" s="1">
        <v>11128200</v>
      </c>
      <c r="H891" s="1">
        <f t="shared" si="13"/>
        <v>-3.0683085396301289E-4</v>
      </c>
    </row>
    <row r="892" spans="1:8" x14ac:dyDescent="0.35">
      <c r="A892" s="3">
        <v>45492</v>
      </c>
      <c r="B892" s="1">
        <v>65.639999389648395</v>
      </c>
      <c r="C892" s="1">
        <v>65.639999389648395</v>
      </c>
      <c r="D892" s="1">
        <v>64.819999694824205</v>
      </c>
      <c r="E892" s="1">
        <v>65.290000915527301</v>
      </c>
      <c r="F892" s="1">
        <v>62.512977600097599</v>
      </c>
      <c r="G892" s="1">
        <v>13775700</v>
      </c>
      <c r="H892" s="1">
        <f t="shared" si="13"/>
        <v>1.5340139792068227E-3</v>
      </c>
    </row>
    <row r="893" spans="1:8" x14ac:dyDescent="0.35">
      <c r="A893" s="3">
        <v>45495</v>
      </c>
      <c r="B893" s="1">
        <v>65.25</v>
      </c>
      <c r="C893" s="1">
        <v>65.290000915527301</v>
      </c>
      <c r="D893" s="1">
        <v>64.319999694824205</v>
      </c>
      <c r="E893" s="1">
        <v>64.769996643066406</v>
      </c>
      <c r="F893" s="1">
        <v>62.01509475708</v>
      </c>
      <c r="G893" s="1">
        <v>11794200</v>
      </c>
      <c r="H893" s="1">
        <f t="shared" si="13"/>
        <v>-7.9644717326154395E-3</v>
      </c>
    </row>
    <row r="894" spans="1:8" x14ac:dyDescent="0.35">
      <c r="A894" s="3">
        <v>45496</v>
      </c>
      <c r="B894" s="1">
        <v>65.430000305175696</v>
      </c>
      <c r="C894" s="1">
        <v>66.040000915527301</v>
      </c>
      <c r="D894" s="1">
        <v>64.849998474121094</v>
      </c>
      <c r="E894" s="1">
        <v>64.959999084472599</v>
      </c>
      <c r="F894" s="1">
        <v>62.197021484375</v>
      </c>
      <c r="G894" s="1">
        <v>11810300</v>
      </c>
      <c r="H894" s="1">
        <f t="shared" si="13"/>
        <v>2.9335878306342542E-3</v>
      </c>
    </row>
    <row r="895" spans="1:8" x14ac:dyDescent="0.35">
      <c r="A895" s="3">
        <v>45497</v>
      </c>
      <c r="B895" s="1">
        <v>65.089996337890597</v>
      </c>
      <c r="C895" s="1">
        <v>65.970001220703097</v>
      </c>
      <c r="D895" s="1">
        <v>64.830001831054602</v>
      </c>
      <c r="E895" s="1">
        <v>65.809997558593693</v>
      </c>
      <c r="F895" s="1">
        <v>63.010860443115199</v>
      </c>
      <c r="G895" s="1">
        <v>13244600</v>
      </c>
      <c r="H895" s="1">
        <f t="shared" si="13"/>
        <v>1.3084854215159638E-2</v>
      </c>
    </row>
    <row r="896" spans="1:8" x14ac:dyDescent="0.35">
      <c r="A896" s="3">
        <v>45498</v>
      </c>
      <c r="B896" s="1">
        <v>66.040000915527301</v>
      </c>
      <c r="C896" s="1">
        <v>66.889999389648395</v>
      </c>
      <c r="D896" s="1">
        <v>65.860000610351506</v>
      </c>
      <c r="E896" s="1">
        <v>66.069999694824205</v>
      </c>
      <c r="F896" s="1">
        <v>63.259807586669901</v>
      </c>
      <c r="G896" s="1">
        <v>16328600</v>
      </c>
      <c r="H896" s="1">
        <f t="shared" si="13"/>
        <v>3.9508608802358075E-3</v>
      </c>
    </row>
    <row r="897" spans="1:8" x14ac:dyDescent="0.35">
      <c r="A897" s="3">
        <v>45499</v>
      </c>
      <c r="B897" s="1">
        <v>66.069999694824205</v>
      </c>
      <c r="C897" s="1">
        <v>67.110000610351506</v>
      </c>
      <c r="D897" s="1">
        <v>66.010002136230398</v>
      </c>
      <c r="E897" s="1">
        <v>67.050003051757798</v>
      </c>
      <c r="F897" s="1">
        <v>64.1981201171875</v>
      </c>
      <c r="G897" s="1">
        <v>13530100</v>
      </c>
      <c r="H897" s="1">
        <f t="shared" si="13"/>
        <v>1.4832680754396107E-2</v>
      </c>
    </row>
    <row r="898" spans="1:8" x14ac:dyDescent="0.35">
      <c r="A898" s="3">
        <v>45502</v>
      </c>
      <c r="B898" s="1">
        <v>66.879997253417898</v>
      </c>
      <c r="C898" s="1">
        <v>67.029998779296804</v>
      </c>
      <c r="D898" s="1">
        <v>66.389999389648395</v>
      </c>
      <c r="E898" s="1">
        <v>66.830001831054602</v>
      </c>
      <c r="F898" s="1">
        <v>63.987480163574197</v>
      </c>
      <c r="G898" s="1">
        <v>12140200</v>
      </c>
      <c r="H898" s="1">
        <f t="shared" si="13"/>
        <v>-3.2810922380406087E-3</v>
      </c>
    </row>
    <row r="899" spans="1:8" x14ac:dyDescent="0.35">
      <c r="A899" s="3">
        <v>45503</v>
      </c>
      <c r="B899" s="1">
        <v>66.480003356933594</v>
      </c>
      <c r="C899" s="1">
        <v>67.830001831054602</v>
      </c>
      <c r="D899" s="1">
        <v>66.360000610351506</v>
      </c>
      <c r="E899" s="1">
        <v>67.680000305175696</v>
      </c>
      <c r="F899" s="1">
        <v>64.801315307617102</v>
      </c>
      <c r="G899" s="1">
        <v>13258000</v>
      </c>
      <c r="H899" s="1">
        <f t="shared" si="13"/>
        <v>1.2718662181452681E-2</v>
      </c>
    </row>
    <row r="900" spans="1:8" x14ac:dyDescent="0.35">
      <c r="A900" s="3">
        <v>45504</v>
      </c>
      <c r="B900" s="1">
        <v>67.5</v>
      </c>
      <c r="C900" s="1">
        <v>67.610000610351506</v>
      </c>
      <c r="D900" s="1">
        <v>66.610000610351506</v>
      </c>
      <c r="E900" s="1">
        <v>66.739997863769503</v>
      </c>
      <c r="F900" s="1">
        <v>63.901302337646399</v>
      </c>
      <c r="G900" s="1">
        <v>15576800</v>
      </c>
      <c r="H900" s="1">
        <f t="shared" ref="H900:H963" si="14">(F900-F899)/F899</f>
        <v>-1.3888807128347141E-2</v>
      </c>
    </row>
    <row r="901" spans="1:8" x14ac:dyDescent="0.35">
      <c r="A901" s="3">
        <v>45505</v>
      </c>
      <c r="B901" s="1">
        <v>67</v>
      </c>
      <c r="C901" s="1">
        <v>68.110000610351506</v>
      </c>
      <c r="D901" s="1">
        <v>66.699996948242102</v>
      </c>
      <c r="E901" s="1">
        <v>67.959999084472599</v>
      </c>
      <c r="F901" s="1">
        <v>65.069412231445298</v>
      </c>
      <c r="G901" s="1">
        <v>16495900</v>
      </c>
      <c r="H901" s="1">
        <f t="shared" si="14"/>
        <v>1.8279907467718799E-2</v>
      </c>
    </row>
    <row r="902" spans="1:8" x14ac:dyDescent="0.35">
      <c r="A902" s="3">
        <v>45506</v>
      </c>
      <c r="B902" s="1">
        <v>68.529998779296804</v>
      </c>
      <c r="C902" s="1">
        <v>69.669998168945298</v>
      </c>
      <c r="D902" s="1">
        <v>67.690002441406193</v>
      </c>
      <c r="E902" s="1">
        <v>69.330001831054602</v>
      </c>
      <c r="F902" s="1">
        <v>66.381149291992102</v>
      </c>
      <c r="G902" s="1">
        <v>22514800</v>
      </c>
      <c r="H902" s="1">
        <f t="shared" si="14"/>
        <v>2.0159042713972709E-2</v>
      </c>
    </row>
    <row r="903" spans="1:8" x14ac:dyDescent="0.35">
      <c r="A903" s="3">
        <v>45509</v>
      </c>
      <c r="B903" s="1">
        <v>68.989997863769503</v>
      </c>
      <c r="C903" s="1">
        <v>69.550003051757798</v>
      </c>
      <c r="D903" s="1">
        <v>67.730003356933594</v>
      </c>
      <c r="E903" s="1">
        <v>68.099998474121094</v>
      </c>
      <c r="F903" s="1">
        <v>65.203453063964801</v>
      </c>
      <c r="G903" s="1">
        <v>25484300</v>
      </c>
      <c r="H903" s="1">
        <f t="shared" si="14"/>
        <v>-1.7741425699741124E-2</v>
      </c>
    </row>
    <row r="904" spans="1:8" x14ac:dyDescent="0.35">
      <c r="A904" s="3">
        <v>45510</v>
      </c>
      <c r="B904" s="1">
        <v>68.150001525878906</v>
      </c>
      <c r="C904" s="1">
        <v>68.839996337890597</v>
      </c>
      <c r="D904" s="1">
        <v>67.769996643066406</v>
      </c>
      <c r="E904" s="1">
        <v>68.050003051757798</v>
      </c>
      <c r="F904" s="1">
        <v>65.155593872070298</v>
      </c>
      <c r="G904" s="1">
        <v>12969100</v>
      </c>
      <c r="H904" s="1">
        <f t="shared" si="14"/>
        <v>-7.3399781216422391E-4</v>
      </c>
    </row>
    <row r="905" spans="1:8" x14ac:dyDescent="0.35">
      <c r="A905" s="3">
        <v>45511</v>
      </c>
      <c r="B905" s="1">
        <v>68.050003051757798</v>
      </c>
      <c r="C905" s="1">
        <v>69.180000305175696</v>
      </c>
      <c r="D905" s="1">
        <v>67.830001831054602</v>
      </c>
      <c r="E905" s="1">
        <v>68.459999084472599</v>
      </c>
      <c r="F905" s="1">
        <v>65.548141479492102</v>
      </c>
      <c r="G905" s="1">
        <v>13365300</v>
      </c>
      <c r="H905" s="1">
        <f t="shared" si="14"/>
        <v>6.0247721506851929E-3</v>
      </c>
    </row>
    <row r="906" spans="1:8" x14ac:dyDescent="0.35">
      <c r="A906" s="3">
        <v>45512</v>
      </c>
      <c r="B906" s="1">
        <v>68</v>
      </c>
      <c r="C906" s="1">
        <v>68.860000610351506</v>
      </c>
      <c r="D906" s="1">
        <v>67.849998474121094</v>
      </c>
      <c r="E906" s="1">
        <v>68.730003356933594</v>
      </c>
      <c r="F906" s="1">
        <v>65.806671142578097</v>
      </c>
      <c r="G906" s="1">
        <v>15240900</v>
      </c>
      <c r="H906" s="1">
        <f t="shared" si="14"/>
        <v>3.9441188911035702E-3</v>
      </c>
    </row>
    <row r="907" spans="1:8" x14ac:dyDescent="0.35">
      <c r="A907" s="3">
        <v>45513</v>
      </c>
      <c r="B907" s="1">
        <v>68.699996948242102</v>
      </c>
      <c r="C907" s="1">
        <v>68.790000915527301</v>
      </c>
      <c r="D907" s="1">
        <v>68.25</v>
      </c>
      <c r="E907" s="1">
        <v>68.680000305175696</v>
      </c>
      <c r="F907" s="1">
        <v>65.7587890625</v>
      </c>
      <c r="G907" s="1">
        <v>12080400</v>
      </c>
      <c r="H907" s="1">
        <f t="shared" si="14"/>
        <v>-7.2761741699947516E-4</v>
      </c>
    </row>
    <row r="908" spans="1:8" x14ac:dyDescent="0.35">
      <c r="A908" s="3">
        <v>45516</v>
      </c>
      <c r="B908" s="1">
        <v>68.449996948242102</v>
      </c>
      <c r="C908" s="1">
        <v>68.540000915527301</v>
      </c>
      <c r="D908" s="1">
        <v>67.830001831054602</v>
      </c>
      <c r="E908" s="1">
        <v>68.169998168945298</v>
      </c>
      <c r="F908" s="1">
        <v>65.270484924316406</v>
      </c>
      <c r="G908" s="1">
        <v>11012300</v>
      </c>
      <c r="H908" s="1">
        <f t="shared" si="14"/>
        <v>-7.4256862868853678E-3</v>
      </c>
    </row>
    <row r="909" spans="1:8" x14ac:dyDescent="0.35">
      <c r="A909" s="3">
        <v>45517</v>
      </c>
      <c r="B909" s="1">
        <v>68.080001831054602</v>
      </c>
      <c r="C909" s="1">
        <v>68.610000610351506</v>
      </c>
      <c r="D909" s="1">
        <v>68.010002136230398</v>
      </c>
      <c r="E909" s="1">
        <v>68.459999084472599</v>
      </c>
      <c r="F909" s="1">
        <v>65.548141479492102</v>
      </c>
      <c r="G909" s="1">
        <v>9877600</v>
      </c>
      <c r="H909" s="1">
        <f t="shared" si="14"/>
        <v>4.2539373730354421E-3</v>
      </c>
    </row>
    <row r="910" spans="1:8" x14ac:dyDescent="0.35">
      <c r="A910" s="3">
        <v>45518</v>
      </c>
      <c r="B910" s="1">
        <v>68.230003356933594</v>
      </c>
      <c r="C910" s="1">
        <v>68.889999389648395</v>
      </c>
      <c r="D910" s="1">
        <v>68.129997253417898</v>
      </c>
      <c r="E910" s="1">
        <v>68.580001831054602</v>
      </c>
      <c r="F910" s="1">
        <v>65.663040161132798</v>
      </c>
      <c r="G910" s="1">
        <v>14328000</v>
      </c>
      <c r="H910" s="1">
        <f t="shared" si="14"/>
        <v>1.7528899988208536E-3</v>
      </c>
    </row>
    <row r="911" spans="1:8" x14ac:dyDescent="0.35">
      <c r="A911" s="3">
        <v>45519</v>
      </c>
      <c r="B911" s="1">
        <v>68.620002746582003</v>
      </c>
      <c r="C911" s="1">
        <v>68.919998168945298</v>
      </c>
      <c r="D911" s="1">
        <v>68.5</v>
      </c>
      <c r="E911" s="1">
        <v>68.650001525878906</v>
      </c>
      <c r="F911" s="1">
        <v>65.730079650878906</v>
      </c>
      <c r="G911" s="1">
        <v>11285100</v>
      </c>
      <c r="H911" s="1">
        <f t="shared" si="14"/>
        <v>1.0209623188569619E-3</v>
      </c>
    </row>
    <row r="912" spans="1:8" x14ac:dyDescent="0.35">
      <c r="A912" s="3">
        <v>45520</v>
      </c>
      <c r="B912" s="1">
        <v>68.839996337890597</v>
      </c>
      <c r="C912" s="1">
        <v>69.300003051757798</v>
      </c>
      <c r="D912" s="1">
        <v>68.639999389648395</v>
      </c>
      <c r="E912" s="1">
        <v>69.180000305175696</v>
      </c>
      <c r="F912" s="1">
        <v>66.237518310546804</v>
      </c>
      <c r="G912" s="1">
        <v>12651200</v>
      </c>
      <c r="H912" s="1">
        <f t="shared" si="14"/>
        <v>7.7200371939776359E-3</v>
      </c>
    </row>
    <row r="913" spans="1:8" x14ac:dyDescent="0.35">
      <c r="A913" s="3">
        <v>45523</v>
      </c>
      <c r="B913" s="1">
        <v>69.349998474121094</v>
      </c>
      <c r="C913" s="1">
        <v>69.419998168945298</v>
      </c>
      <c r="D913" s="1">
        <v>68.849998474121094</v>
      </c>
      <c r="E913" s="1">
        <v>68.980003356933594</v>
      </c>
      <c r="F913" s="1">
        <v>66.046028137207003</v>
      </c>
      <c r="G913" s="1">
        <v>9843900</v>
      </c>
      <c r="H913" s="1">
        <f t="shared" si="14"/>
        <v>-2.8909623763683596E-3</v>
      </c>
    </row>
    <row r="914" spans="1:8" x14ac:dyDescent="0.35">
      <c r="A914" s="3">
        <v>45524</v>
      </c>
      <c r="B914" s="1">
        <v>68.989997863769503</v>
      </c>
      <c r="C914" s="1">
        <v>69.389999389648395</v>
      </c>
      <c r="D914" s="1">
        <v>68.769996643066406</v>
      </c>
      <c r="E914" s="1">
        <v>69.379997253417898</v>
      </c>
      <c r="F914" s="1">
        <v>66.429016113281193</v>
      </c>
      <c r="G914" s="1">
        <v>11957400</v>
      </c>
      <c r="H914" s="1">
        <f t="shared" si="14"/>
        <v>5.7988040594743077E-3</v>
      </c>
    </row>
    <row r="915" spans="1:8" x14ac:dyDescent="0.35">
      <c r="A915" s="3">
        <v>45525</v>
      </c>
      <c r="B915" s="1">
        <v>69.480003356933594</v>
      </c>
      <c r="C915" s="1">
        <v>70.129997253417898</v>
      </c>
      <c r="D915" s="1">
        <v>69.330001831054602</v>
      </c>
      <c r="E915" s="1">
        <v>69.569999694824205</v>
      </c>
      <c r="F915" s="1">
        <v>66.610931396484304</v>
      </c>
      <c r="G915" s="1">
        <v>8792400</v>
      </c>
      <c r="H915" s="1">
        <f t="shared" si="14"/>
        <v>2.7384913076672884E-3</v>
      </c>
    </row>
    <row r="916" spans="1:8" x14ac:dyDescent="0.35">
      <c r="A916" s="3">
        <v>45526</v>
      </c>
      <c r="B916" s="1">
        <v>69.919998168945298</v>
      </c>
      <c r="C916" s="1">
        <v>69.919998168945298</v>
      </c>
      <c r="D916" s="1">
        <v>68.790000915527301</v>
      </c>
      <c r="E916" s="1">
        <v>69.330001831054602</v>
      </c>
      <c r="F916" s="1">
        <v>66.381149291992102</v>
      </c>
      <c r="G916" s="1">
        <v>12509200</v>
      </c>
      <c r="H916" s="1">
        <f t="shared" si="14"/>
        <v>-3.449615546200417E-3</v>
      </c>
    </row>
    <row r="917" spans="1:8" x14ac:dyDescent="0.35">
      <c r="A917" s="3">
        <v>45527</v>
      </c>
      <c r="B917" s="1">
        <v>69.400001525878906</v>
      </c>
      <c r="C917" s="1">
        <v>69.849998474121094</v>
      </c>
      <c r="D917" s="1">
        <v>68.940002441406193</v>
      </c>
      <c r="E917" s="1">
        <v>69.790000915527301</v>
      </c>
      <c r="F917" s="1">
        <v>66.821578979492102</v>
      </c>
      <c r="G917" s="1">
        <v>11834700</v>
      </c>
      <c r="H917" s="1">
        <f t="shared" si="14"/>
        <v>6.6348608331963802E-3</v>
      </c>
    </row>
    <row r="918" spans="1:8" x14ac:dyDescent="0.35">
      <c r="A918" s="3">
        <v>45530</v>
      </c>
      <c r="B918" s="1">
        <v>69.830001831054602</v>
      </c>
      <c r="C918" s="1">
        <v>70.919998168945298</v>
      </c>
      <c r="D918" s="1">
        <v>69.730003356933594</v>
      </c>
      <c r="E918" s="1">
        <v>70.839996337890597</v>
      </c>
      <c r="F918" s="1">
        <v>67.826911926269503</v>
      </c>
      <c r="G918" s="1">
        <v>12912200</v>
      </c>
      <c r="H918" s="1">
        <f t="shared" si="14"/>
        <v>1.5045034285794753E-2</v>
      </c>
    </row>
    <row r="919" spans="1:8" x14ac:dyDescent="0.35">
      <c r="A919" s="3">
        <v>45531</v>
      </c>
      <c r="B919" s="1">
        <v>71.319999694824205</v>
      </c>
      <c r="C919" s="1">
        <v>71.529998779296804</v>
      </c>
      <c r="D919" s="1">
        <v>71.050003051757798</v>
      </c>
      <c r="E919" s="1">
        <v>71.5</v>
      </c>
      <c r="F919" s="1">
        <v>68.458839416503906</v>
      </c>
      <c r="G919" s="1">
        <v>16988400</v>
      </c>
      <c r="H919" s="1">
        <f t="shared" si="14"/>
        <v>9.3167663437387985E-3</v>
      </c>
    </row>
    <row r="920" spans="1:8" x14ac:dyDescent="0.35">
      <c r="A920" s="3">
        <v>45532</v>
      </c>
      <c r="B920" s="1">
        <v>71.610000610351506</v>
      </c>
      <c r="C920" s="1">
        <v>71.809997558593693</v>
      </c>
      <c r="D920" s="1">
        <v>71.300003051757798</v>
      </c>
      <c r="E920" s="1">
        <v>71.75</v>
      </c>
      <c r="F920" s="1">
        <v>68.698211669921804</v>
      </c>
      <c r="G920" s="1">
        <v>13272600</v>
      </c>
      <c r="H920" s="1">
        <f t="shared" si="14"/>
        <v>3.496586495741708E-3</v>
      </c>
    </row>
    <row r="921" spans="1:8" x14ac:dyDescent="0.35">
      <c r="A921" s="3">
        <v>45533</v>
      </c>
      <c r="B921" s="1">
        <v>71.900001525878906</v>
      </c>
      <c r="C921" s="1">
        <v>72.220001220703097</v>
      </c>
      <c r="D921" s="1">
        <v>71.230003356933594</v>
      </c>
      <c r="E921" s="1">
        <v>72.050003051757798</v>
      </c>
      <c r="F921" s="1">
        <v>68.985458374023395</v>
      </c>
      <c r="G921" s="1">
        <v>17201700</v>
      </c>
      <c r="H921" s="1">
        <f t="shared" si="14"/>
        <v>4.1812835752077721E-3</v>
      </c>
    </row>
    <row r="922" spans="1:8" x14ac:dyDescent="0.35">
      <c r="A922" s="3">
        <v>45534</v>
      </c>
      <c r="B922" s="1">
        <v>72.199996948242102</v>
      </c>
      <c r="C922" s="1">
        <v>72.569999694824205</v>
      </c>
      <c r="D922" s="1">
        <v>71.779998779296804</v>
      </c>
      <c r="E922" s="1">
        <v>72.470001220703097</v>
      </c>
      <c r="F922" s="1">
        <v>69.387580871582003</v>
      </c>
      <c r="G922" s="1">
        <v>18624200</v>
      </c>
      <c r="H922" s="1">
        <f t="shared" si="14"/>
        <v>5.8290907538570179E-3</v>
      </c>
    </row>
    <row r="923" spans="1:8" x14ac:dyDescent="0.35">
      <c r="A923" s="3">
        <v>45538</v>
      </c>
      <c r="B923" s="1">
        <v>72.440002441406193</v>
      </c>
      <c r="C923" s="1">
        <v>73.290000915527301</v>
      </c>
      <c r="D923" s="1">
        <v>72.25</v>
      </c>
      <c r="E923" s="1">
        <v>73.010002136230398</v>
      </c>
      <c r="F923" s="1">
        <v>69.904617309570298</v>
      </c>
      <c r="G923" s="1">
        <v>14755800</v>
      </c>
      <c r="H923" s="1">
        <f t="shared" si="14"/>
        <v>7.4514261989503958E-3</v>
      </c>
    </row>
    <row r="924" spans="1:8" x14ac:dyDescent="0.35">
      <c r="A924" s="3">
        <v>45539</v>
      </c>
      <c r="B924" s="1">
        <v>73.300003051757798</v>
      </c>
      <c r="C924" s="1">
        <v>73.529998779296804</v>
      </c>
      <c r="D924" s="1">
        <v>71.910003662109304</v>
      </c>
      <c r="E924" s="1">
        <v>72.559997558593693</v>
      </c>
      <c r="F924" s="1">
        <v>69.473762512207003</v>
      </c>
      <c r="G924" s="1">
        <v>18140800</v>
      </c>
      <c r="H924" s="1">
        <f t="shared" si="14"/>
        <v>-6.163466934598457E-3</v>
      </c>
    </row>
    <row r="925" spans="1:8" x14ac:dyDescent="0.35">
      <c r="A925" s="3">
        <v>45540</v>
      </c>
      <c r="B925" s="1">
        <v>72.620002746582003</v>
      </c>
      <c r="C925" s="1">
        <v>72.680000305175696</v>
      </c>
      <c r="D925" s="1">
        <v>70.980003356933594</v>
      </c>
      <c r="E925" s="1">
        <v>71.169998168945298</v>
      </c>
      <c r="F925" s="1">
        <v>68.142883300781193</v>
      </c>
      <c r="G925" s="1">
        <v>23866100</v>
      </c>
      <c r="H925" s="1">
        <f t="shared" si="14"/>
        <v>-1.9156573119124869E-2</v>
      </c>
    </row>
    <row r="926" spans="1:8" x14ac:dyDescent="0.35">
      <c r="A926" s="3">
        <v>45541</v>
      </c>
      <c r="B926" s="1">
        <v>70.989997863769503</v>
      </c>
      <c r="C926" s="1">
        <v>71.669998168945298</v>
      </c>
      <c r="D926" s="1">
        <v>70.889999389648395</v>
      </c>
      <c r="E926" s="1">
        <v>71.139999389648395</v>
      </c>
      <c r="F926" s="1">
        <v>68.114158630371094</v>
      </c>
      <c r="G926" s="1">
        <v>17485700</v>
      </c>
      <c r="H926" s="1">
        <f t="shared" si="14"/>
        <v>-4.2153588193956132E-4</v>
      </c>
    </row>
    <row r="927" spans="1:8" x14ac:dyDescent="0.35">
      <c r="A927" s="3">
        <v>45544</v>
      </c>
      <c r="B927" s="1">
        <v>71.230003356933594</v>
      </c>
      <c r="C927" s="1">
        <v>72.309997558593693</v>
      </c>
      <c r="D927" s="1">
        <v>70.980003356933594</v>
      </c>
      <c r="E927" s="1">
        <v>71.849998474121094</v>
      </c>
      <c r="F927" s="1">
        <v>68.793960571289006</v>
      </c>
      <c r="G927" s="1">
        <v>12939300</v>
      </c>
      <c r="H927" s="1">
        <f t="shared" si="14"/>
        <v>9.9803323506780905E-3</v>
      </c>
    </row>
    <row r="928" spans="1:8" x14ac:dyDescent="0.35">
      <c r="A928" s="3">
        <v>45545</v>
      </c>
      <c r="B928" s="1">
        <v>71.970001220703097</v>
      </c>
      <c r="C928" s="1">
        <v>72.419998168945298</v>
      </c>
      <c r="D928" s="1">
        <v>71.519996643066406</v>
      </c>
      <c r="E928" s="1">
        <v>71.550003051757798</v>
      </c>
      <c r="F928" s="1">
        <v>68.506721496582003</v>
      </c>
      <c r="G928" s="1">
        <v>10277600</v>
      </c>
      <c r="H928" s="1">
        <f t="shared" si="14"/>
        <v>-4.1753530734626922E-3</v>
      </c>
    </row>
    <row r="929" spans="1:8" x14ac:dyDescent="0.35">
      <c r="A929" s="3">
        <v>45546</v>
      </c>
      <c r="B929" s="1">
        <v>71.360000610351506</v>
      </c>
      <c r="C929" s="1">
        <v>71.370002746582003</v>
      </c>
      <c r="D929" s="1">
        <v>70.569999694824205</v>
      </c>
      <c r="E929" s="1">
        <v>71.080001831054602</v>
      </c>
      <c r="F929" s="1">
        <v>68.056716918945298</v>
      </c>
      <c r="G929" s="1">
        <v>11418200</v>
      </c>
      <c r="H929" s="1">
        <f t="shared" si="14"/>
        <v>-6.5687653387289388E-3</v>
      </c>
    </row>
    <row r="930" spans="1:8" x14ac:dyDescent="0.35">
      <c r="A930" s="3">
        <v>45547</v>
      </c>
      <c r="B930" s="1">
        <v>71</v>
      </c>
      <c r="C930" s="1">
        <v>71.379997253417898</v>
      </c>
      <c r="D930" s="1">
        <v>70.660003662109304</v>
      </c>
      <c r="E930" s="1">
        <v>71.230003356933594</v>
      </c>
      <c r="F930" s="1">
        <v>68.200340270996094</v>
      </c>
      <c r="G930" s="1">
        <v>12337800</v>
      </c>
      <c r="H930" s="1">
        <f t="shared" si="14"/>
        <v>2.1103479355586473E-3</v>
      </c>
    </row>
    <row r="931" spans="1:8" x14ac:dyDescent="0.35">
      <c r="A931" s="3">
        <v>45548</v>
      </c>
      <c r="B931" s="1">
        <v>70.839996337890597</v>
      </c>
      <c r="C931" s="1">
        <v>71.470001220703097</v>
      </c>
      <c r="D931" s="1">
        <v>70.480003356933594</v>
      </c>
      <c r="E931" s="1">
        <v>71.410003662109304</v>
      </c>
      <c r="F931" s="1">
        <v>68.841407775878906</v>
      </c>
      <c r="G931" s="1">
        <v>11073800</v>
      </c>
      <c r="H931" s="1">
        <f t="shared" si="14"/>
        <v>9.3997698887646544E-3</v>
      </c>
    </row>
    <row r="932" spans="1:8" x14ac:dyDescent="0.35">
      <c r="A932" s="3">
        <v>45551</v>
      </c>
      <c r="B932" s="1">
        <v>71.769996643066406</v>
      </c>
      <c r="C932" s="1">
        <v>72.239997863769503</v>
      </c>
      <c r="D932" s="1">
        <v>71.620002746582003</v>
      </c>
      <c r="E932" s="1">
        <v>72.099998474121094</v>
      </c>
      <c r="F932" s="1">
        <v>69.506591796875</v>
      </c>
      <c r="G932" s="1">
        <v>10786500</v>
      </c>
      <c r="H932" s="1">
        <f t="shared" si="14"/>
        <v>9.6625569186742453E-3</v>
      </c>
    </row>
    <row r="933" spans="1:8" x14ac:dyDescent="0.35">
      <c r="A933" s="3">
        <v>45552</v>
      </c>
      <c r="B933" s="1">
        <v>71.900001525878906</v>
      </c>
      <c r="C933" s="1">
        <v>72.349998474121094</v>
      </c>
      <c r="D933" s="1">
        <v>71.720001220703097</v>
      </c>
      <c r="E933" s="1">
        <v>71.800003051757798</v>
      </c>
      <c r="F933" s="1">
        <v>69.217391967773395</v>
      </c>
      <c r="G933" s="1">
        <v>12974400</v>
      </c>
      <c r="H933" s="1">
        <f t="shared" si="14"/>
        <v>-4.1607539893015943E-3</v>
      </c>
    </row>
    <row r="934" spans="1:8" x14ac:dyDescent="0.35">
      <c r="A934" s="3">
        <v>45553</v>
      </c>
      <c r="B934" s="1">
        <v>71.889999389648395</v>
      </c>
      <c r="C934" s="1">
        <v>72.379997253417898</v>
      </c>
      <c r="D934" s="1">
        <v>71.269996643066406</v>
      </c>
      <c r="E934" s="1">
        <v>71.75</v>
      </c>
      <c r="F934" s="1">
        <v>69.169181823730398</v>
      </c>
      <c r="G934" s="1">
        <v>10719700</v>
      </c>
      <c r="H934" s="1">
        <f t="shared" si="14"/>
        <v>-6.9650333062885568E-4</v>
      </c>
    </row>
    <row r="935" spans="1:8" x14ac:dyDescent="0.35">
      <c r="A935" s="3">
        <v>45554</v>
      </c>
      <c r="B935" s="1">
        <v>71.559997558593693</v>
      </c>
      <c r="C935" s="1">
        <v>71.940002441406193</v>
      </c>
      <c r="D935" s="1">
        <v>70.599998474121094</v>
      </c>
      <c r="E935" s="1">
        <v>70.620002746582003</v>
      </c>
      <c r="F935" s="1">
        <v>68.079833984375</v>
      </c>
      <c r="G935" s="1">
        <v>13635600</v>
      </c>
      <c r="H935" s="1">
        <f t="shared" si="14"/>
        <v>-1.5749034622550166E-2</v>
      </c>
    </row>
    <row r="936" spans="1:8" x14ac:dyDescent="0.35">
      <c r="A936" s="3">
        <v>45555</v>
      </c>
      <c r="B936" s="1">
        <v>70.410003662109304</v>
      </c>
      <c r="C936" s="1">
        <v>71.800003051757798</v>
      </c>
      <c r="D936" s="1">
        <v>70.379997253417898</v>
      </c>
      <c r="E936" s="1">
        <v>71.639999389648395</v>
      </c>
      <c r="F936" s="1">
        <v>69.063148498535099</v>
      </c>
      <c r="G936" s="1">
        <v>48578500</v>
      </c>
      <c r="H936" s="1">
        <f t="shared" si="14"/>
        <v>1.4443550411503352E-2</v>
      </c>
    </row>
    <row r="937" spans="1:8" x14ac:dyDescent="0.35">
      <c r="A937" s="3">
        <v>45558</v>
      </c>
      <c r="B937" s="1">
        <v>71.550003051757798</v>
      </c>
      <c r="C937" s="1">
        <v>72.199996948242102</v>
      </c>
      <c r="D937" s="1">
        <v>71.180000305175696</v>
      </c>
      <c r="E937" s="1">
        <v>71.730003356933594</v>
      </c>
      <c r="F937" s="1">
        <v>69.14990234375</v>
      </c>
      <c r="G937" s="1">
        <v>11613000</v>
      </c>
      <c r="H937" s="1">
        <f t="shared" si="14"/>
        <v>1.2561524793029198E-3</v>
      </c>
    </row>
    <row r="938" spans="1:8" x14ac:dyDescent="0.35">
      <c r="A938" s="3">
        <v>45559</v>
      </c>
      <c r="B938" s="1">
        <v>71.220001220703097</v>
      </c>
      <c r="C938" s="1">
        <v>71.819999694824205</v>
      </c>
      <c r="D938" s="1">
        <v>70.599998474121094</v>
      </c>
      <c r="E938" s="1">
        <v>71.330001831054602</v>
      </c>
      <c r="F938" s="1">
        <v>68.764289855957003</v>
      </c>
      <c r="G938" s="1">
        <v>13330600</v>
      </c>
      <c r="H938" s="1">
        <f t="shared" si="14"/>
        <v>-5.576471907018537E-3</v>
      </c>
    </row>
    <row r="939" spans="1:8" x14ac:dyDescent="0.35">
      <c r="A939" s="3">
        <v>45560</v>
      </c>
      <c r="B939" s="1">
        <v>71.709999084472599</v>
      </c>
      <c r="C939" s="1">
        <v>71.919998168945298</v>
      </c>
      <c r="D939" s="1">
        <v>71.309997558593693</v>
      </c>
      <c r="E939" s="1">
        <v>71.449996948242102</v>
      </c>
      <c r="F939" s="1">
        <v>68.879966735839801</v>
      </c>
      <c r="G939" s="1">
        <v>12329100</v>
      </c>
      <c r="H939" s="1">
        <f t="shared" si="14"/>
        <v>1.6822231440928243E-3</v>
      </c>
    </row>
    <row r="940" spans="1:8" x14ac:dyDescent="0.35">
      <c r="A940" s="3">
        <v>45561</v>
      </c>
      <c r="B940" s="1">
        <v>70.860000610351506</v>
      </c>
      <c r="C940" s="1">
        <v>71.610000610351506</v>
      </c>
      <c r="D940" s="1">
        <v>70.839996337890597</v>
      </c>
      <c r="E940" s="1">
        <v>71.400001525878906</v>
      </c>
      <c r="F940" s="1">
        <v>68.831764221191406</v>
      </c>
      <c r="G940" s="1">
        <v>10815200</v>
      </c>
      <c r="H940" s="1">
        <f t="shared" si="14"/>
        <v>-6.9980455759009557E-4</v>
      </c>
    </row>
    <row r="941" spans="1:8" x14ac:dyDescent="0.35">
      <c r="A941" s="3">
        <v>45562</v>
      </c>
      <c r="B941" s="1">
        <v>71.540000915527301</v>
      </c>
      <c r="C941" s="1">
        <v>72.199996948242102</v>
      </c>
      <c r="D941" s="1">
        <v>71.459999084472599</v>
      </c>
      <c r="E941" s="1">
        <v>71.790000915527301</v>
      </c>
      <c r="F941" s="1">
        <v>69.207740783691406</v>
      </c>
      <c r="G941" s="1">
        <v>11175700</v>
      </c>
      <c r="H941" s="1">
        <f t="shared" si="14"/>
        <v>5.4622537538308097E-3</v>
      </c>
    </row>
    <row r="942" spans="1:8" x14ac:dyDescent="0.35">
      <c r="A942" s="3">
        <v>45565</v>
      </c>
      <c r="B942" s="1">
        <v>72</v>
      </c>
      <c r="C942" s="1">
        <v>72.199996948242102</v>
      </c>
      <c r="D942" s="1">
        <v>71.690002441406193</v>
      </c>
      <c r="E942" s="1">
        <v>71.860000610351506</v>
      </c>
      <c r="F942" s="1">
        <v>69.275230407714801</v>
      </c>
      <c r="G942" s="1">
        <v>18015300</v>
      </c>
      <c r="H942" s="1">
        <f t="shared" si="14"/>
        <v>9.7517450012323751E-4</v>
      </c>
    </row>
    <row r="943" spans="1:8" x14ac:dyDescent="0.35">
      <c r="A943" s="3">
        <v>45566</v>
      </c>
      <c r="B943" s="1">
        <v>72.099998474121094</v>
      </c>
      <c r="C943" s="1">
        <v>72.75</v>
      </c>
      <c r="D943" s="1">
        <v>71.629997253417898</v>
      </c>
      <c r="E943" s="1">
        <v>71.709999084472599</v>
      </c>
      <c r="F943" s="1">
        <v>69.130607604980398</v>
      </c>
      <c r="G943" s="1">
        <v>13294500</v>
      </c>
      <c r="H943" s="1">
        <f t="shared" si="14"/>
        <v>-2.0876553117649042E-3</v>
      </c>
    </row>
    <row r="944" spans="1:8" x14ac:dyDescent="0.35">
      <c r="A944" s="3">
        <v>45567</v>
      </c>
      <c r="B944" s="1">
        <v>71.389999389648395</v>
      </c>
      <c r="C944" s="1">
        <v>71.430000305175696</v>
      </c>
      <c r="D944" s="1">
        <v>70.410003662109304</v>
      </c>
      <c r="E944" s="1">
        <v>71.010002136230398</v>
      </c>
      <c r="F944" s="1">
        <v>68.455795288085895</v>
      </c>
      <c r="G944" s="1">
        <v>11155500</v>
      </c>
      <c r="H944" s="1">
        <f t="shared" si="14"/>
        <v>-9.7614116275449477E-3</v>
      </c>
    </row>
    <row r="945" spans="1:8" x14ac:dyDescent="0.35">
      <c r="A945" s="3">
        <v>45568</v>
      </c>
      <c r="B945" s="1">
        <v>70.860000610351506</v>
      </c>
      <c r="C945" s="1">
        <v>70.989997863769503</v>
      </c>
      <c r="D945" s="1">
        <v>70.199996948242102</v>
      </c>
      <c r="E945" s="1">
        <v>70.519996643066406</v>
      </c>
      <c r="F945" s="1">
        <v>67.983421325683594</v>
      </c>
      <c r="G945" s="1">
        <v>9374800</v>
      </c>
      <c r="H945" s="1">
        <f t="shared" si="14"/>
        <v>-6.9004232645955904E-3</v>
      </c>
    </row>
    <row r="946" spans="1:8" x14ac:dyDescent="0.35">
      <c r="A946" s="3">
        <v>45569</v>
      </c>
      <c r="B946" s="1">
        <v>69.959999084472599</v>
      </c>
      <c r="C946" s="1">
        <v>70.279998779296804</v>
      </c>
      <c r="D946" s="1">
        <v>69.720001220703097</v>
      </c>
      <c r="E946" s="1">
        <v>70.169998168945298</v>
      </c>
      <c r="F946" s="1">
        <v>67.646011352539006</v>
      </c>
      <c r="G946" s="1">
        <v>12684800</v>
      </c>
      <c r="H946" s="1">
        <f t="shared" si="14"/>
        <v>-4.9631213987919335E-3</v>
      </c>
    </row>
    <row r="947" spans="1:8" x14ac:dyDescent="0.35">
      <c r="A947" s="3">
        <v>45572</v>
      </c>
      <c r="B947" s="1">
        <v>70.050003051757798</v>
      </c>
      <c r="C947" s="1">
        <v>70.099998474121094</v>
      </c>
      <c r="D947" s="1">
        <v>68.870002746582003</v>
      </c>
      <c r="E947" s="1">
        <v>69.010002136230398</v>
      </c>
      <c r="F947" s="1">
        <v>66.527732849121094</v>
      </c>
      <c r="G947" s="1">
        <v>14512000</v>
      </c>
      <c r="H947" s="1">
        <f t="shared" si="14"/>
        <v>-1.6531329505740898E-2</v>
      </c>
    </row>
    <row r="948" spans="1:8" x14ac:dyDescent="0.35">
      <c r="A948" s="3">
        <v>45573</v>
      </c>
      <c r="B948" s="1">
        <v>69.040000915527301</v>
      </c>
      <c r="C948" s="1">
        <v>69.440002441406193</v>
      </c>
      <c r="D948" s="1">
        <v>68.860000610351506</v>
      </c>
      <c r="E948" s="1">
        <v>69.180000305175696</v>
      </c>
      <c r="F948" s="1">
        <v>66.691627502441406</v>
      </c>
      <c r="G948" s="1">
        <v>13549700</v>
      </c>
      <c r="H948" s="1">
        <f t="shared" si="14"/>
        <v>2.4635538639504041E-3</v>
      </c>
    </row>
    <row r="949" spans="1:8" x14ac:dyDescent="0.35">
      <c r="A949" s="3">
        <v>45574</v>
      </c>
      <c r="B949" s="1">
        <v>69.190002441406193</v>
      </c>
      <c r="C949" s="1">
        <v>69.739997863769503</v>
      </c>
      <c r="D949" s="1">
        <v>69.069999694824205</v>
      </c>
      <c r="E949" s="1">
        <v>69.569999694824205</v>
      </c>
      <c r="F949" s="1">
        <v>67.067596435546804</v>
      </c>
      <c r="G949" s="1">
        <v>9037700</v>
      </c>
      <c r="H949" s="1">
        <f t="shared" si="14"/>
        <v>5.6374232746327036E-3</v>
      </c>
    </row>
    <row r="950" spans="1:8" x14ac:dyDescent="0.35">
      <c r="A950" s="3">
        <v>45575</v>
      </c>
      <c r="B950" s="1">
        <v>69.830001831054602</v>
      </c>
      <c r="C950" s="1">
        <v>69.910003662109304</v>
      </c>
      <c r="D950" s="1">
        <v>68.989997863769503</v>
      </c>
      <c r="E950" s="1">
        <v>69.25</v>
      </c>
      <c r="F950" s="1">
        <v>66.759101867675696</v>
      </c>
      <c r="G950" s="1">
        <v>8635200</v>
      </c>
      <c r="H950" s="1">
        <f t="shared" si="14"/>
        <v>-4.5997558324246332E-3</v>
      </c>
    </row>
    <row r="951" spans="1:8" x14ac:dyDescent="0.35">
      <c r="A951" s="3">
        <v>45576</v>
      </c>
      <c r="B951" s="1">
        <v>69.459999084472599</v>
      </c>
      <c r="C951" s="1">
        <v>69.589996337890597</v>
      </c>
      <c r="D951" s="1">
        <v>69</v>
      </c>
      <c r="E951" s="1">
        <v>69.569999694824205</v>
      </c>
      <c r="F951" s="1">
        <v>67.067596435546804</v>
      </c>
      <c r="G951" s="1">
        <v>8786300</v>
      </c>
      <c r="H951" s="1">
        <f t="shared" si="14"/>
        <v>4.6210113563627635E-3</v>
      </c>
    </row>
    <row r="952" spans="1:8" x14ac:dyDescent="0.35">
      <c r="A952" s="3">
        <v>45579</v>
      </c>
      <c r="B952" s="1">
        <v>69.569999694824205</v>
      </c>
      <c r="C952" s="1">
        <v>70.470001220703097</v>
      </c>
      <c r="D952" s="1">
        <v>69.470001220703097</v>
      </c>
      <c r="E952" s="1">
        <v>70.339996337890597</v>
      </c>
      <c r="F952" s="1">
        <v>67.809898376464801</v>
      </c>
      <c r="G952" s="1">
        <v>7659300</v>
      </c>
      <c r="H952" s="1">
        <f t="shared" si="14"/>
        <v>1.1067966952287652E-2</v>
      </c>
    </row>
    <row r="953" spans="1:8" x14ac:dyDescent="0.35">
      <c r="A953" s="3">
        <v>45580</v>
      </c>
      <c r="B953" s="1">
        <v>70.459999084472599</v>
      </c>
      <c r="C953" s="1">
        <v>71.209999084472599</v>
      </c>
      <c r="D953" s="1">
        <v>70.160003662109304</v>
      </c>
      <c r="E953" s="1">
        <v>70.339996337890597</v>
      </c>
      <c r="F953" s="1">
        <v>67.809898376464801</v>
      </c>
      <c r="G953" s="1">
        <v>10358700</v>
      </c>
      <c r="H953" s="1">
        <f t="shared" si="14"/>
        <v>0</v>
      </c>
    </row>
    <row r="954" spans="1:8" x14ac:dyDescent="0.35">
      <c r="A954" s="3">
        <v>45581</v>
      </c>
      <c r="B954" s="1">
        <v>70.089996337890597</v>
      </c>
      <c r="C954" s="1">
        <v>70.699996948242102</v>
      </c>
      <c r="D954" s="1">
        <v>69.970001220703097</v>
      </c>
      <c r="E954" s="1">
        <v>70.569999694824205</v>
      </c>
      <c r="F954" s="1">
        <v>68.0316162109375</v>
      </c>
      <c r="G954" s="1">
        <v>7937300</v>
      </c>
      <c r="H954" s="1">
        <f t="shared" si="14"/>
        <v>3.2696971943796905E-3</v>
      </c>
    </row>
    <row r="955" spans="1:8" x14ac:dyDescent="0.35">
      <c r="A955" s="3">
        <v>45582</v>
      </c>
      <c r="B955" s="1">
        <v>70.629997253417898</v>
      </c>
      <c r="C955" s="1">
        <v>70.690002441406193</v>
      </c>
      <c r="D955" s="1">
        <v>69.580001831054602</v>
      </c>
      <c r="E955" s="1">
        <v>69.900001525878906</v>
      </c>
      <c r="F955" s="1">
        <v>67.385719299316406</v>
      </c>
      <c r="G955" s="1">
        <v>14674600</v>
      </c>
      <c r="H955" s="1">
        <f t="shared" si="14"/>
        <v>-9.4940697810035612E-3</v>
      </c>
    </row>
    <row r="956" spans="1:8" x14ac:dyDescent="0.35">
      <c r="A956" s="3">
        <v>45583</v>
      </c>
      <c r="B956" s="1">
        <v>69.870002746582003</v>
      </c>
      <c r="C956" s="1">
        <v>70.550003051757798</v>
      </c>
      <c r="D956" s="1">
        <v>69.610000610351506</v>
      </c>
      <c r="E956" s="1">
        <v>70.440002441406193</v>
      </c>
      <c r="F956" s="1">
        <v>67.906303405761705</v>
      </c>
      <c r="G956" s="1">
        <v>15087500</v>
      </c>
      <c r="H956" s="1">
        <f t="shared" si="14"/>
        <v>7.7254366631147519E-3</v>
      </c>
    </row>
    <row r="957" spans="1:8" x14ac:dyDescent="0.35">
      <c r="A957" s="3">
        <v>45586</v>
      </c>
      <c r="B957" s="1">
        <v>70</v>
      </c>
      <c r="C957" s="1">
        <v>70.330001831054602</v>
      </c>
      <c r="D957" s="1">
        <v>69.309997558593693</v>
      </c>
      <c r="E957" s="1">
        <v>69.449996948242102</v>
      </c>
      <c r="F957" s="1">
        <v>66.951911926269503</v>
      </c>
      <c r="G957" s="1">
        <v>11981200</v>
      </c>
      <c r="H957" s="1">
        <f t="shared" si="14"/>
        <v>-1.405453443385675E-2</v>
      </c>
    </row>
    <row r="958" spans="1:8" x14ac:dyDescent="0.35">
      <c r="A958" s="3">
        <v>45587</v>
      </c>
      <c r="B958" s="1">
        <v>69</v>
      </c>
      <c r="C958" s="1">
        <v>69.75</v>
      </c>
      <c r="D958" s="1">
        <v>68.680000305175696</v>
      </c>
      <c r="E958" s="1">
        <v>69.449996948242102</v>
      </c>
      <c r="F958" s="1">
        <v>66.951911926269503</v>
      </c>
      <c r="G958" s="1">
        <v>18603300</v>
      </c>
      <c r="H958" s="1">
        <f t="shared" si="14"/>
        <v>0</v>
      </c>
    </row>
    <row r="959" spans="1:8" x14ac:dyDescent="0.35">
      <c r="A959" s="3">
        <v>45588</v>
      </c>
      <c r="B959" s="1">
        <v>66.989997863769503</v>
      </c>
      <c r="C959" s="1">
        <v>68.699996948242102</v>
      </c>
      <c r="D959" s="1">
        <v>66.580001831054602</v>
      </c>
      <c r="E959" s="1">
        <v>68.010002136230398</v>
      </c>
      <c r="F959" s="1">
        <v>65.563705444335895</v>
      </c>
      <c r="G959" s="1">
        <v>24655200</v>
      </c>
      <c r="H959" s="1">
        <f t="shared" si="14"/>
        <v>-2.073438146863325E-2</v>
      </c>
    </row>
    <row r="960" spans="1:8" x14ac:dyDescent="0.35">
      <c r="A960" s="3">
        <v>45589</v>
      </c>
      <c r="B960" s="1">
        <v>67.650001525878906</v>
      </c>
      <c r="C960" s="1">
        <v>68.040000915527301</v>
      </c>
      <c r="D960" s="1">
        <v>66.949996948242102</v>
      </c>
      <c r="E960" s="1">
        <v>67.300003051757798</v>
      </c>
      <c r="F960" s="1">
        <v>64.879257202148395</v>
      </c>
      <c r="G960" s="1">
        <v>17568800</v>
      </c>
      <c r="H960" s="1">
        <f t="shared" si="14"/>
        <v>-1.0439438063313886E-2</v>
      </c>
    </row>
    <row r="961" spans="1:8" x14ac:dyDescent="0.35">
      <c r="A961" s="3">
        <v>45590</v>
      </c>
      <c r="B961" s="1">
        <v>67.069999694824205</v>
      </c>
      <c r="C961" s="1">
        <v>67.699996948242102</v>
      </c>
      <c r="D961" s="1">
        <v>66.790000915527301</v>
      </c>
      <c r="E961" s="1">
        <v>66.919998168945298</v>
      </c>
      <c r="F961" s="1">
        <v>64.512916564941406</v>
      </c>
      <c r="G961" s="1">
        <v>11138100</v>
      </c>
      <c r="H961" s="1">
        <f t="shared" si="14"/>
        <v>-5.6464986346184262E-3</v>
      </c>
    </row>
    <row r="962" spans="1:8" x14ac:dyDescent="0.35">
      <c r="A962" s="3">
        <v>45593</v>
      </c>
      <c r="B962" s="1">
        <v>66.959999084472599</v>
      </c>
      <c r="C962" s="1">
        <v>67.400001525878906</v>
      </c>
      <c r="D962" s="1">
        <v>66.599998474121094</v>
      </c>
      <c r="E962" s="1">
        <v>66.669998168945298</v>
      </c>
      <c r="F962" s="1">
        <v>64.271903991699205</v>
      </c>
      <c r="G962" s="1">
        <v>10761400</v>
      </c>
      <c r="H962" s="1">
        <f t="shared" si="14"/>
        <v>-3.7358809068814671E-3</v>
      </c>
    </row>
    <row r="963" spans="1:8" x14ac:dyDescent="0.35">
      <c r="A963" s="3">
        <v>45594</v>
      </c>
      <c r="B963" s="1">
        <v>66.290000915527301</v>
      </c>
      <c r="C963" s="1">
        <v>66.339996337890597</v>
      </c>
      <c r="D963" s="1">
        <v>65.519996643066406</v>
      </c>
      <c r="E963" s="1">
        <v>65.559997558593693</v>
      </c>
      <c r="F963" s="1">
        <v>63.201824188232401</v>
      </c>
      <c r="G963" s="1">
        <v>16525900</v>
      </c>
      <c r="H963" s="1">
        <f t="shared" si="14"/>
        <v>-1.6649262539429454E-2</v>
      </c>
    </row>
    <row r="964" spans="1:8" x14ac:dyDescent="0.35">
      <c r="A964" s="3">
        <v>45595</v>
      </c>
      <c r="B964" s="1">
        <v>65.510002136230398</v>
      </c>
      <c r="C964" s="1">
        <v>66.540000915527301</v>
      </c>
      <c r="D964" s="1">
        <v>65.319999694824205</v>
      </c>
      <c r="E964" s="1">
        <v>65.919998168945298</v>
      </c>
      <c r="F964" s="1">
        <v>63.548885345458899</v>
      </c>
      <c r="G964" s="1">
        <v>14177800</v>
      </c>
      <c r="H964" s="1">
        <f t="shared" ref="H964:H1027" si="15">(F964-F963)/F963</f>
        <v>5.4913155068571293E-3</v>
      </c>
    </row>
    <row r="965" spans="1:8" x14ac:dyDescent="0.35">
      <c r="A965" s="3">
        <v>45596</v>
      </c>
      <c r="B965" s="1">
        <v>65.809997558593693</v>
      </c>
      <c r="C965" s="1">
        <v>65.989997863769503</v>
      </c>
      <c r="D965" s="1">
        <v>65.260002136230398</v>
      </c>
      <c r="E965" s="1">
        <v>65.309997558593693</v>
      </c>
      <c r="F965" s="1">
        <v>62.960823059082003</v>
      </c>
      <c r="G965" s="1">
        <v>13383700</v>
      </c>
      <c r="H965" s="1">
        <f t="shared" si="15"/>
        <v>-9.2536994658540973E-3</v>
      </c>
    </row>
    <row r="966" spans="1:8" x14ac:dyDescent="0.35">
      <c r="A966" s="3">
        <v>45597</v>
      </c>
      <c r="B966" s="1">
        <v>65.470001220703097</v>
      </c>
      <c r="C966" s="1">
        <v>65.660003662109304</v>
      </c>
      <c r="D966" s="1">
        <v>64.889999389648395</v>
      </c>
      <c r="E966" s="1">
        <v>65.010002136230398</v>
      </c>
      <c r="F966" s="1">
        <v>62.671619415283203</v>
      </c>
      <c r="G966" s="1">
        <v>12163100</v>
      </c>
      <c r="H966" s="1">
        <f t="shared" si="15"/>
        <v>-4.5933904569102121E-3</v>
      </c>
    </row>
    <row r="967" spans="1:8" x14ac:dyDescent="0.35">
      <c r="A967" s="3">
        <v>45600</v>
      </c>
      <c r="B967" s="1">
        <v>65.080001831054602</v>
      </c>
      <c r="C967" s="1">
        <v>65.419998168945298</v>
      </c>
      <c r="D967" s="1">
        <v>64.650001525878906</v>
      </c>
      <c r="E967" s="1">
        <v>65.110000610351506</v>
      </c>
      <c r="F967" s="1">
        <v>62.768020629882798</v>
      </c>
      <c r="G967" s="1">
        <v>10984500</v>
      </c>
      <c r="H967" s="1">
        <f t="shared" si="15"/>
        <v>1.5381956856868231E-3</v>
      </c>
    </row>
    <row r="968" spans="1:8" x14ac:dyDescent="0.35">
      <c r="A968" s="3">
        <v>45601</v>
      </c>
      <c r="B968" s="1">
        <v>64.639999389648395</v>
      </c>
      <c r="C968" s="1">
        <v>65.470001220703097</v>
      </c>
      <c r="D968" s="1">
        <v>64.639999389648395</v>
      </c>
      <c r="E968" s="1">
        <v>65.370002746582003</v>
      </c>
      <c r="F968" s="1">
        <v>63.018669128417898</v>
      </c>
      <c r="G968" s="1">
        <v>8780200</v>
      </c>
      <c r="H968" s="1">
        <f t="shared" si="15"/>
        <v>3.9932515956345111E-3</v>
      </c>
    </row>
    <row r="969" spans="1:8" x14ac:dyDescent="0.35">
      <c r="A969" s="3">
        <v>45602</v>
      </c>
      <c r="B969" s="1">
        <v>64.419998168945298</v>
      </c>
      <c r="C969" s="1">
        <v>64.860000610351506</v>
      </c>
      <c r="D969" s="1">
        <v>63.180000305175703</v>
      </c>
      <c r="E969" s="1">
        <v>63.700000762939403</v>
      </c>
      <c r="F969" s="1">
        <v>61.408737182617102</v>
      </c>
      <c r="G969" s="1">
        <v>22899300</v>
      </c>
      <c r="H969" s="1">
        <f t="shared" si="15"/>
        <v>-2.5546904878618042E-2</v>
      </c>
    </row>
    <row r="970" spans="1:8" x14ac:dyDescent="0.35">
      <c r="A970" s="3">
        <v>45603</v>
      </c>
      <c r="B970" s="1">
        <v>64.290000915527301</v>
      </c>
      <c r="C970" s="1">
        <v>64.389999389648395</v>
      </c>
      <c r="D970" s="1">
        <v>63.599998474121001</v>
      </c>
      <c r="E970" s="1">
        <v>63.659999847412102</v>
      </c>
      <c r="F970" s="1">
        <v>61.370170593261697</v>
      </c>
      <c r="G970" s="1">
        <v>14856100</v>
      </c>
      <c r="H970" s="1">
        <f t="shared" si="15"/>
        <v>-6.2803097938190133E-4</v>
      </c>
    </row>
    <row r="971" spans="1:8" x14ac:dyDescent="0.35">
      <c r="A971" s="3">
        <v>45604</v>
      </c>
      <c r="B971" s="1">
        <v>63.909999847412102</v>
      </c>
      <c r="C971" s="1">
        <v>64.239997863769503</v>
      </c>
      <c r="D971" s="1">
        <v>63.740001678466797</v>
      </c>
      <c r="E971" s="1">
        <v>63.919998168945298</v>
      </c>
      <c r="F971" s="1">
        <v>61.620822906494098</v>
      </c>
      <c r="G971" s="1">
        <v>14719300</v>
      </c>
      <c r="H971" s="1">
        <f t="shared" si="15"/>
        <v>4.0842694554921377E-3</v>
      </c>
    </row>
    <row r="972" spans="1:8" x14ac:dyDescent="0.35">
      <c r="A972" s="3">
        <v>45607</v>
      </c>
      <c r="B972" s="1">
        <v>63.990001678466797</v>
      </c>
      <c r="C972" s="1">
        <v>64.120002746582003</v>
      </c>
      <c r="D972" s="1">
        <v>63.25</v>
      </c>
      <c r="E972" s="1">
        <v>63.360000610351499</v>
      </c>
      <c r="F972" s="1">
        <v>61.080966949462798</v>
      </c>
      <c r="G972" s="1">
        <v>13980900</v>
      </c>
      <c r="H972" s="1">
        <f t="shared" si="15"/>
        <v>-8.7609339110985059E-3</v>
      </c>
    </row>
    <row r="973" spans="1:8" x14ac:dyDescent="0.35">
      <c r="A973" s="3">
        <v>45608</v>
      </c>
      <c r="B973" s="1">
        <v>63.680000305175703</v>
      </c>
      <c r="C973" s="1">
        <v>63.75</v>
      </c>
      <c r="D973" s="1">
        <v>63.119998931884702</v>
      </c>
      <c r="E973" s="1">
        <v>63.200000762939403</v>
      </c>
      <c r="F973" s="1">
        <v>60.926719665527301</v>
      </c>
      <c r="G973" s="1">
        <v>15021000</v>
      </c>
      <c r="H973" s="1">
        <f t="shared" si="15"/>
        <v>-2.525292110439547E-3</v>
      </c>
    </row>
    <row r="974" spans="1:8" x14ac:dyDescent="0.35">
      <c r="A974" s="3">
        <v>45609</v>
      </c>
      <c r="B974" s="1">
        <v>63.049999237060497</v>
      </c>
      <c r="C974" s="1">
        <v>63.259998321533203</v>
      </c>
      <c r="D974" s="1">
        <v>62.490001678466797</v>
      </c>
      <c r="E974" s="1">
        <v>63</v>
      </c>
      <c r="F974" s="1">
        <v>60.733913421630803</v>
      </c>
      <c r="G974" s="1">
        <v>13177600</v>
      </c>
      <c r="H974" s="1">
        <f t="shared" si="15"/>
        <v>-3.1645597359411014E-3</v>
      </c>
    </row>
    <row r="975" spans="1:8" x14ac:dyDescent="0.35">
      <c r="A975" s="3">
        <v>45610</v>
      </c>
      <c r="B975" s="1">
        <v>63.110000610351499</v>
      </c>
      <c r="C975" s="1">
        <v>63.110000610351499</v>
      </c>
      <c r="D975" s="1">
        <v>62.430000305175703</v>
      </c>
      <c r="E975" s="1">
        <v>62.549999237060497</v>
      </c>
      <c r="F975" s="1">
        <v>60.300098419189403</v>
      </c>
      <c r="G975" s="1">
        <v>15910800</v>
      </c>
      <c r="H975" s="1">
        <f t="shared" si="15"/>
        <v>-7.1428791263579757E-3</v>
      </c>
    </row>
    <row r="976" spans="1:8" x14ac:dyDescent="0.35">
      <c r="A976" s="3">
        <v>45611</v>
      </c>
      <c r="B976" s="1">
        <v>62.490001678466797</v>
      </c>
      <c r="C976" s="1">
        <v>62.630001068115199</v>
      </c>
      <c r="D976" s="1">
        <v>61.389999389648402</v>
      </c>
      <c r="E976" s="1">
        <v>61.740001678466797</v>
      </c>
      <c r="F976" s="1">
        <v>59.519241333007798</v>
      </c>
      <c r="G976" s="1">
        <v>26284300</v>
      </c>
      <c r="H976" s="1">
        <f t="shared" si="15"/>
        <v>-1.2949515948602691E-2</v>
      </c>
    </row>
    <row r="977" spans="1:8" x14ac:dyDescent="0.35">
      <c r="A977" s="3">
        <v>45614</v>
      </c>
      <c r="B977" s="1">
        <v>61.849998474121001</v>
      </c>
      <c r="C977" s="1">
        <v>62.139999389648402</v>
      </c>
      <c r="D977" s="1">
        <v>61.560001373291001</v>
      </c>
      <c r="E977" s="1">
        <v>61.860000610351499</v>
      </c>
      <c r="F977" s="1">
        <v>59.634922027587798</v>
      </c>
      <c r="G977" s="1">
        <v>16062100</v>
      </c>
      <c r="H977" s="1">
        <f t="shared" si="15"/>
        <v>1.9435848305385994E-3</v>
      </c>
    </row>
    <row r="978" spans="1:8" x14ac:dyDescent="0.35">
      <c r="A978" s="3">
        <v>45615</v>
      </c>
      <c r="B978" s="1">
        <v>61.900001525878899</v>
      </c>
      <c r="C978" s="1">
        <v>62.619998931884702</v>
      </c>
      <c r="D978" s="1">
        <v>61.630001068115199</v>
      </c>
      <c r="E978" s="1">
        <v>62.590000152587798</v>
      </c>
      <c r="F978" s="1">
        <v>60.338661193847599</v>
      </c>
      <c r="G978" s="1">
        <v>16254800</v>
      </c>
      <c r="H978" s="1">
        <f t="shared" si="15"/>
        <v>1.1800789576521009E-2</v>
      </c>
    </row>
    <row r="979" spans="1:8" x14ac:dyDescent="0.35">
      <c r="A979" s="3">
        <v>45616</v>
      </c>
      <c r="B979" s="1">
        <v>62.700000762939403</v>
      </c>
      <c r="C979" s="1">
        <v>63.009998321533203</v>
      </c>
      <c r="D979" s="1">
        <v>62.020000457763601</v>
      </c>
      <c r="E979" s="1">
        <v>62.990001678466797</v>
      </c>
      <c r="F979" s="1">
        <v>60.724273681640597</v>
      </c>
      <c r="G979" s="1">
        <v>18904900</v>
      </c>
      <c r="H979" s="1">
        <f t="shared" si="15"/>
        <v>6.3908028478483368E-3</v>
      </c>
    </row>
    <row r="980" spans="1:8" x14ac:dyDescent="0.35">
      <c r="A980" s="3">
        <v>45617</v>
      </c>
      <c r="B980" s="1">
        <v>63.150001525878899</v>
      </c>
      <c r="C980" s="1">
        <v>63.810001373291001</v>
      </c>
      <c r="D980" s="1">
        <v>62.950000762939403</v>
      </c>
      <c r="E980" s="1">
        <v>63.759998321533203</v>
      </c>
      <c r="F980" s="1">
        <v>61.466579437255803</v>
      </c>
      <c r="G980" s="1">
        <v>17292300</v>
      </c>
      <c r="H980" s="1">
        <f t="shared" si="15"/>
        <v>1.2224201470187943E-2</v>
      </c>
    </row>
    <row r="981" spans="1:8" x14ac:dyDescent="0.35">
      <c r="A981" s="3">
        <v>45618</v>
      </c>
      <c r="B981" s="1">
        <v>64.239997863769503</v>
      </c>
      <c r="C981" s="1">
        <v>64.480003356933594</v>
      </c>
      <c r="D981" s="1">
        <v>63.650001525878899</v>
      </c>
      <c r="E981" s="1">
        <v>63.919998168945298</v>
      </c>
      <c r="F981" s="1">
        <v>61.620822906494098</v>
      </c>
      <c r="G981" s="1">
        <v>19562200</v>
      </c>
      <c r="H981" s="1">
        <f t="shared" si="15"/>
        <v>2.5093875509331859E-3</v>
      </c>
    </row>
    <row r="982" spans="1:8" x14ac:dyDescent="0.35">
      <c r="A982" s="3">
        <v>45621</v>
      </c>
      <c r="B982" s="1">
        <v>64.319999694824205</v>
      </c>
      <c r="C982" s="1">
        <v>64.709999084472599</v>
      </c>
      <c r="D982" s="1">
        <v>63.840000152587798</v>
      </c>
      <c r="E982" s="1">
        <v>64.379997253417898</v>
      </c>
      <c r="F982" s="1">
        <v>62.064277648925703</v>
      </c>
      <c r="G982" s="1">
        <v>36805300</v>
      </c>
      <c r="H982" s="1">
        <f t="shared" si="15"/>
        <v>7.1965079581056725E-3</v>
      </c>
    </row>
    <row r="983" spans="1:8" x14ac:dyDescent="0.35">
      <c r="A983" s="3">
        <v>45622</v>
      </c>
      <c r="B983" s="1">
        <v>64.309997558593693</v>
      </c>
      <c r="C983" s="1">
        <v>64.639999389648395</v>
      </c>
      <c r="D983" s="1">
        <v>64.059997558593693</v>
      </c>
      <c r="E983" s="1">
        <v>64.550003051757798</v>
      </c>
      <c r="F983" s="1">
        <v>62.2281684875488</v>
      </c>
      <c r="G983" s="1">
        <v>14473300</v>
      </c>
      <c r="H983" s="1">
        <f t="shared" si="15"/>
        <v>2.640662951886196E-3</v>
      </c>
    </row>
    <row r="984" spans="1:8" x14ac:dyDescent="0.35">
      <c r="A984" s="3">
        <v>45623</v>
      </c>
      <c r="B984" s="1">
        <v>64.959999084472599</v>
      </c>
      <c r="C984" s="1">
        <v>65.099998474121094</v>
      </c>
      <c r="D984" s="1">
        <v>64.25</v>
      </c>
      <c r="E984" s="1">
        <v>64.430000305175696</v>
      </c>
      <c r="F984" s="1">
        <v>62.112476348876903</v>
      </c>
      <c r="G984" s="1">
        <v>13263400</v>
      </c>
      <c r="H984" s="1">
        <f t="shared" si="15"/>
        <v>-1.8591602723298066E-3</v>
      </c>
    </row>
    <row r="985" spans="1:8" x14ac:dyDescent="0.35">
      <c r="A985" s="3">
        <v>45625</v>
      </c>
      <c r="B985" s="1">
        <v>64.019996643066406</v>
      </c>
      <c r="C985" s="1">
        <v>64.25</v>
      </c>
      <c r="D985" s="1">
        <v>63.770000457763601</v>
      </c>
      <c r="E985" s="1">
        <v>64.080001831054602</v>
      </c>
      <c r="F985" s="1">
        <v>62.24361038208</v>
      </c>
      <c r="G985" s="1">
        <v>10648400</v>
      </c>
      <c r="H985" s="1">
        <f t="shared" si="15"/>
        <v>2.111234987098815E-3</v>
      </c>
    </row>
    <row r="986" spans="1:8" x14ac:dyDescent="0.35">
      <c r="A986" s="3">
        <v>45628</v>
      </c>
      <c r="B986" s="1">
        <v>64.050003051757798</v>
      </c>
      <c r="C986" s="1">
        <v>64.190002441406193</v>
      </c>
      <c r="D986" s="1">
        <v>63.349998474121001</v>
      </c>
      <c r="E986" s="1">
        <v>63.650001525878899</v>
      </c>
      <c r="F986" s="1">
        <v>61.825931549072202</v>
      </c>
      <c r="G986" s="1">
        <v>16500100</v>
      </c>
      <c r="H986" s="1">
        <f t="shared" si="15"/>
        <v>-6.7103889129164086E-3</v>
      </c>
    </row>
    <row r="987" spans="1:8" x14ac:dyDescent="0.35">
      <c r="A987" s="3">
        <v>45629</v>
      </c>
      <c r="B987" s="1">
        <v>63.720001220703097</v>
      </c>
      <c r="C987" s="1">
        <v>64.080001831054602</v>
      </c>
      <c r="D987" s="1">
        <v>63.029998779296797</v>
      </c>
      <c r="E987" s="1">
        <v>63.520000457763601</v>
      </c>
      <c r="F987" s="1">
        <v>61.699657440185497</v>
      </c>
      <c r="G987" s="1">
        <v>24874500</v>
      </c>
      <c r="H987" s="1">
        <f t="shared" si="15"/>
        <v>-2.0424133647946544E-3</v>
      </c>
    </row>
    <row r="988" spans="1:8" x14ac:dyDescent="0.35">
      <c r="A988" s="3">
        <v>45630</v>
      </c>
      <c r="B988" s="1">
        <v>63.279998779296797</v>
      </c>
      <c r="C988" s="1">
        <v>63.349998474121001</v>
      </c>
      <c r="D988" s="1">
        <v>61.900001525878899</v>
      </c>
      <c r="E988" s="1">
        <v>62.209999084472599</v>
      </c>
      <c r="F988" s="1">
        <v>60.427196502685497</v>
      </c>
      <c r="G988" s="1">
        <v>28137700</v>
      </c>
      <c r="H988" s="1">
        <f t="shared" si="15"/>
        <v>-2.062346843227748E-2</v>
      </c>
    </row>
    <row r="989" spans="1:8" x14ac:dyDescent="0.35">
      <c r="A989" s="3">
        <v>45631</v>
      </c>
      <c r="B989" s="1">
        <v>62.470001220703097</v>
      </c>
      <c r="C989" s="1">
        <v>63.119998931884702</v>
      </c>
      <c r="D989" s="1">
        <v>62.099998474121001</v>
      </c>
      <c r="E989" s="1">
        <v>62.919998168945298</v>
      </c>
      <c r="F989" s="1">
        <v>61.116851806640597</v>
      </c>
      <c r="G989" s="1">
        <v>21040400</v>
      </c>
      <c r="H989" s="1">
        <f t="shared" si="15"/>
        <v>1.1412995205303788E-2</v>
      </c>
    </row>
    <row r="990" spans="1:8" x14ac:dyDescent="0.35">
      <c r="A990" s="3">
        <v>45632</v>
      </c>
      <c r="B990" s="1">
        <v>62.830001831054602</v>
      </c>
      <c r="C990" s="1">
        <v>63.360000610351499</v>
      </c>
      <c r="D990" s="1">
        <v>62.509998321533203</v>
      </c>
      <c r="E990" s="1">
        <v>62.529998779296797</v>
      </c>
      <c r="F990" s="1">
        <v>60.738025665283203</v>
      </c>
      <c r="G990" s="1">
        <v>15581100</v>
      </c>
      <c r="H990" s="1">
        <f t="shared" si="15"/>
        <v>-6.1983909537079987E-3</v>
      </c>
    </row>
    <row r="991" spans="1:8" x14ac:dyDescent="0.35">
      <c r="A991" s="3">
        <v>45635</v>
      </c>
      <c r="B991" s="1">
        <v>62.689998626708899</v>
      </c>
      <c r="C991" s="1">
        <v>62.930000305175703</v>
      </c>
      <c r="D991" s="1">
        <v>61.900001525878899</v>
      </c>
      <c r="E991" s="1">
        <v>62.599998474121001</v>
      </c>
      <c r="F991" s="1">
        <v>60.806022644042898</v>
      </c>
      <c r="G991" s="1">
        <v>22348300</v>
      </c>
      <c r="H991" s="1">
        <f t="shared" si="15"/>
        <v>1.119512496741567E-3</v>
      </c>
    </row>
    <row r="992" spans="1:8" x14ac:dyDescent="0.35">
      <c r="A992" s="3">
        <v>45636</v>
      </c>
      <c r="B992" s="1">
        <v>62.700000762939403</v>
      </c>
      <c r="C992" s="1">
        <v>63.040000915527301</v>
      </c>
      <c r="D992" s="1">
        <v>61.790000915527301</v>
      </c>
      <c r="E992" s="1">
        <v>62.909999847412102</v>
      </c>
      <c r="F992" s="1">
        <v>61.107135772705</v>
      </c>
      <c r="G992" s="1">
        <v>14949400</v>
      </c>
      <c r="H992" s="1">
        <f t="shared" si="15"/>
        <v>4.9520280322364087E-3</v>
      </c>
    </row>
    <row r="993" spans="1:8" x14ac:dyDescent="0.35">
      <c r="A993" s="3">
        <v>45637</v>
      </c>
      <c r="B993" s="1">
        <v>63</v>
      </c>
      <c r="C993" s="1">
        <v>63.630001068115199</v>
      </c>
      <c r="D993" s="1">
        <v>62.400001525878899</v>
      </c>
      <c r="E993" s="1">
        <v>62.639999389648402</v>
      </c>
      <c r="F993" s="1">
        <v>60.844875335693303</v>
      </c>
      <c r="G993" s="1">
        <v>32819000</v>
      </c>
      <c r="H993" s="1">
        <f t="shared" si="15"/>
        <v>-4.2918136105610516E-3</v>
      </c>
    </row>
    <row r="994" spans="1:8" x14ac:dyDescent="0.35">
      <c r="A994" s="3">
        <v>45638</v>
      </c>
      <c r="B994" s="1">
        <v>63.549999237060497</v>
      </c>
      <c r="C994" s="1">
        <v>63.919998168945298</v>
      </c>
      <c r="D994" s="1">
        <v>63.220001220703097</v>
      </c>
      <c r="E994" s="1">
        <v>63.840000152587798</v>
      </c>
      <c r="F994" s="1">
        <v>62.010486602783203</v>
      </c>
      <c r="G994" s="1">
        <v>17542100</v>
      </c>
      <c r="H994" s="1">
        <f t="shared" si="15"/>
        <v>1.9157098451742911E-2</v>
      </c>
    </row>
    <row r="995" spans="1:8" x14ac:dyDescent="0.35">
      <c r="A995" s="3">
        <v>45639</v>
      </c>
      <c r="B995" s="1">
        <v>63.569999694824197</v>
      </c>
      <c r="C995" s="1">
        <v>63.840000152587798</v>
      </c>
      <c r="D995" s="1">
        <v>63.110000610351499</v>
      </c>
      <c r="E995" s="1">
        <v>63.119998931884702</v>
      </c>
      <c r="F995" s="1">
        <v>61.311122894287102</v>
      </c>
      <c r="G995" s="1">
        <v>13429000</v>
      </c>
      <c r="H995" s="1">
        <f t="shared" si="15"/>
        <v>-1.127815224182923E-2</v>
      </c>
    </row>
    <row r="996" spans="1:8" x14ac:dyDescent="0.35">
      <c r="A996" s="3">
        <v>45642</v>
      </c>
      <c r="B996" s="1">
        <v>63.2299995422363</v>
      </c>
      <c r="C996" s="1">
        <v>63.860000610351499</v>
      </c>
      <c r="D996" s="1">
        <v>62.349998474121001</v>
      </c>
      <c r="E996" s="1">
        <v>62.549999237060497</v>
      </c>
      <c r="F996" s="1">
        <v>60.757457733154297</v>
      </c>
      <c r="G996" s="1">
        <v>24559700</v>
      </c>
      <c r="H996" s="1">
        <f t="shared" si="15"/>
        <v>-9.0304195225299859E-3</v>
      </c>
    </row>
    <row r="997" spans="1:8" x14ac:dyDescent="0.35">
      <c r="A997" s="3">
        <v>45643</v>
      </c>
      <c r="B997" s="1">
        <v>62.450000762939403</v>
      </c>
      <c r="C997" s="1">
        <v>63.549999237060497</v>
      </c>
      <c r="D997" s="1">
        <v>62.319999694824197</v>
      </c>
      <c r="E997" s="1">
        <v>63.400001525878899</v>
      </c>
      <c r="F997" s="1">
        <v>61.583095550537102</v>
      </c>
      <c r="G997" s="1">
        <v>21902400</v>
      </c>
      <c r="H997" s="1">
        <f t="shared" si="15"/>
        <v>1.3589077755836862E-2</v>
      </c>
    </row>
    <row r="998" spans="1:8" x14ac:dyDescent="0.35">
      <c r="A998" s="3">
        <v>45644</v>
      </c>
      <c r="B998" s="1">
        <v>62.810001373291001</v>
      </c>
      <c r="C998" s="1">
        <v>63.639999389648402</v>
      </c>
      <c r="D998" s="1">
        <v>62.790000915527301</v>
      </c>
      <c r="E998" s="1">
        <v>62.849998474121001</v>
      </c>
      <c r="F998" s="1">
        <v>61.048854827880803</v>
      </c>
      <c r="G998" s="1">
        <v>20946100</v>
      </c>
      <c r="H998" s="1">
        <f t="shared" si="15"/>
        <v>-8.6751196554886445E-3</v>
      </c>
    </row>
    <row r="999" spans="1:8" x14ac:dyDescent="0.35">
      <c r="A999" s="3">
        <v>45645</v>
      </c>
      <c r="B999" s="1">
        <v>62.700000762939403</v>
      </c>
      <c r="C999" s="1">
        <v>63.169998168945298</v>
      </c>
      <c r="D999" s="1">
        <v>62.400001525878899</v>
      </c>
      <c r="E999" s="1">
        <v>62.450000762939403</v>
      </c>
      <c r="F999" s="1">
        <v>60.660320281982401</v>
      </c>
      <c r="G999" s="1">
        <v>21300600</v>
      </c>
      <c r="H999" s="1">
        <f t="shared" si="15"/>
        <v>-6.3643216075686248E-3</v>
      </c>
    </row>
    <row r="1000" spans="1:8" x14ac:dyDescent="0.35">
      <c r="A1000" s="3">
        <v>45646</v>
      </c>
      <c r="B1000" s="1">
        <v>62.470001220703097</v>
      </c>
      <c r="C1000" s="1">
        <v>63.060001373291001</v>
      </c>
      <c r="D1000" s="1">
        <v>62.279998779296797</v>
      </c>
      <c r="E1000" s="1">
        <v>62.549999237060497</v>
      </c>
      <c r="F1000" s="1">
        <v>60.757457733154297</v>
      </c>
      <c r="G1000" s="1">
        <v>42458100</v>
      </c>
      <c r="H1000" s="1">
        <f t="shared" si="15"/>
        <v>1.6013342943187281E-3</v>
      </c>
    </row>
    <row r="1001" spans="1:8" x14ac:dyDescent="0.35">
      <c r="A1001" s="3">
        <v>45649</v>
      </c>
      <c r="B1001" s="1">
        <v>62.5</v>
      </c>
      <c r="C1001" s="1">
        <v>62.759998321533203</v>
      </c>
      <c r="D1001" s="1">
        <v>61.529998779296797</v>
      </c>
      <c r="E1001" s="1">
        <v>62.380001068115199</v>
      </c>
      <c r="F1001" s="1">
        <v>60.592327117919901</v>
      </c>
      <c r="G1001" s="1">
        <v>13010800</v>
      </c>
      <c r="H1001" s="1">
        <f t="shared" si="15"/>
        <v>-2.7178657796981423E-3</v>
      </c>
    </row>
    <row r="1002" spans="1:8" x14ac:dyDescent="0.35">
      <c r="A1002" s="3">
        <v>45650</v>
      </c>
      <c r="B1002" s="1">
        <v>62.200000762939403</v>
      </c>
      <c r="C1002" s="1">
        <v>62.840000152587798</v>
      </c>
      <c r="D1002" s="1">
        <v>62.009998321533203</v>
      </c>
      <c r="E1002" s="1">
        <v>62.840000152587798</v>
      </c>
      <c r="F1002" s="1">
        <v>61.0391426086425</v>
      </c>
      <c r="G1002" s="1">
        <v>5019100</v>
      </c>
      <c r="H1002" s="1">
        <f t="shared" si="15"/>
        <v>7.3741265928447203E-3</v>
      </c>
    </row>
    <row r="1003" spans="1:8" x14ac:dyDescent="0.35">
      <c r="A1003" s="3">
        <v>45652</v>
      </c>
      <c r="B1003" s="1">
        <v>62.619998931884702</v>
      </c>
      <c r="C1003" s="1">
        <v>62.740001678466797</v>
      </c>
      <c r="D1003" s="1">
        <v>62.400001525878899</v>
      </c>
      <c r="E1003" s="1">
        <v>62.569999694824197</v>
      </c>
      <c r="F1003" s="1">
        <v>60.776882171630803</v>
      </c>
      <c r="G1003" s="1">
        <v>7943800</v>
      </c>
      <c r="H1003" s="1">
        <f t="shared" si="15"/>
        <v>-4.2965943786792988E-3</v>
      </c>
    </row>
    <row r="1004" spans="1:8" x14ac:dyDescent="0.35">
      <c r="A1004" s="3">
        <v>45653</v>
      </c>
      <c r="B1004" s="1">
        <v>62.450000762939403</v>
      </c>
      <c r="C1004" s="1">
        <v>62.950000762939403</v>
      </c>
      <c r="D1004" s="1">
        <v>62.209999084472599</v>
      </c>
      <c r="E1004" s="1">
        <v>62.450000762939403</v>
      </c>
      <c r="F1004" s="1">
        <v>60.660320281982401</v>
      </c>
      <c r="G1004" s="1">
        <v>8542800</v>
      </c>
      <c r="H1004" s="1">
        <f t="shared" si="15"/>
        <v>-1.9178655680170821E-3</v>
      </c>
    </row>
    <row r="1005" spans="1:8" x14ac:dyDescent="0.35">
      <c r="A1005" s="3">
        <v>45656</v>
      </c>
      <c r="B1005" s="1">
        <v>62.340000152587798</v>
      </c>
      <c r="C1005" s="1">
        <v>62.340000152587798</v>
      </c>
      <c r="D1005" s="1">
        <v>61.680000305175703</v>
      </c>
      <c r="E1005" s="1">
        <v>62.029998779296797</v>
      </c>
      <c r="F1005" s="1">
        <v>60.252357482910099</v>
      </c>
      <c r="G1005" s="1">
        <v>8972200</v>
      </c>
      <c r="H1005" s="1">
        <f t="shared" si="15"/>
        <v>-6.7253650685632146E-3</v>
      </c>
    </row>
    <row r="1006" spans="1:8" x14ac:dyDescent="0.35">
      <c r="A1006" s="3">
        <v>45657</v>
      </c>
      <c r="B1006" s="1">
        <v>62.020000457763601</v>
      </c>
      <c r="C1006" s="1">
        <v>62.430000305175703</v>
      </c>
      <c r="D1006" s="1">
        <v>61.799999237060497</v>
      </c>
      <c r="E1006" s="1">
        <v>62.259998321533203</v>
      </c>
      <c r="F1006" s="1">
        <v>60.475765228271399</v>
      </c>
      <c r="G1006" s="1">
        <v>9256700</v>
      </c>
      <c r="H1006" s="1">
        <f t="shared" si="15"/>
        <v>3.7078672884238062E-3</v>
      </c>
    </row>
    <row r="1007" spans="1:8" x14ac:dyDescent="0.35">
      <c r="A1007" s="3">
        <v>45659</v>
      </c>
      <c r="B1007" s="1">
        <v>62.349998474121001</v>
      </c>
      <c r="C1007" s="1">
        <v>62.75</v>
      </c>
      <c r="D1007" s="1">
        <v>61.619998931884702</v>
      </c>
      <c r="E1007" s="1">
        <v>61.840000152587798</v>
      </c>
      <c r="F1007" s="1">
        <v>60.067802429199197</v>
      </c>
      <c r="G1007" s="1">
        <v>12991000</v>
      </c>
      <c r="H1007" s="1">
        <f t="shared" si="15"/>
        <v>-6.7458889942493185E-3</v>
      </c>
    </row>
    <row r="1008" spans="1:8" x14ac:dyDescent="0.35">
      <c r="A1008" s="3">
        <v>45660</v>
      </c>
      <c r="B1008" s="1">
        <v>61.900001525878899</v>
      </c>
      <c r="C1008" s="1">
        <v>62.080001831054602</v>
      </c>
      <c r="D1008" s="1">
        <v>61.619998931884702</v>
      </c>
      <c r="E1008" s="1">
        <v>61.75</v>
      </c>
      <c r="F1008" s="1">
        <v>59.980381011962798</v>
      </c>
      <c r="G1008" s="1">
        <v>10403200</v>
      </c>
      <c r="H1008" s="1">
        <f t="shared" si="15"/>
        <v>-1.4553789834319505E-3</v>
      </c>
    </row>
    <row r="1009" spans="1:8" x14ac:dyDescent="0.35">
      <c r="A1009" s="3">
        <v>45663</v>
      </c>
      <c r="B1009" s="1">
        <v>61.5</v>
      </c>
      <c r="C1009" s="1">
        <v>61.569999694824197</v>
      </c>
      <c r="D1009" s="1">
        <v>60.659999847412102</v>
      </c>
      <c r="E1009" s="1">
        <v>60.810001373291001</v>
      </c>
      <c r="F1009" s="1">
        <v>59.067317962646399</v>
      </c>
      <c r="G1009" s="1">
        <v>17924200</v>
      </c>
      <c r="H1009" s="1">
        <f t="shared" si="15"/>
        <v>-1.5222695053142346E-2</v>
      </c>
    </row>
    <row r="1010" spans="1:8" x14ac:dyDescent="0.35">
      <c r="A1010" s="3">
        <v>45664</v>
      </c>
      <c r="B1010" s="1">
        <v>61.110000610351499</v>
      </c>
      <c r="C1010" s="1">
        <v>61.720001220703097</v>
      </c>
      <c r="D1010" s="1">
        <v>60.619998931884702</v>
      </c>
      <c r="E1010" s="1">
        <v>60.840000152587798</v>
      </c>
      <c r="F1010" s="1">
        <v>59.096462249755803</v>
      </c>
      <c r="G1010" s="1">
        <v>17799600</v>
      </c>
      <c r="H1010" s="1">
        <f t="shared" si="15"/>
        <v>4.9340799810538183E-4</v>
      </c>
    </row>
    <row r="1011" spans="1:8" x14ac:dyDescent="0.35">
      <c r="A1011" s="3">
        <v>45665</v>
      </c>
      <c r="B1011" s="1">
        <v>60.990001678466797</v>
      </c>
      <c r="C1011" s="1">
        <v>61.770000457763601</v>
      </c>
      <c r="D1011" s="1">
        <v>60.930000305175703</v>
      </c>
      <c r="E1011" s="1">
        <v>61.709999084472599</v>
      </c>
      <c r="F1011" s="1">
        <v>59.941524505615199</v>
      </c>
      <c r="G1011" s="1">
        <v>14412400</v>
      </c>
      <c r="H1011" s="1">
        <f t="shared" si="15"/>
        <v>1.4299709723535748E-2</v>
      </c>
    </row>
    <row r="1012" spans="1:8" x14ac:dyDescent="0.35">
      <c r="A1012" s="3">
        <v>45667</v>
      </c>
      <c r="B1012" s="1">
        <v>61.580001831054602</v>
      </c>
      <c r="C1012" s="1">
        <v>61.650001525878899</v>
      </c>
      <c r="D1012" s="1">
        <v>60.7299995422363</v>
      </c>
      <c r="E1012" s="1">
        <v>61.069999694824197</v>
      </c>
      <c r="F1012" s="1">
        <v>59.319869995117102</v>
      </c>
      <c r="G1012" s="1">
        <v>22425000</v>
      </c>
      <c r="H1012" s="1">
        <f t="shared" si="15"/>
        <v>-1.0371016013112267E-2</v>
      </c>
    </row>
    <row r="1013" spans="1:8" x14ac:dyDescent="0.35">
      <c r="A1013" s="3">
        <v>45670</v>
      </c>
      <c r="B1013" s="1">
        <v>61.130001068115199</v>
      </c>
      <c r="C1013" s="1">
        <v>61.849998474121001</v>
      </c>
      <c r="D1013" s="1">
        <v>60.709999084472599</v>
      </c>
      <c r="E1013" s="1">
        <v>61.650001525878899</v>
      </c>
      <c r="F1013" s="1">
        <v>59.883247375488203</v>
      </c>
      <c r="G1013" s="1">
        <v>18016200</v>
      </c>
      <c r="H1013" s="1">
        <f t="shared" si="15"/>
        <v>9.4972794177983714E-3</v>
      </c>
    </row>
    <row r="1014" spans="1:8" x14ac:dyDescent="0.35">
      <c r="A1014" s="3">
        <v>45671</v>
      </c>
      <c r="B1014" s="1">
        <v>61.659999847412102</v>
      </c>
      <c r="C1014" s="1">
        <v>62.069999694824197</v>
      </c>
      <c r="D1014" s="1">
        <v>61.299999237060497</v>
      </c>
      <c r="E1014" s="1">
        <v>62.040000915527301</v>
      </c>
      <c r="F1014" s="1">
        <v>60.262069702148402</v>
      </c>
      <c r="G1014" s="1">
        <v>16658300</v>
      </c>
      <c r="H1014" s="1">
        <f t="shared" si="15"/>
        <v>6.3260150920816773E-3</v>
      </c>
    </row>
    <row r="1015" spans="1:8" x14ac:dyDescent="0.35">
      <c r="A1015" s="3">
        <v>45672</v>
      </c>
      <c r="B1015" s="1">
        <v>62.330001831054602</v>
      </c>
      <c r="C1015" s="1">
        <v>62.619998931884702</v>
      </c>
      <c r="D1015" s="1">
        <v>61.680000305175703</v>
      </c>
      <c r="E1015" s="1">
        <v>61.770000457763601</v>
      </c>
      <c r="F1015" s="1">
        <v>59.999805450439403</v>
      </c>
      <c r="G1015" s="1">
        <v>16187200</v>
      </c>
      <c r="H1015" s="1">
        <f t="shared" si="15"/>
        <v>-4.3520618028100788E-3</v>
      </c>
    </row>
    <row r="1016" spans="1:8" x14ac:dyDescent="0.35">
      <c r="A1016" s="3">
        <v>45673</v>
      </c>
      <c r="B1016" s="1">
        <v>61.419998168945298</v>
      </c>
      <c r="C1016" s="1">
        <v>62.299999237060497</v>
      </c>
      <c r="D1016" s="1">
        <v>61.319999694824197</v>
      </c>
      <c r="E1016" s="1">
        <v>62.25</v>
      </c>
      <c r="F1016" s="1">
        <v>60.466049194335902</v>
      </c>
      <c r="G1016" s="1">
        <v>12585500</v>
      </c>
      <c r="H1016" s="1">
        <f t="shared" si="15"/>
        <v>7.7707542615554279E-3</v>
      </c>
    </row>
    <row r="1017" spans="1:8" x14ac:dyDescent="0.35">
      <c r="A1017" s="3">
        <v>45674</v>
      </c>
      <c r="B1017" s="1">
        <v>62.310001373291001</v>
      </c>
      <c r="C1017" s="1">
        <v>62.770000457763601</v>
      </c>
      <c r="D1017" s="1">
        <v>62.169998168945298</v>
      </c>
      <c r="E1017" s="1">
        <v>62.709999084472599</v>
      </c>
      <c r="F1017" s="1">
        <v>60.912872314453097</v>
      </c>
      <c r="G1017" s="1">
        <v>17948900</v>
      </c>
      <c r="H1017" s="1">
        <f t="shared" si="15"/>
        <v>7.3896529717216971E-3</v>
      </c>
    </row>
    <row r="1018" spans="1:8" x14ac:dyDescent="0.35">
      <c r="A1018" s="3">
        <v>45678</v>
      </c>
      <c r="B1018" s="1">
        <v>62.900001525878899</v>
      </c>
      <c r="C1018" s="1">
        <v>63.2299995422363</v>
      </c>
      <c r="D1018" s="1">
        <v>62.299999237060497</v>
      </c>
      <c r="E1018" s="1">
        <v>62.419998168945298</v>
      </c>
      <c r="F1018" s="1">
        <v>60.631175994872997</v>
      </c>
      <c r="G1018" s="1">
        <v>19817100</v>
      </c>
      <c r="H1018" s="1">
        <f t="shared" si="15"/>
        <v>-4.6245778417062094E-3</v>
      </c>
    </row>
    <row r="1019" spans="1:8" x14ac:dyDescent="0.35">
      <c r="A1019" s="3">
        <v>45679</v>
      </c>
      <c r="B1019" s="1">
        <v>62.119998931884702</v>
      </c>
      <c r="C1019" s="1">
        <v>62.290000915527301</v>
      </c>
      <c r="D1019" s="1">
        <v>61.659999847412102</v>
      </c>
      <c r="E1019" s="1">
        <v>61.779998779296797</v>
      </c>
      <c r="F1019" s="1">
        <v>60.009521484375</v>
      </c>
      <c r="G1019" s="1">
        <v>18191900</v>
      </c>
      <c r="H1019" s="1">
        <f t="shared" si="15"/>
        <v>-1.0253050518937065E-2</v>
      </c>
    </row>
    <row r="1020" spans="1:8" x14ac:dyDescent="0.35">
      <c r="A1020" s="3">
        <v>45680</v>
      </c>
      <c r="B1020" s="1">
        <v>61.799999237060497</v>
      </c>
      <c r="C1020" s="1">
        <v>61.9799995422363</v>
      </c>
      <c r="D1020" s="1">
        <v>61.369998931884702</v>
      </c>
      <c r="E1020" s="1">
        <v>61.529998779296797</v>
      </c>
      <c r="F1020" s="1">
        <v>59.766685485839801</v>
      </c>
      <c r="G1020" s="1">
        <v>16528400</v>
      </c>
      <c r="H1020" s="1">
        <f t="shared" si="15"/>
        <v>-4.0466244777243787E-3</v>
      </c>
    </row>
    <row r="1021" spans="1:8" x14ac:dyDescent="0.35">
      <c r="A1021" s="3">
        <v>45681</v>
      </c>
      <c r="B1021" s="1">
        <v>61.720001220703097</v>
      </c>
      <c r="C1021" s="1">
        <v>62.009998321533203</v>
      </c>
      <c r="D1021" s="1">
        <v>61.439998626708899</v>
      </c>
      <c r="E1021" s="1">
        <v>61.919998168945298</v>
      </c>
      <c r="F1021" s="1">
        <v>60.145511627197202</v>
      </c>
      <c r="G1021" s="1">
        <v>19244600</v>
      </c>
      <c r="H1021" s="1">
        <f t="shared" si="15"/>
        <v>6.338416431795499E-3</v>
      </c>
    </row>
    <row r="1022" spans="1:8" x14ac:dyDescent="0.35">
      <c r="A1022" s="3">
        <v>45684</v>
      </c>
      <c r="B1022" s="1">
        <v>62.869998931884702</v>
      </c>
      <c r="C1022" s="1">
        <v>64.180000305175696</v>
      </c>
      <c r="D1022" s="1">
        <v>62.470001220703097</v>
      </c>
      <c r="E1022" s="1">
        <v>63.869998931884702</v>
      </c>
      <c r="F1022" s="1">
        <v>62.039623260497997</v>
      </c>
      <c r="G1022" s="1">
        <v>20742900</v>
      </c>
      <c r="H1022" s="1">
        <f t="shared" si="15"/>
        <v>3.149215264874889E-2</v>
      </c>
    </row>
    <row r="1023" spans="1:8" x14ac:dyDescent="0.35">
      <c r="A1023" s="3">
        <v>45685</v>
      </c>
      <c r="B1023" s="1">
        <v>63.509998321533203</v>
      </c>
      <c r="C1023" s="1">
        <v>64.040000915527301</v>
      </c>
      <c r="D1023" s="1">
        <v>62.279998779296797</v>
      </c>
      <c r="E1023" s="1">
        <v>62.360000610351499</v>
      </c>
      <c r="F1023" s="1">
        <v>60.572898864746001</v>
      </c>
      <c r="G1023" s="1">
        <v>14956000</v>
      </c>
      <c r="H1023" s="1">
        <f t="shared" si="15"/>
        <v>-2.3641736017534647E-2</v>
      </c>
    </row>
    <row r="1024" spans="1:8" x14ac:dyDescent="0.35">
      <c r="A1024" s="3">
        <v>45686</v>
      </c>
      <c r="B1024" s="1">
        <v>62.560001373291001</v>
      </c>
      <c r="C1024" s="1">
        <v>63.360000610351499</v>
      </c>
      <c r="D1024" s="1">
        <v>62.549999237060497</v>
      </c>
      <c r="E1024" s="1">
        <v>62.830001831054602</v>
      </c>
      <c r="F1024" s="1">
        <v>61.029430389404297</v>
      </c>
      <c r="G1024" s="1">
        <v>11325600</v>
      </c>
      <c r="H1024" s="1">
        <f t="shared" si="15"/>
        <v>7.5368941096527432E-3</v>
      </c>
    </row>
    <row r="1025" spans="1:8" x14ac:dyDescent="0.35">
      <c r="A1025" s="3">
        <v>45687</v>
      </c>
      <c r="B1025" s="1">
        <v>63.849998474121001</v>
      </c>
      <c r="C1025" s="1">
        <v>64.290000915527301</v>
      </c>
      <c r="D1025" s="1">
        <v>63.2299995422363</v>
      </c>
      <c r="E1025" s="1">
        <v>64.050003051757798</v>
      </c>
      <c r="F1025" s="1">
        <v>62.214469909667898</v>
      </c>
      <c r="G1025" s="1">
        <v>13201000</v>
      </c>
      <c r="H1025" s="1">
        <f t="shared" si="15"/>
        <v>1.9417509105071756E-2</v>
      </c>
    </row>
    <row r="1026" spans="1:8" x14ac:dyDescent="0.35">
      <c r="A1026" s="3">
        <v>45688</v>
      </c>
      <c r="B1026" s="1">
        <v>63.700000762939403</v>
      </c>
      <c r="C1026" s="1">
        <v>63.930000305175703</v>
      </c>
      <c r="D1026" s="1">
        <v>63.389999389648402</v>
      </c>
      <c r="E1026" s="1">
        <v>63.4799995422363</v>
      </c>
      <c r="F1026" s="1">
        <v>61.660797119140597</v>
      </c>
      <c r="G1026" s="1">
        <v>12096800</v>
      </c>
      <c r="H1026" s="1">
        <f t="shared" si="15"/>
        <v>-8.8994214903896883E-3</v>
      </c>
    </row>
    <row r="1027" spans="1:8" x14ac:dyDescent="0.35">
      <c r="A1027" s="3">
        <v>45691</v>
      </c>
      <c r="B1027" s="1">
        <v>63.180000305175703</v>
      </c>
      <c r="C1027" s="1">
        <v>63.630001068115199</v>
      </c>
      <c r="D1027" s="1">
        <v>62.430000305175703</v>
      </c>
      <c r="E1027" s="1">
        <v>63.349998474121001</v>
      </c>
      <c r="F1027" s="1">
        <v>61.534530639648402</v>
      </c>
      <c r="G1027" s="1">
        <v>12067900</v>
      </c>
      <c r="H1027" s="1">
        <f t="shared" si="15"/>
        <v>-2.047759441841521E-3</v>
      </c>
    </row>
    <row r="1028" spans="1:8" x14ac:dyDescent="0.35">
      <c r="A1028" s="3">
        <v>45692</v>
      </c>
      <c r="B1028" s="1">
        <v>63.610000610351499</v>
      </c>
      <c r="C1028" s="1">
        <v>63.630001068115199</v>
      </c>
      <c r="D1028" s="1">
        <v>62.349998474121001</v>
      </c>
      <c r="E1028" s="1">
        <v>62.669998168945298</v>
      </c>
      <c r="F1028" s="1">
        <v>60.874015808105398</v>
      </c>
      <c r="G1028" s="1">
        <v>15678000</v>
      </c>
      <c r="H1028" s="1">
        <f t="shared" ref="H1028:H1091" si="16">(F1028-F1027)/F1027</f>
        <v>-1.0734051672727252E-2</v>
      </c>
    </row>
    <row r="1029" spans="1:8" x14ac:dyDescent="0.35">
      <c r="A1029" s="3">
        <v>45693</v>
      </c>
      <c r="B1029" s="1">
        <v>62.720001220703097</v>
      </c>
      <c r="C1029" s="1">
        <v>63.290000915527301</v>
      </c>
      <c r="D1029" s="1">
        <v>62.590000152587798</v>
      </c>
      <c r="E1029" s="1">
        <v>63.119998931884702</v>
      </c>
      <c r="F1029" s="1">
        <v>61.311122894287102</v>
      </c>
      <c r="G1029" s="1">
        <v>10686800</v>
      </c>
      <c r="H1029" s="1">
        <f t="shared" si="16"/>
        <v>7.1805199702876113E-3</v>
      </c>
    </row>
    <row r="1030" spans="1:8" x14ac:dyDescent="0.35">
      <c r="A1030" s="3">
        <v>45694</v>
      </c>
      <c r="B1030" s="1">
        <v>63.619998931884702</v>
      </c>
      <c r="C1030" s="1">
        <v>63.740001678466797</v>
      </c>
      <c r="D1030" s="1">
        <v>62.909999847412102</v>
      </c>
      <c r="E1030" s="1">
        <v>63.360000610351499</v>
      </c>
      <c r="F1030" s="1">
        <v>61.544246673583899</v>
      </c>
      <c r="G1030" s="1">
        <v>13423400</v>
      </c>
      <c r="H1030" s="1">
        <f t="shared" si="16"/>
        <v>3.8023081015617645E-3</v>
      </c>
    </row>
    <row r="1031" spans="1:8" x14ac:dyDescent="0.35">
      <c r="A1031" s="3">
        <v>45695</v>
      </c>
      <c r="B1031" s="1">
        <v>63.430000305175703</v>
      </c>
      <c r="C1031" s="1">
        <v>63.919998168945298</v>
      </c>
      <c r="D1031" s="1">
        <v>63.270000457763601</v>
      </c>
      <c r="E1031" s="1">
        <v>63.840000152587798</v>
      </c>
      <c r="F1031" s="1">
        <v>62.010486602783203</v>
      </c>
      <c r="G1031" s="1">
        <v>13184700</v>
      </c>
      <c r="H1031" s="1">
        <f t="shared" si="16"/>
        <v>7.5756866709593522E-3</v>
      </c>
    </row>
    <row r="1032" spans="1:8" x14ac:dyDescent="0.35">
      <c r="A1032" s="3">
        <v>45698</v>
      </c>
      <c r="B1032" s="1">
        <v>64.099998474121094</v>
      </c>
      <c r="C1032" s="1">
        <v>64.650001525878906</v>
      </c>
      <c r="D1032" s="1">
        <v>63.659999847412102</v>
      </c>
      <c r="E1032" s="1">
        <v>64.550003051757798</v>
      </c>
      <c r="F1032" s="1">
        <v>62.700141906738203</v>
      </c>
      <c r="G1032" s="1">
        <v>16154300</v>
      </c>
      <c r="H1032" s="1">
        <f t="shared" si="16"/>
        <v>1.1121591552291516E-2</v>
      </c>
    </row>
    <row r="1033" spans="1:8" x14ac:dyDescent="0.35">
      <c r="A1033" s="3">
        <v>45699</v>
      </c>
      <c r="B1033" s="1">
        <v>67.5</v>
      </c>
      <c r="C1033" s="1">
        <v>67.669998168945298</v>
      </c>
      <c r="D1033" s="1">
        <v>66.410003662109304</v>
      </c>
      <c r="E1033" s="1">
        <v>67.599998474121094</v>
      </c>
      <c r="F1033" s="1">
        <v>65.662734985351506</v>
      </c>
      <c r="G1033" s="1">
        <v>30589100</v>
      </c>
      <c r="H1033" s="1">
        <f t="shared" si="16"/>
        <v>4.7250181395441487E-2</v>
      </c>
    </row>
    <row r="1034" spans="1:8" x14ac:dyDescent="0.35">
      <c r="A1034" s="3">
        <v>45700</v>
      </c>
      <c r="B1034" s="1">
        <v>66.870002746582003</v>
      </c>
      <c r="C1034" s="1">
        <v>68.819999694824205</v>
      </c>
      <c r="D1034" s="1">
        <v>66.870002746582003</v>
      </c>
      <c r="E1034" s="1">
        <v>68.709999084472599</v>
      </c>
      <c r="F1034" s="1">
        <v>66.740921020507798</v>
      </c>
      <c r="G1034" s="1">
        <v>26033800</v>
      </c>
      <c r="H1034" s="1">
        <f t="shared" si="16"/>
        <v>1.6420059800994001E-2</v>
      </c>
    </row>
    <row r="1035" spans="1:8" x14ac:dyDescent="0.35">
      <c r="A1035" s="3">
        <v>45701</v>
      </c>
      <c r="B1035" s="1">
        <v>69</v>
      </c>
      <c r="C1035" s="1">
        <v>69.610000610351506</v>
      </c>
      <c r="D1035" s="1">
        <v>68.760002136230398</v>
      </c>
      <c r="E1035" s="1">
        <v>69.5</v>
      </c>
      <c r="F1035" s="1">
        <v>67.508285522460895</v>
      </c>
      <c r="G1035" s="1">
        <v>24393100</v>
      </c>
      <c r="H1035" s="1">
        <f t="shared" si="16"/>
        <v>1.1497661258185287E-2</v>
      </c>
    </row>
    <row r="1036" spans="1:8" x14ac:dyDescent="0.35">
      <c r="A1036" s="3">
        <v>45702</v>
      </c>
      <c r="B1036" s="1">
        <v>69.360000610351506</v>
      </c>
      <c r="C1036" s="1">
        <v>70.029998779296804</v>
      </c>
      <c r="D1036" s="1">
        <v>68.760002136230398</v>
      </c>
      <c r="E1036" s="1">
        <v>68.870002746582003</v>
      </c>
      <c r="F1036" s="1">
        <v>66.896347045898395</v>
      </c>
      <c r="G1036" s="1">
        <v>20779100</v>
      </c>
      <c r="H1036" s="1">
        <f t="shared" si="16"/>
        <v>-9.0646425372319667E-3</v>
      </c>
    </row>
    <row r="1037" spans="1:8" x14ac:dyDescent="0.35">
      <c r="A1037" s="3">
        <v>45706</v>
      </c>
      <c r="B1037" s="1">
        <v>68.550003051757798</v>
      </c>
      <c r="C1037" s="1">
        <v>69.370002746582003</v>
      </c>
      <c r="D1037" s="1">
        <v>68.419998168945298</v>
      </c>
      <c r="E1037" s="1">
        <v>69.050003051757798</v>
      </c>
      <c r="F1037" s="1">
        <v>67.071174621582003</v>
      </c>
      <c r="G1037" s="1">
        <v>15569100</v>
      </c>
      <c r="H1037" s="1">
        <f t="shared" si="16"/>
        <v>2.6134099005982589E-3</v>
      </c>
    </row>
    <row r="1038" spans="1:8" x14ac:dyDescent="0.35">
      <c r="A1038" s="3">
        <v>45707</v>
      </c>
      <c r="B1038" s="1">
        <v>69.209999084472599</v>
      </c>
      <c r="C1038" s="1">
        <v>70.129997253417898</v>
      </c>
      <c r="D1038" s="1">
        <v>69.169998168945298</v>
      </c>
      <c r="E1038" s="1">
        <v>70.069999694824205</v>
      </c>
      <c r="F1038" s="1">
        <v>68.061950683593693</v>
      </c>
      <c r="G1038" s="1">
        <v>16032300</v>
      </c>
      <c r="H1038" s="1">
        <f t="shared" si="16"/>
        <v>1.4772009996868025E-2</v>
      </c>
    </row>
    <row r="1039" spans="1:8" x14ac:dyDescent="0.35">
      <c r="A1039" s="3">
        <v>45708</v>
      </c>
      <c r="B1039" s="1">
        <v>69.709999084472599</v>
      </c>
      <c r="C1039" s="1">
        <v>70.069999694824205</v>
      </c>
      <c r="D1039" s="1">
        <v>69.419998168945298</v>
      </c>
      <c r="E1039" s="1">
        <v>70.040000915527301</v>
      </c>
      <c r="F1039" s="1">
        <v>68.032806396484304</v>
      </c>
      <c r="G1039" s="1">
        <v>13398000</v>
      </c>
      <c r="H1039" s="1">
        <f t="shared" si="16"/>
        <v>-4.2820234825291937E-4</v>
      </c>
    </row>
    <row r="1040" spans="1:8" x14ac:dyDescent="0.35">
      <c r="A1040" s="3">
        <v>45709</v>
      </c>
      <c r="B1040" s="1">
        <v>70.319999694824205</v>
      </c>
      <c r="C1040" s="1">
        <v>71.599998474121094</v>
      </c>
      <c r="D1040" s="1">
        <v>70.129997253417898</v>
      </c>
      <c r="E1040" s="1">
        <v>71.349998474121094</v>
      </c>
      <c r="F1040" s="1">
        <v>69.305267333984304</v>
      </c>
      <c r="G1040" s="1">
        <v>21662300</v>
      </c>
      <c r="H1040" s="1">
        <f t="shared" si="16"/>
        <v>1.8703637331735242E-2</v>
      </c>
    </row>
    <row r="1041" spans="1:8" x14ac:dyDescent="0.35">
      <c r="A1041" s="3">
        <v>45712</v>
      </c>
      <c r="B1041" s="1">
        <v>70.839996337890597</v>
      </c>
      <c r="C1041" s="1">
        <v>71.730003356933594</v>
      </c>
      <c r="D1041" s="1">
        <v>70.330001831054602</v>
      </c>
      <c r="E1041" s="1">
        <v>70.589996337890597</v>
      </c>
      <c r="F1041" s="1">
        <v>68.567047119140597</v>
      </c>
      <c r="G1041" s="1">
        <v>21418400</v>
      </c>
      <c r="H1041" s="1">
        <f t="shared" si="16"/>
        <v>-1.0651718740023042E-2</v>
      </c>
    </row>
    <row r="1042" spans="1:8" x14ac:dyDescent="0.35">
      <c r="A1042" s="3">
        <v>45713</v>
      </c>
      <c r="B1042" s="1">
        <v>70.860000610351506</v>
      </c>
      <c r="C1042" s="1">
        <v>71.769996643066406</v>
      </c>
      <c r="D1042" s="1">
        <v>70.730003356933594</v>
      </c>
      <c r="E1042" s="1">
        <v>71.489997863769503</v>
      </c>
      <c r="F1042" s="1">
        <v>69.441253662109304</v>
      </c>
      <c r="G1042" s="1">
        <v>21555600</v>
      </c>
      <c r="H1042" s="1">
        <f t="shared" si="16"/>
        <v>1.2749660072858399E-2</v>
      </c>
    </row>
    <row r="1043" spans="1:8" x14ac:dyDescent="0.35">
      <c r="A1043" s="3">
        <v>45714</v>
      </c>
      <c r="B1043" s="1">
        <v>71.269996643066406</v>
      </c>
      <c r="C1043" s="1">
        <v>71.279998779296804</v>
      </c>
      <c r="D1043" s="1">
        <v>70.529998779296804</v>
      </c>
      <c r="E1043" s="1">
        <v>70.800003051757798</v>
      </c>
      <c r="F1043" s="1">
        <v>68.771034240722599</v>
      </c>
      <c r="G1043" s="1">
        <v>14531200</v>
      </c>
      <c r="H1043" s="1">
        <f t="shared" si="16"/>
        <v>-9.6516031327414029E-3</v>
      </c>
    </row>
    <row r="1044" spans="1:8" x14ac:dyDescent="0.35">
      <c r="A1044" s="3">
        <v>45715</v>
      </c>
      <c r="B1044" s="1">
        <v>70.720001220703097</v>
      </c>
      <c r="C1044" s="1">
        <v>71.540000915527301</v>
      </c>
      <c r="D1044" s="1">
        <v>70.419998168945298</v>
      </c>
      <c r="E1044" s="1">
        <v>70.870002746582003</v>
      </c>
      <c r="F1044" s="1">
        <v>68.839019775390597</v>
      </c>
      <c r="G1044" s="1">
        <v>16789500</v>
      </c>
      <c r="H1044" s="1">
        <f t="shared" si="16"/>
        <v>9.8857804624580877E-4</v>
      </c>
    </row>
    <row r="1045" spans="1:8" x14ac:dyDescent="0.35">
      <c r="A1045" s="3">
        <v>45716</v>
      </c>
      <c r="B1045" s="1">
        <v>71.449996948242102</v>
      </c>
      <c r="C1045" s="1">
        <v>71.569999694824205</v>
      </c>
      <c r="D1045" s="1">
        <v>70.559997558593693</v>
      </c>
      <c r="E1045" s="1">
        <v>71.209999084472599</v>
      </c>
      <c r="F1045" s="1">
        <v>69.169281005859304</v>
      </c>
      <c r="G1045" s="1">
        <v>22167400</v>
      </c>
      <c r="H1045" s="1">
        <f t="shared" si="16"/>
        <v>4.797587640647567E-3</v>
      </c>
    </row>
    <row r="1046" spans="1:8" x14ac:dyDescent="0.35">
      <c r="A1046" s="3">
        <v>45719</v>
      </c>
      <c r="B1046" s="1">
        <v>70.239997863769503</v>
      </c>
      <c r="C1046" s="1">
        <v>72.360000610351506</v>
      </c>
      <c r="D1046" s="1">
        <v>69.730003356933594</v>
      </c>
      <c r="E1046" s="1">
        <v>72.319999694824205</v>
      </c>
      <c r="F1046" s="1">
        <v>70.247459411621094</v>
      </c>
      <c r="G1046" s="1">
        <v>21717600</v>
      </c>
      <c r="H1046" s="1">
        <f t="shared" si="16"/>
        <v>1.5587532356602892E-2</v>
      </c>
    </row>
    <row r="1047" spans="1:8" x14ac:dyDescent="0.35">
      <c r="A1047" s="3">
        <v>45720</v>
      </c>
      <c r="B1047" s="1">
        <v>72.069999694824205</v>
      </c>
      <c r="C1047" s="1">
        <v>72.650001525878906</v>
      </c>
      <c r="D1047" s="1">
        <v>69.879997253417898</v>
      </c>
      <c r="E1047" s="1">
        <v>70.190002441406193</v>
      </c>
      <c r="F1047" s="1">
        <v>68.178504943847599</v>
      </c>
      <c r="G1047" s="1">
        <v>25411900</v>
      </c>
      <c r="H1047" s="1">
        <f t="shared" si="16"/>
        <v>-2.9452374293713255E-2</v>
      </c>
    </row>
    <row r="1048" spans="1:8" x14ac:dyDescent="0.35">
      <c r="A1048" s="3">
        <v>45721</v>
      </c>
      <c r="B1048" s="1">
        <v>69.900001525878906</v>
      </c>
      <c r="C1048" s="1">
        <v>70.739997863769503</v>
      </c>
      <c r="D1048" s="1">
        <v>69.839996337890597</v>
      </c>
      <c r="E1048" s="1">
        <v>70.080001831054602</v>
      </c>
      <c r="F1048" s="1">
        <v>68.071662902832003</v>
      </c>
      <c r="G1048" s="1">
        <v>23933600</v>
      </c>
      <c r="H1048" s="1">
        <f t="shared" si="16"/>
        <v>-1.5670927531132078E-3</v>
      </c>
    </row>
    <row r="1049" spans="1:8" x14ac:dyDescent="0.35">
      <c r="A1049" s="3">
        <v>45722</v>
      </c>
      <c r="B1049" s="1">
        <v>70.410003662109304</v>
      </c>
      <c r="C1049" s="1">
        <v>70.529998779296804</v>
      </c>
      <c r="D1049" s="1">
        <v>69.449996948242102</v>
      </c>
      <c r="E1049" s="1">
        <v>70.459999084472599</v>
      </c>
      <c r="F1049" s="1">
        <v>68.440780639648395</v>
      </c>
      <c r="G1049" s="1">
        <v>21694000</v>
      </c>
      <c r="H1049" s="1">
        <f t="shared" si="16"/>
        <v>5.4224874356791353E-3</v>
      </c>
    </row>
    <row r="1050" spans="1:8" x14ac:dyDescent="0.35">
      <c r="A1050" s="3">
        <v>45723</v>
      </c>
      <c r="B1050" s="1">
        <v>69.650001525878906</v>
      </c>
      <c r="C1050" s="1">
        <v>71.819999694824205</v>
      </c>
      <c r="D1050" s="1">
        <v>69.650001525878906</v>
      </c>
      <c r="E1050" s="1">
        <v>71.430000305175696</v>
      </c>
      <c r="F1050" s="1">
        <v>69.382972717285099</v>
      </c>
      <c r="G1050" s="1">
        <v>28393300</v>
      </c>
      <c r="H1050" s="1">
        <f t="shared" si="16"/>
        <v>1.376653025916662E-2</v>
      </c>
    </row>
    <row r="1051" spans="1:8" x14ac:dyDescent="0.35">
      <c r="A1051" s="3">
        <v>45726</v>
      </c>
      <c r="B1051" s="1">
        <v>71.959999084472599</v>
      </c>
      <c r="C1051" s="1">
        <v>73.220001220703097</v>
      </c>
      <c r="D1051" s="1">
        <v>71.319999694824205</v>
      </c>
      <c r="E1051" s="1">
        <v>71.449996948242102</v>
      </c>
      <c r="F1051" s="1">
        <v>69.402397155761705</v>
      </c>
      <c r="G1051" s="1">
        <v>25251200</v>
      </c>
      <c r="H1051" s="1">
        <f t="shared" si="16"/>
        <v>2.7995973242244781E-4</v>
      </c>
    </row>
    <row r="1052" spans="1:8" x14ac:dyDescent="0.35">
      <c r="A1052" s="3">
        <v>45727</v>
      </c>
      <c r="B1052" s="1">
        <v>71.879997253417898</v>
      </c>
      <c r="C1052" s="1">
        <v>72.040000915527301</v>
      </c>
      <c r="D1052" s="1">
        <v>70.610000610351506</v>
      </c>
      <c r="E1052" s="1">
        <v>71.040000915527301</v>
      </c>
      <c r="F1052" s="1">
        <v>69.004150390625</v>
      </c>
      <c r="G1052" s="1">
        <v>28076400</v>
      </c>
      <c r="H1052" s="1">
        <f t="shared" si="16"/>
        <v>-5.7382278056319642E-3</v>
      </c>
    </row>
    <row r="1053" spans="1:8" x14ac:dyDescent="0.35">
      <c r="A1053" s="3">
        <v>45728</v>
      </c>
      <c r="B1053" s="1">
        <v>70.370002746582003</v>
      </c>
      <c r="C1053" s="1">
        <v>70.730003356933594</v>
      </c>
      <c r="D1053" s="1">
        <v>69.739997863769503</v>
      </c>
      <c r="E1053" s="1">
        <v>69.940002441406193</v>
      </c>
      <c r="F1053" s="1">
        <v>67.9356689453125</v>
      </c>
      <c r="G1053" s="1">
        <v>18923300</v>
      </c>
      <c r="H1053" s="1">
        <f t="shared" si="16"/>
        <v>-1.548430694768275E-2</v>
      </c>
    </row>
    <row r="1054" spans="1:8" x14ac:dyDescent="0.35">
      <c r="A1054" s="3">
        <v>45729</v>
      </c>
      <c r="B1054" s="1">
        <v>70.25</v>
      </c>
      <c r="C1054" s="1">
        <v>70.25</v>
      </c>
      <c r="D1054" s="1">
        <v>69.279998779296804</v>
      </c>
      <c r="E1054" s="1">
        <v>69.620002746582003</v>
      </c>
      <c r="F1054" s="1">
        <v>67.624847412109304</v>
      </c>
      <c r="G1054" s="1">
        <v>15746600</v>
      </c>
      <c r="H1054" s="1">
        <f t="shared" si="16"/>
        <v>-4.575233276254395E-3</v>
      </c>
    </row>
    <row r="1055" spans="1:8" x14ac:dyDescent="0.35">
      <c r="A1055" s="3">
        <v>45730</v>
      </c>
      <c r="B1055" s="1">
        <v>68.510002136230398</v>
      </c>
      <c r="C1055" s="1">
        <v>69.260002136230398</v>
      </c>
      <c r="D1055" s="1">
        <v>68.379997253417898</v>
      </c>
      <c r="E1055" s="1">
        <v>69.160003662109304</v>
      </c>
      <c r="F1055" s="1">
        <v>67.673774719238196</v>
      </c>
      <c r="G1055" s="1">
        <v>14205100</v>
      </c>
      <c r="H1055" s="1">
        <f t="shared" si="16"/>
        <v>7.2351079523664587E-4</v>
      </c>
    </row>
    <row r="1056" spans="1:8" x14ac:dyDescent="0.35">
      <c r="A1056" s="3">
        <v>45733</v>
      </c>
      <c r="B1056" s="1">
        <v>69.239997863769503</v>
      </c>
      <c r="C1056" s="1">
        <v>70.169998168945298</v>
      </c>
      <c r="D1056" s="1">
        <v>69.080001831054602</v>
      </c>
      <c r="E1056" s="1">
        <v>70.120002746582003</v>
      </c>
      <c r="F1056" s="1">
        <v>68.613143920898395</v>
      </c>
      <c r="G1056" s="1">
        <v>15634800</v>
      </c>
      <c r="H1056" s="1">
        <f t="shared" si="16"/>
        <v>1.3880845357857014E-2</v>
      </c>
    </row>
    <row r="1057" spans="1:8" x14ac:dyDescent="0.35">
      <c r="A1057" s="3">
        <v>45734</v>
      </c>
      <c r="B1057" s="1">
        <v>70.110000610351506</v>
      </c>
      <c r="C1057" s="1">
        <v>70.190002441406193</v>
      </c>
      <c r="D1057" s="1">
        <v>69.300003051757798</v>
      </c>
      <c r="E1057" s="1">
        <v>69.379997253417898</v>
      </c>
      <c r="F1057" s="1">
        <v>67.8890380859375</v>
      </c>
      <c r="G1057" s="1">
        <v>12657600</v>
      </c>
      <c r="H1057" s="1">
        <f t="shared" si="16"/>
        <v>-1.055345657671204E-2</v>
      </c>
    </row>
    <row r="1058" spans="1:8" x14ac:dyDescent="0.35">
      <c r="A1058" s="3">
        <v>45735</v>
      </c>
      <c r="B1058" s="1">
        <v>68.550003051757798</v>
      </c>
      <c r="C1058" s="1">
        <v>69.379997253417898</v>
      </c>
      <c r="D1058" s="1">
        <v>68.540000915527301</v>
      </c>
      <c r="E1058" s="1">
        <v>69.279998779296804</v>
      </c>
      <c r="F1058" s="1">
        <v>67.791191101074205</v>
      </c>
      <c r="G1058" s="1">
        <v>14780000</v>
      </c>
      <c r="H1058" s="1">
        <f t="shared" si="16"/>
        <v>-1.4412781153186414E-3</v>
      </c>
    </row>
    <row r="1059" spans="1:8" x14ac:dyDescent="0.35">
      <c r="A1059" s="3">
        <v>45736</v>
      </c>
      <c r="B1059" s="1">
        <v>69.309997558593693</v>
      </c>
      <c r="C1059" s="1">
        <v>69.809997558593693</v>
      </c>
      <c r="D1059" s="1">
        <v>69.089996337890597</v>
      </c>
      <c r="E1059" s="1">
        <v>69.709999084472599</v>
      </c>
      <c r="F1059" s="1">
        <v>68.211944580078097</v>
      </c>
      <c r="G1059" s="1">
        <v>16295300</v>
      </c>
      <c r="H1059" s="1">
        <f t="shared" si="16"/>
        <v>6.2066099174531968E-3</v>
      </c>
    </row>
    <row r="1060" spans="1:8" x14ac:dyDescent="0.35">
      <c r="A1060" s="3">
        <v>45737</v>
      </c>
      <c r="B1060" s="1">
        <v>69.709999084472599</v>
      </c>
      <c r="C1060" s="1">
        <v>69.970001220703097</v>
      </c>
      <c r="D1060" s="1">
        <v>68.180000305175696</v>
      </c>
      <c r="E1060" s="1">
        <v>68.669998168945298</v>
      </c>
      <c r="F1060" s="1">
        <v>67.194290161132798</v>
      </c>
      <c r="G1060" s="1">
        <v>47479500</v>
      </c>
      <c r="H1060" s="1">
        <f t="shared" si="16"/>
        <v>-1.4919006124368916E-2</v>
      </c>
    </row>
    <row r="1061" spans="1:8" x14ac:dyDescent="0.35">
      <c r="A1061" s="3">
        <v>45740</v>
      </c>
      <c r="B1061" s="1">
        <v>68.800003051757798</v>
      </c>
      <c r="C1061" s="1">
        <v>69.080001831054602</v>
      </c>
      <c r="D1061" s="1">
        <v>68.330001831054602</v>
      </c>
      <c r="E1061" s="1">
        <v>68.949996948242102</v>
      </c>
      <c r="F1061" s="1">
        <v>67.468276977539006</v>
      </c>
      <c r="G1061" s="1">
        <v>12575400</v>
      </c>
      <c r="H1061" s="1">
        <f t="shared" si="16"/>
        <v>4.077531226971568E-3</v>
      </c>
    </row>
    <row r="1062" spans="1:8" x14ac:dyDescent="0.35">
      <c r="A1062" s="3">
        <v>45741</v>
      </c>
      <c r="B1062" s="1">
        <v>68.949996948242102</v>
      </c>
      <c r="C1062" s="1">
        <v>69.080001831054602</v>
      </c>
      <c r="D1062" s="1">
        <v>68.599998474121094</v>
      </c>
      <c r="E1062" s="1">
        <v>68.809997558593693</v>
      </c>
      <c r="F1062" s="1">
        <v>67.331291198730398</v>
      </c>
      <c r="G1062" s="1">
        <v>12513900</v>
      </c>
      <c r="H1062" s="1">
        <f t="shared" si="16"/>
        <v>-2.0303731612148945E-3</v>
      </c>
    </row>
    <row r="1063" spans="1:8" x14ac:dyDescent="0.35">
      <c r="A1063" s="3">
        <v>45742</v>
      </c>
      <c r="B1063" s="1">
        <v>68.919998168945298</v>
      </c>
      <c r="C1063" s="1">
        <v>70.349998474121094</v>
      </c>
      <c r="D1063" s="1">
        <v>68.900001525878906</v>
      </c>
      <c r="E1063" s="1">
        <v>70.019996643066406</v>
      </c>
      <c r="F1063" s="1">
        <v>68.515289306640597</v>
      </c>
      <c r="G1063" s="1">
        <v>14478200</v>
      </c>
      <c r="H1063" s="1">
        <f t="shared" si="16"/>
        <v>1.7584663636043926E-2</v>
      </c>
    </row>
    <row r="1064" spans="1:8" x14ac:dyDescent="0.35">
      <c r="A1064" s="3">
        <v>45743</v>
      </c>
      <c r="B1064" s="1">
        <v>70.180000305175696</v>
      </c>
      <c r="C1064" s="1">
        <v>70.989997863769503</v>
      </c>
      <c r="D1064" s="1">
        <v>70.069999694824205</v>
      </c>
      <c r="E1064" s="1">
        <v>70.739997863769503</v>
      </c>
      <c r="F1064" s="1">
        <v>69.219810485839801</v>
      </c>
      <c r="G1064" s="1">
        <v>11663400</v>
      </c>
      <c r="H1064" s="1">
        <f t="shared" si="16"/>
        <v>1.0282685606801071E-2</v>
      </c>
    </row>
    <row r="1065" spans="1:8" x14ac:dyDescent="0.35">
      <c r="A1065" s="3">
        <v>45744</v>
      </c>
      <c r="B1065" s="1">
        <v>70.809997558593693</v>
      </c>
      <c r="C1065" s="1">
        <v>71.319999694824205</v>
      </c>
      <c r="D1065" s="1">
        <v>69.529998779296804</v>
      </c>
      <c r="E1065" s="1">
        <v>70.370002746582003</v>
      </c>
      <c r="F1065" s="1">
        <v>68.857772827148395</v>
      </c>
      <c r="G1065" s="1">
        <v>17412900</v>
      </c>
      <c r="H1065" s="1">
        <f t="shared" si="16"/>
        <v>-5.2302607613389489E-3</v>
      </c>
    </row>
    <row r="1066" spans="1:8" x14ac:dyDescent="0.35">
      <c r="A1066" s="3">
        <v>45747</v>
      </c>
      <c r="B1066" s="1">
        <v>70.730003356933594</v>
      </c>
      <c r="C1066" s="1">
        <v>71.940002441406193</v>
      </c>
      <c r="D1066" s="1">
        <v>70.489997863769503</v>
      </c>
      <c r="E1066" s="1">
        <v>71.620002746582003</v>
      </c>
      <c r="F1066" s="1">
        <v>70.080909729003906</v>
      </c>
      <c r="G1066" s="1">
        <v>24016900</v>
      </c>
      <c r="H1066" s="1">
        <f t="shared" si="16"/>
        <v>1.7763236474782815E-2</v>
      </c>
    </row>
    <row r="1067" spans="1:8" x14ac:dyDescent="0.35">
      <c r="A1067" s="3">
        <v>45748</v>
      </c>
      <c r="B1067" s="1">
        <v>71.680000305175696</v>
      </c>
      <c r="C1067" s="1">
        <v>71.910003662109304</v>
      </c>
      <c r="D1067" s="1">
        <v>71.190002441406193</v>
      </c>
      <c r="E1067" s="1">
        <v>71.870002746582003</v>
      </c>
      <c r="F1067" s="1">
        <v>70.325538635253906</v>
      </c>
      <c r="G1067" s="1">
        <v>15309100</v>
      </c>
      <c r="H1067" s="1">
        <f t="shared" si="16"/>
        <v>3.490663965350283E-3</v>
      </c>
    </row>
    <row r="1068" spans="1:8" x14ac:dyDescent="0.35">
      <c r="A1068" s="3">
        <v>45749</v>
      </c>
      <c r="B1068" s="1">
        <v>71.959999084472599</v>
      </c>
      <c r="C1068" s="1">
        <v>72.360000610351506</v>
      </c>
      <c r="D1068" s="1">
        <v>71.050003051757798</v>
      </c>
      <c r="E1068" s="1">
        <v>71.330001831054602</v>
      </c>
      <c r="F1068" s="1">
        <v>69.797142028808594</v>
      </c>
      <c r="G1068" s="1">
        <v>14606500</v>
      </c>
      <c r="H1068" s="1">
        <f t="shared" si="16"/>
        <v>-7.5135806521989361E-3</v>
      </c>
    </row>
    <row r="1069" spans="1:8" x14ac:dyDescent="0.35">
      <c r="A1069" s="3">
        <v>45750</v>
      </c>
      <c r="B1069" s="1">
        <v>72.480003356933594</v>
      </c>
      <c r="C1069" s="1">
        <v>73.949996948242102</v>
      </c>
      <c r="D1069" s="1">
        <v>72.319999694824205</v>
      </c>
      <c r="E1069" s="1">
        <v>73.180000305175696</v>
      </c>
      <c r="F1069" s="1">
        <v>71.607383728027301</v>
      </c>
      <c r="G1069" s="1">
        <v>24959600</v>
      </c>
      <c r="H1069" s="1">
        <f t="shared" si="16"/>
        <v>2.5935756774561551E-2</v>
      </c>
    </row>
    <row r="1070" spans="1:8" x14ac:dyDescent="0.35">
      <c r="A1070" s="3">
        <v>45751</v>
      </c>
      <c r="B1070" s="1">
        <v>72.419998168945298</v>
      </c>
      <c r="C1070" s="1">
        <v>73.010002136230398</v>
      </c>
      <c r="D1070" s="1">
        <v>69.790000915527301</v>
      </c>
      <c r="E1070" s="1">
        <v>69.930000305175696</v>
      </c>
      <c r="F1070" s="1">
        <v>68.427215576171804</v>
      </c>
      <c r="G1070" s="1">
        <v>26517300</v>
      </c>
      <c r="H1070" s="1">
        <f t="shared" si="16"/>
        <v>-4.4411176421891414E-2</v>
      </c>
    </row>
    <row r="1071" spans="1:8" x14ac:dyDescent="0.35">
      <c r="A1071" s="3">
        <v>45754</v>
      </c>
      <c r="B1071" s="1">
        <v>66.230003356933594</v>
      </c>
      <c r="C1071" s="1">
        <v>69.379997253417898</v>
      </c>
      <c r="D1071" s="1">
        <v>66.050003051757798</v>
      </c>
      <c r="E1071" s="1">
        <v>68.370002746582003</v>
      </c>
      <c r="F1071" s="1">
        <v>66.9007568359375</v>
      </c>
      <c r="G1071" s="1">
        <v>34258400</v>
      </c>
      <c r="H1071" s="1">
        <f t="shared" si="16"/>
        <v>-2.2307772242099792E-2</v>
      </c>
    </row>
    <row r="1072" spans="1:8" x14ac:dyDescent="0.35">
      <c r="A1072" s="3">
        <v>45755</v>
      </c>
      <c r="B1072" s="1">
        <v>68.959999084472599</v>
      </c>
      <c r="C1072" s="1">
        <v>69.980003356933594</v>
      </c>
      <c r="D1072" s="1">
        <v>67.760002136230398</v>
      </c>
      <c r="E1072" s="1">
        <v>68.419998168945298</v>
      </c>
      <c r="F1072" s="1">
        <v>66.949676513671804</v>
      </c>
      <c r="G1072" s="1">
        <v>22774400</v>
      </c>
      <c r="H1072" s="1">
        <f t="shared" si="16"/>
        <v>7.3122756823620048E-4</v>
      </c>
    </row>
    <row r="1073" spans="1:8" x14ac:dyDescent="0.35">
      <c r="A1073" s="3">
        <v>45756</v>
      </c>
      <c r="B1073" s="1">
        <v>67.919998168945298</v>
      </c>
      <c r="C1073" s="1">
        <v>70.470001220703097</v>
      </c>
      <c r="D1073" s="1">
        <v>67.279998779296804</v>
      </c>
      <c r="E1073" s="1">
        <v>69.949996948242102</v>
      </c>
      <c r="F1073" s="1">
        <v>68.446792602539006</v>
      </c>
      <c r="G1073" s="1">
        <v>27918700</v>
      </c>
      <c r="H1073" s="1">
        <f t="shared" si="16"/>
        <v>2.2361812137531023E-2</v>
      </c>
    </row>
    <row r="1074" spans="1:8" x14ac:dyDescent="0.35">
      <c r="A1074" s="3">
        <v>45757</v>
      </c>
      <c r="B1074" s="1">
        <v>70.190002441406193</v>
      </c>
      <c r="C1074" s="1">
        <v>71.209999084472599</v>
      </c>
      <c r="D1074" s="1">
        <v>68.980003356933594</v>
      </c>
      <c r="E1074" s="1">
        <v>70.760002136230398</v>
      </c>
      <c r="F1074" s="1">
        <v>69.239387512207003</v>
      </c>
      <c r="G1074" s="1">
        <v>22450200</v>
      </c>
      <c r="H1074" s="1">
        <f t="shared" si="16"/>
        <v>1.1579723162055021E-2</v>
      </c>
    </row>
    <row r="1075" spans="1:8" x14ac:dyDescent="0.35">
      <c r="A1075" s="3">
        <v>45758</v>
      </c>
      <c r="B1075" s="1">
        <v>70.910003662109304</v>
      </c>
      <c r="C1075" s="1">
        <v>71.849998474121094</v>
      </c>
      <c r="D1075" s="1">
        <v>70.540000915527301</v>
      </c>
      <c r="E1075" s="1">
        <v>71.430000305175696</v>
      </c>
      <c r="F1075" s="1">
        <v>69.894989013671804</v>
      </c>
      <c r="G1075" s="1">
        <v>19988200</v>
      </c>
      <c r="H1075" s="1">
        <f t="shared" si="16"/>
        <v>9.468620752158121E-3</v>
      </c>
    </row>
    <row r="1076" spans="1:8" x14ac:dyDescent="0.35">
      <c r="A1076" s="3">
        <v>45761</v>
      </c>
      <c r="B1076" s="1">
        <v>71.300003051757798</v>
      </c>
      <c r="C1076" s="1">
        <v>72.660003662109304</v>
      </c>
      <c r="D1076" s="1">
        <v>70.930000305175696</v>
      </c>
      <c r="E1076" s="1">
        <v>72.449996948242102</v>
      </c>
      <c r="F1076" s="1">
        <v>70.89306640625</v>
      </c>
      <c r="G1076" s="1">
        <v>13930200</v>
      </c>
      <c r="H1076" s="1">
        <f t="shared" si="16"/>
        <v>1.4279670211879814E-2</v>
      </c>
    </row>
    <row r="1077" spans="1:8" x14ac:dyDescent="0.35">
      <c r="A1077" s="3">
        <v>45762</v>
      </c>
      <c r="B1077" s="1">
        <v>72.620002746582003</v>
      </c>
      <c r="C1077" s="1">
        <v>72.629997253417898</v>
      </c>
      <c r="D1077" s="1">
        <v>71.720001220703097</v>
      </c>
      <c r="E1077" s="1">
        <v>71.860000610351506</v>
      </c>
      <c r="F1077" s="1">
        <v>70.315750122070298</v>
      </c>
      <c r="G1077" s="1">
        <v>14965500</v>
      </c>
      <c r="H1077" s="1">
        <f t="shared" si="16"/>
        <v>-8.1434802223310926E-3</v>
      </c>
    </row>
    <row r="1078" spans="1:8" x14ac:dyDescent="0.35">
      <c r="A1078" s="3">
        <v>45763</v>
      </c>
      <c r="B1078" s="1">
        <v>72.360000610351506</v>
      </c>
      <c r="C1078" s="1">
        <v>72.669998168945298</v>
      </c>
      <c r="D1078" s="1">
        <v>71.389999389648395</v>
      </c>
      <c r="E1078" s="1">
        <v>71.680000305175696</v>
      </c>
      <c r="F1078" s="1">
        <v>70.139617919921804</v>
      </c>
      <c r="G1078" s="1">
        <v>15276200</v>
      </c>
      <c r="H1078" s="1">
        <f t="shared" si="16"/>
        <v>-2.5048755341829311E-3</v>
      </c>
    </row>
    <row r="1079" spans="1:8" x14ac:dyDescent="0.35">
      <c r="A1079" s="3">
        <v>45764</v>
      </c>
      <c r="B1079" s="1">
        <v>71.900001525878906</v>
      </c>
      <c r="C1079" s="1">
        <v>73.430000305175696</v>
      </c>
      <c r="D1079" s="1">
        <v>71.720001220703097</v>
      </c>
      <c r="E1079" s="1">
        <v>73</v>
      </c>
      <c r="F1079" s="1">
        <v>71.431251525878906</v>
      </c>
      <c r="G1079" s="1">
        <v>20754500</v>
      </c>
      <c r="H1079" s="1">
        <f t="shared" si="16"/>
        <v>1.8415178814229594E-2</v>
      </c>
    </row>
    <row r="1080" spans="1:8" x14ac:dyDescent="0.35">
      <c r="A1080" s="3">
        <v>45768</v>
      </c>
      <c r="B1080" s="1">
        <v>73.379997253417898</v>
      </c>
      <c r="C1080" s="1">
        <v>73.470001220703097</v>
      </c>
      <c r="D1080" s="1">
        <v>71.819999694824205</v>
      </c>
      <c r="E1080" s="1">
        <v>72.769996643066406</v>
      </c>
      <c r="F1080" s="1">
        <v>71.206184387207003</v>
      </c>
      <c r="G1080" s="1">
        <v>16037200</v>
      </c>
      <c r="H1080" s="1">
        <f t="shared" si="16"/>
        <v>-3.1508217182833987E-3</v>
      </c>
    </row>
    <row r="1081" spans="1:8" x14ac:dyDescent="0.35">
      <c r="A1081" s="3">
        <v>45769</v>
      </c>
      <c r="B1081" s="1">
        <v>73</v>
      </c>
      <c r="C1081" s="1">
        <v>74.379997253417898</v>
      </c>
      <c r="D1081" s="1">
        <v>72.919998168945298</v>
      </c>
      <c r="E1081" s="1">
        <v>73.900001525878906</v>
      </c>
      <c r="F1081" s="1">
        <v>72.311912536621094</v>
      </c>
      <c r="G1081" s="1">
        <v>15613500</v>
      </c>
      <c r="H1081" s="1">
        <f t="shared" si="16"/>
        <v>1.5528540939665172E-2</v>
      </c>
    </row>
    <row r="1082" spans="1:8" x14ac:dyDescent="0.35">
      <c r="A1082" s="3">
        <v>45770</v>
      </c>
      <c r="B1082" s="1">
        <v>73.290000915527301</v>
      </c>
      <c r="C1082" s="1">
        <v>73.949996948242102</v>
      </c>
      <c r="D1082" s="1">
        <v>72.379997253417898</v>
      </c>
      <c r="E1082" s="1">
        <v>73.300003051757798</v>
      </c>
      <c r="F1082" s="1">
        <v>71.724807739257798</v>
      </c>
      <c r="G1082" s="1">
        <v>16353900</v>
      </c>
      <c r="H1082" s="1">
        <f t="shared" si="16"/>
        <v>-8.1190605637206266E-3</v>
      </c>
    </row>
    <row r="1083" spans="1:8" x14ac:dyDescent="0.35">
      <c r="A1083" s="3">
        <v>45771</v>
      </c>
      <c r="B1083" s="1">
        <v>73.019996643066406</v>
      </c>
      <c r="C1083" s="1">
        <v>73.430000305175696</v>
      </c>
      <c r="D1083" s="1">
        <v>72.300003051757798</v>
      </c>
      <c r="E1083" s="1">
        <v>72.519996643066406</v>
      </c>
      <c r="F1083" s="1">
        <v>70.961563110351506</v>
      </c>
      <c r="G1083" s="1">
        <v>16893900</v>
      </c>
      <c r="H1083" s="1">
        <f t="shared" si="16"/>
        <v>-1.0641292085172631E-2</v>
      </c>
    </row>
    <row r="1084" spans="1:8" x14ac:dyDescent="0.35">
      <c r="A1084" s="3">
        <v>45772</v>
      </c>
      <c r="B1084" s="1">
        <v>72.650001525878906</v>
      </c>
      <c r="C1084" s="1">
        <v>72.919998168945298</v>
      </c>
      <c r="D1084" s="1">
        <v>71.129997253417898</v>
      </c>
      <c r="E1084" s="1">
        <v>71.910003662109304</v>
      </c>
      <c r="F1084" s="1">
        <v>70.364677429199205</v>
      </c>
      <c r="G1084" s="1">
        <v>16316000</v>
      </c>
      <c r="H1084" s="1">
        <f t="shared" si="16"/>
        <v>-8.41139421103353E-3</v>
      </c>
    </row>
    <row r="1085" spans="1:8" x14ac:dyDescent="0.35">
      <c r="A1085" s="3">
        <v>45775</v>
      </c>
      <c r="B1085" s="1">
        <v>72.080001831054602</v>
      </c>
      <c r="C1085" s="1">
        <v>72.260002136230398</v>
      </c>
      <c r="D1085" s="1">
        <v>71.309997558593693</v>
      </c>
      <c r="E1085" s="1">
        <v>71.790000915527301</v>
      </c>
      <c r="F1085" s="1">
        <v>70.247253417968693</v>
      </c>
      <c r="G1085" s="1">
        <v>15997500</v>
      </c>
      <c r="H1085" s="1">
        <f t="shared" si="16"/>
        <v>-1.6687920064532831E-3</v>
      </c>
    </row>
    <row r="1086" spans="1:8" x14ac:dyDescent="0.35">
      <c r="A1086" s="3">
        <v>45776</v>
      </c>
      <c r="B1086" s="1">
        <v>71.190002441406193</v>
      </c>
      <c r="C1086" s="1">
        <v>72.709999084472599</v>
      </c>
      <c r="D1086" s="1">
        <v>70.279998779296804</v>
      </c>
      <c r="E1086" s="1">
        <v>72.349998474121094</v>
      </c>
      <c r="F1086" s="1">
        <v>70.795211791992102</v>
      </c>
      <c r="G1086" s="1">
        <v>16244100</v>
      </c>
      <c r="H1086" s="1">
        <f t="shared" si="16"/>
        <v>7.8004241783387026E-3</v>
      </c>
    </row>
    <row r="1087" spans="1:8" x14ac:dyDescent="0.35">
      <c r="A1087" s="3">
        <v>45777</v>
      </c>
      <c r="B1087" s="1">
        <v>73.349998474121094</v>
      </c>
      <c r="C1087" s="1">
        <v>73.480003356933594</v>
      </c>
      <c r="D1087" s="1">
        <v>71.690002441406193</v>
      </c>
      <c r="E1087" s="1">
        <v>72.550003051757798</v>
      </c>
      <c r="F1087" s="1">
        <v>70.990921020507798</v>
      </c>
      <c r="G1087" s="1">
        <v>21074700</v>
      </c>
      <c r="H1087" s="1">
        <f t="shared" si="16"/>
        <v>2.7644415993940629E-3</v>
      </c>
    </row>
    <row r="1088" spans="1:8" x14ac:dyDescent="0.35">
      <c r="A1088" s="3">
        <v>45778</v>
      </c>
      <c r="B1088" s="1">
        <v>72</v>
      </c>
      <c r="C1088" s="1">
        <v>72.040000915527301</v>
      </c>
      <c r="D1088" s="1">
        <v>71.230003356933594</v>
      </c>
      <c r="E1088" s="1">
        <v>71.290000915527301</v>
      </c>
      <c r="F1088" s="1">
        <v>69.757995605468693</v>
      </c>
      <c r="G1088" s="1">
        <v>18034200</v>
      </c>
      <c r="H1088" s="1">
        <f t="shared" si="16"/>
        <v>-1.7367367507218828E-2</v>
      </c>
    </row>
    <row r="1089" spans="1:8" x14ac:dyDescent="0.35">
      <c r="A1089" s="3">
        <v>45779</v>
      </c>
      <c r="B1089" s="1">
        <v>71.5</v>
      </c>
      <c r="C1089" s="1">
        <v>71.819999694824205</v>
      </c>
      <c r="D1089" s="1">
        <v>71.099998474121094</v>
      </c>
      <c r="E1089" s="1">
        <v>71.650001525878906</v>
      </c>
      <c r="F1089" s="1">
        <v>70.110267639160099</v>
      </c>
      <c r="G1089" s="1">
        <v>12629600</v>
      </c>
      <c r="H1089" s="1">
        <f t="shared" si="16"/>
        <v>5.0499162229912156E-3</v>
      </c>
    </row>
    <row r="1090" spans="1:8" x14ac:dyDescent="0.35">
      <c r="A1090" s="3">
        <v>45782</v>
      </c>
      <c r="B1090" s="1">
        <v>71.669998168945298</v>
      </c>
      <c r="C1090" s="1">
        <v>71.800003051757798</v>
      </c>
      <c r="D1090" s="1">
        <v>71.010002136230398</v>
      </c>
      <c r="E1090" s="1">
        <v>71.699996948242102</v>
      </c>
      <c r="F1090" s="1">
        <v>70.159187316894503</v>
      </c>
      <c r="G1090" s="1">
        <v>11932700</v>
      </c>
      <c r="H1090" s="1">
        <f t="shared" si="16"/>
        <v>6.9775340162985379E-4</v>
      </c>
    </row>
    <row r="1091" spans="1:8" x14ac:dyDescent="0.35">
      <c r="A1091" s="3">
        <v>45783</v>
      </c>
      <c r="B1091" s="1">
        <v>71.680000305175696</v>
      </c>
      <c r="C1091" s="1">
        <v>71.900001525878906</v>
      </c>
      <c r="D1091" s="1">
        <v>71.160003662109304</v>
      </c>
      <c r="E1091" s="1">
        <v>71.720001220703097</v>
      </c>
      <c r="F1091" s="1">
        <v>70.178756713867102</v>
      </c>
      <c r="G1091" s="1">
        <v>12705500</v>
      </c>
      <c r="H1091" s="1">
        <f t="shared" si="16"/>
        <v>2.7892850132668298E-4</v>
      </c>
    </row>
    <row r="1092" spans="1:8" x14ac:dyDescent="0.35">
      <c r="A1092" s="3">
        <v>45784</v>
      </c>
      <c r="B1092" s="1">
        <v>71.720001220703097</v>
      </c>
      <c r="C1092" s="1">
        <v>72.690002441406193</v>
      </c>
      <c r="D1092" s="1">
        <v>71.669998168945298</v>
      </c>
      <c r="E1092" s="1">
        <v>72.400001525878906</v>
      </c>
      <c r="F1092" s="1">
        <v>70.844139099121094</v>
      </c>
      <c r="G1092" s="1">
        <v>15018200</v>
      </c>
      <c r="H1092" s="1">
        <f t="shared" ref="H1092:H1155" si="17">(F1092-F1091)/F1091</f>
        <v>9.4812506862566575E-3</v>
      </c>
    </row>
    <row r="1093" spans="1:8" x14ac:dyDescent="0.35">
      <c r="A1093" s="3">
        <v>45785</v>
      </c>
      <c r="B1093" s="1">
        <v>72.199996948242102</v>
      </c>
      <c r="C1093" s="1">
        <v>72.470001220703097</v>
      </c>
      <c r="D1093" s="1">
        <v>71.129997253417898</v>
      </c>
      <c r="E1093" s="1">
        <v>71.169998168945298</v>
      </c>
      <c r="F1093" s="1">
        <v>69.640571594238196</v>
      </c>
      <c r="G1093" s="1">
        <v>14371100</v>
      </c>
      <c r="H1093" s="1">
        <f t="shared" si="17"/>
        <v>-1.6988949547385064E-2</v>
      </c>
    </row>
    <row r="1094" spans="1:8" x14ac:dyDescent="0.35">
      <c r="A1094" s="3">
        <v>45786</v>
      </c>
      <c r="B1094" s="1">
        <v>70.989997863769503</v>
      </c>
      <c r="C1094" s="1">
        <v>71.150001525878906</v>
      </c>
      <c r="D1094" s="1">
        <v>70.459999084472599</v>
      </c>
      <c r="E1094" s="1">
        <v>70.519996643066406</v>
      </c>
      <c r="F1094" s="1">
        <v>69.004539489746094</v>
      </c>
      <c r="G1094" s="1">
        <v>11228900</v>
      </c>
      <c r="H1094" s="1">
        <f t="shared" si="17"/>
        <v>-9.133068410149655E-3</v>
      </c>
    </row>
    <row r="1095" spans="1:8" x14ac:dyDescent="0.35">
      <c r="A1095" s="3">
        <v>45789</v>
      </c>
      <c r="B1095" s="1">
        <v>70.150001525878906</v>
      </c>
      <c r="C1095" s="1">
        <v>70.330001831054602</v>
      </c>
      <c r="D1095" s="1">
        <v>68.699996948242102</v>
      </c>
      <c r="E1095" s="1">
        <v>69.529998779296804</v>
      </c>
      <c r="F1095" s="1">
        <v>68.035820007324205</v>
      </c>
      <c r="G1095" s="1">
        <v>21539000</v>
      </c>
      <c r="H1095" s="1">
        <f t="shared" si="17"/>
        <v>-1.4038489200639308E-2</v>
      </c>
    </row>
    <row r="1096" spans="1:8" x14ac:dyDescent="0.35">
      <c r="A1096" s="3">
        <v>45790</v>
      </c>
      <c r="B1096" s="1">
        <v>69.589996337890597</v>
      </c>
      <c r="C1096" s="1">
        <v>69.690002441406193</v>
      </c>
      <c r="D1096" s="1">
        <v>68.870002746582003</v>
      </c>
      <c r="E1096" s="1">
        <v>68.959999084472599</v>
      </c>
      <c r="F1096" s="1">
        <v>67.478065490722599</v>
      </c>
      <c r="G1096" s="1">
        <v>14389100</v>
      </c>
      <c r="H1096" s="1">
        <f t="shared" si="17"/>
        <v>-8.1979539093019176E-3</v>
      </c>
    </row>
    <row r="1097" spans="1:8" x14ac:dyDescent="0.35">
      <c r="A1097" s="3">
        <v>45791</v>
      </c>
      <c r="B1097" s="1">
        <v>68.879997253417898</v>
      </c>
      <c r="C1097" s="1">
        <v>69.339996337890597</v>
      </c>
      <c r="D1097" s="1">
        <v>68.580001831054602</v>
      </c>
      <c r="E1097" s="1">
        <v>69.160003662109304</v>
      </c>
      <c r="F1097" s="1">
        <v>67.673774719238196</v>
      </c>
      <c r="G1097" s="1">
        <v>16286800</v>
      </c>
      <c r="H1097" s="1">
        <f t="shared" si="17"/>
        <v>2.9003384595028764E-3</v>
      </c>
    </row>
    <row r="1098" spans="1:8" x14ac:dyDescent="0.35">
      <c r="A1098" s="3">
        <v>45792</v>
      </c>
      <c r="B1098" s="1">
        <v>69.699996948242102</v>
      </c>
      <c r="C1098" s="1">
        <v>71.730003356933594</v>
      </c>
      <c r="D1098" s="1">
        <v>69.599998474121094</v>
      </c>
      <c r="E1098" s="1">
        <v>71.610000610351506</v>
      </c>
      <c r="F1098" s="1">
        <v>70.071121215820298</v>
      </c>
      <c r="G1098" s="1">
        <v>19817100</v>
      </c>
      <c r="H1098" s="1">
        <f t="shared" si="17"/>
        <v>3.5425044731553716E-2</v>
      </c>
    </row>
    <row r="1099" spans="1:8" x14ac:dyDescent="0.35">
      <c r="A1099" s="3">
        <v>45793</v>
      </c>
      <c r="B1099" s="1">
        <v>71.860000610351506</v>
      </c>
      <c r="C1099" s="1">
        <v>72.260002136230398</v>
      </c>
      <c r="D1099" s="1">
        <v>71.430000305175696</v>
      </c>
      <c r="E1099" s="1">
        <v>72</v>
      </c>
      <c r="F1099" s="1">
        <v>70.452735900878906</v>
      </c>
      <c r="G1099" s="1">
        <v>18441200</v>
      </c>
      <c r="H1099" s="1">
        <f t="shared" si="17"/>
        <v>5.4461050206864531E-3</v>
      </c>
    </row>
    <row r="1100" spans="1:8" x14ac:dyDescent="0.35">
      <c r="A1100" s="3">
        <v>45796</v>
      </c>
      <c r="B1100" s="1">
        <v>72.029998779296804</v>
      </c>
      <c r="C1100" s="1">
        <v>72.169998168945298</v>
      </c>
      <c r="D1100" s="1">
        <v>71.639999389648395</v>
      </c>
      <c r="E1100" s="1">
        <v>71.930000305175696</v>
      </c>
      <c r="F1100" s="1">
        <v>70.384246826171804</v>
      </c>
      <c r="G1100" s="1">
        <v>13282800</v>
      </c>
      <c r="H1100" s="1">
        <f t="shared" si="17"/>
        <v>-9.7212796396524176E-4</v>
      </c>
    </row>
    <row r="1101" spans="1:8" x14ac:dyDescent="0.35">
      <c r="A1101" s="3">
        <v>45797</v>
      </c>
      <c r="B1101" s="1">
        <v>71.800003051757798</v>
      </c>
      <c r="C1101" s="1">
        <v>72.129997253417898</v>
      </c>
      <c r="D1101" s="1">
        <v>71.430000305175696</v>
      </c>
      <c r="E1101" s="1">
        <v>71.690002441406193</v>
      </c>
      <c r="F1101" s="1">
        <v>70.149406433105398</v>
      </c>
      <c r="G1101" s="1">
        <v>12137800</v>
      </c>
      <c r="H1101" s="1">
        <f t="shared" si="17"/>
        <v>-3.3365476460434722E-3</v>
      </c>
    </row>
    <row r="1102" spans="1:8" x14ac:dyDescent="0.35">
      <c r="A1102" s="3">
        <v>45798</v>
      </c>
      <c r="B1102" s="1">
        <v>71.690002441406193</v>
      </c>
      <c r="C1102" s="1">
        <v>72.080001831054602</v>
      </c>
      <c r="D1102" s="1">
        <v>71.580001831054602</v>
      </c>
      <c r="E1102" s="1">
        <v>71.849998474121094</v>
      </c>
      <c r="F1102" s="1">
        <v>70.305961608886705</v>
      </c>
      <c r="G1102" s="1">
        <v>12094400</v>
      </c>
      <c r="H1102" s="1">
        <f t="shared" si="17"/>
        <v>2.2317391371030081E-3</v>
      </c>
    </row>
    <row r="1103" spans="1:8" x14ac:dyDescent="0.35">
      <c r="A1103" s="3">
        <v>45799</v>
      </c>
      <c r="B1103" s="1">
        <v>71.839996337890597</v>
      </c>
      <c r="C1103" s="1">
        <v>71.989997863769503</v>
      </c>
      <c r="D1103" s="1">
        <v>70.959999084472599</v>
      </c>
      <c r="E1103" s="1">
        <v>71.139999389648395</v>
      </c>
      <c r="F1103" s="1">
        <v>69.611213684082003</v>
      </c>
      <c r="G1103" s="1">
        <v>11101800</v>
      </c>
      <c r="H1103" s="1">
        <f t="shared" si="17"/>
        <v>-9.8817782860235459E-3</v>
      </c>
    </row>
    <row r="1104" spans="1:8" x14ac:dyDescent="0.35">
      <c r="A1104" s="3">
        <v>45800</v>
      </c>
      <c r="B1104" s="1">
        <v>71.540000915527301</v>
      </c>
      <c r="C1104" s="1">
        <v>71.980003356933594</v>
      </c>
      <c r="D1104" s="1">
        <v>70.690002441406193</v>
      </c>
      <c r="E1104" s="1">
        <v>71.769996643066406</v>
      </c>
      <c r="F1104" s="1">
        <v>70.227684020996094</v>
      </c>
      <c r="G1104" s="1">
        <v>12822100</v>
      </c>
      <c r="H1104" s="1">
        <f t="shared" si="17"/>
        <v>8.8559055975066161E-3</v>
      </c>
    </row>
    <row r="1105" spans="1:8" x14ac:dyDescent="0.35">
      <c r="A1105" s="3">
        <v>45804</v>
      </c>
      <c r="B1105" s="1">
        <v>71.739997863769503</v>
      </c>
      <c r="C1105" s="1">
        <v>72.220001220703097</v>
      </c>
      <c r="D1105" s="1">
        <v>71.559997558593693</v>
      </c>
      <c r="E1105" s="1">
        <v>71.779998779296804</v>
      </c>
      <c r="F1105" s="1">
        <v>70.237464904785099</v>
      </c>
      <c r="G1105" s="1">
        <v>10666100</v>
      </c>
      <c r="H1105" s="1">
        <f t="shared" si="17"/>
        <v>1.3927390494724914E-4</v>
      </c>
    </row>
    <row r="1106" spans="1:8" x14ac:dyDescent="0.35">
      <c r="A1106" s="3">
        <v>45805</v>
      </c>
      <c r="B1106" s="1">
        <v>71.699996948242102</v>
      </c>
      <c r="C1106" s="1">
        <v>71.900001525878906</v>
      </c>
      <c r="D1106" s="1">
        <v>71.050003051757798</v>
      </c>
      <c r="E1106" s="1">
        <v>71.150001525878906</v>
      </c>
      <c r="F1106" s="1">
        <v>69.621002197265597</v>
      </c>
      <c r="G1106" s="1">
        <v>8710900</v>
      </c>
      <c r="H1106" s="1">
        <f t="shared" si="17"/>
        <v>-8.7768359572087118E-3</v>
      </c>
    </row>
    <row r="1107" spans="1:8" x14ac:dyDescent="0.35">
      <c r="A1107" s="3">
        <v>45806</v>
      </c>
      <c r="B1107" s="1">
        <v>71</v>
      </c>
      <c r="C1107" s="1">
        <v>71.660003662109304</v>
      </c>
      <c r="D1107" s="1">
        <v>70.459999084472599</v>
      </c>
      <c r="E1107" s="1">
        <v>71.489997863769503</v>
      </c>
      <c r="F1107" s="1">
        <v>69.953697204589801</v>
      </c>
      <c r="G1107" s="1">
        <v>10291100</v>
      </c>
      <c r="H1107" s="1">
        <f t="shared" si="17"/>
        <v>4.7786586924092184E-3</v>
      </c>
    </row>
    <row r="1108" spans="1:8" x14ac:dyDescent="0.35">
      <c r="A1108" s="3">
        <v>45807</v>
      </c>
      <c r="B1108" s="1">
        <v>71.610000610351506</v>
      </c>
      <c r="C1108" s="1">
        <v>72.470001220703097</v>
      </c>
      <c r="D1108" s="1">
        <v>71.610000610351506</v>
      </c>
      <c r="E1108" s="1">
        <v>72.099998474121094</v>
      </c>
      <c r="F1108" s="1">
        <v>70.550582885742102</v>
      </c>
      <c r="G1108" s="1">
        <v>28019500</v>
      </c>
      <c r="H1108" s="1">
        <f t="shared" si="17"/>
        <v>8.532582336665092E-3</v>
      </c>
    </row>
    <row r="1109" spans="1:8" x14ac:dyDescent="0.35">
      <c r="A1109" s="3">
        <v>45810</v>
      </c>
      <c r="B1109" s="1">
        <v>72.029998779296804</v>
      </c>
      <c r="C1109" s="1">
        <v>72.040000915527301</v>
      </c>
      <c r="D1109" s="1">
        <v>71.360000610351506</v>
      </c>
      <c r="E1109" s="1">
        <v>72</v>
      </c>
      <c r="F1109" s="1">
        <v>70.452735900878906</v>
      </c>
      <c r="G1109" s="1">
        <v>10202700</v>
      </c>
      <c r="H1109" s="1">
        <f t="shared" si="17"/>
        <v>-1.3869054068860194E-3</v>
      </c>
    </row>
    <row r="1110" spans="1:8" x14ac:dyDescent="0.35">
      <c r="A1110" s="3">
        <v>45811</v>
      </c>
      <c r="B1110" s="1">
        <v>71.709999084472599</v>
      </c>
      <c r="C1110" s="1">
        <v>71.779998779296804</v>
      </c>
      <c r="D1110" s="1">
        <v>70.470001220703097</v>
      </c>
      <c r="E1110" s="1">
        <v>71.160003662109304</v>
      </c>
      <c r="F1110" s="1">
        <v>69.630790710449205</v>
      </c>
      <c r="G1110" s="1">
        <v>20139800</v>
      </c>
      <c r="H1110" s="1">
        <f t="shared" si="17"/>
        <v>-1.1666618477188874E-2</v>
      </c>
    </row>
    <row r="1111" spans="1:8" x14ac:dyDescent="0.35">
      <c r="A1111" s="3">
        <v>45812</v>
      </c>
      <c r="B1111" s="1">
        <v>71.260002136230398</v>
      </c>
      <c r="C1111" s="1">
        <v>71.849998474121094</v>
      </c>
      <c r="D1111" s="1">
        <v>70.680000305175696</v>
      </c>
      <c r="E1111" s="1">
        <v>71.370002746582003</v>
      </c>
      <c r="F1111" s="1">
        <v>69.836280822753906</v>
      </c>
      <c r="G1111" s="1">
        <v>13565900</v>
      </c>
      <c r="H1111" s="1">
        <f t="shared" si="17"/>
        <v>2.9511385725778448E-3</v>
      </c>
    </row>
    <row r="1112" spans="1:8" x14ac:dyDescent="0.35">
      <c r="A1112" s="3">
        <v>45813</v>
      </c>
      <c r="B1112" s="1">
        <v>71.379997253417898</v>
      </c>
      <c r="C1112" s="1">
        <v>71.459999084472599</v>
      </c>
      <c r="D1112" s="1">
        <v>70.830001831054602</v>
      </c>
      <c r="E1112" s="1">
        <v>70.910003662109304</v>
      </c>
      <c r="F1112" s="1">
        <v>69.386161804199205</v>
      </c>
      <c r="G1112" s="1">
        <v>13531400</v>
      </c>
      <c r="H1112" s="1">
        <f t="shared" si="17"/>
        <v>-6.4453463622599575E-3</v>
      </c>
    </row>
    <row r="1113" spans="1:8" x14ac:dyDescent="0.35">
      <c r="A1113" s="3">
        <v>45814</v>
      </c>
      <c r="B1113" s="1">
        <v>71.080001831054602</v>
      </c>
      <c r="C1113" s="1">
        <v>71.480003356933594</v>
      </c>
      <c r="D1113" s="1">
        <v>70.940002441406193</v>
      </c>
      <c r="E1113" s="1">
        <v>71.349998474121094</v>
      </c>
      <c r="F1113" s="1">
        <v>69.816703796386705</v>
      </c>
      <c r="G1113" s="1">
        <v>9524000</v>
      </c>
      <c r="H1113" s="1">
        <f t="shared" si="17"/>
        <v>6.2050123683515795E-3</v>
      </c>
    </row>
    <row r="1114" spans="1:8" x14ac:dyDescent="0.35">
      <c r="A1114" s="3">
        <v>45817</v>
      </c>
      <c r="B1114" s="1">
        <v>71.349998474121094</v>
      </c>
      <c r="C1114" s="1">
        <v>71.830001831054602</v>
      </c>
      <c r="D1114" s="1">
        <v>71.089996337890597</v>
      </c>
      <c r="E1114" s="1">
        <v>71.769996643066406</v>
      </c>
      <c r="F1114" s="1">
        <v>70.227684020996094</v>
      </c>
      <c r="G1114" s="1">
        <v>12281300</v>
      </c>
      <c r="H1114" s="1">
        <f t="shared" si="17"/>
        <v>5.8865601247513931E-3</v>
      </c>
    </row>
    <row r="1115" spans="1:8" x14ac:dyDescent="0.35">
      <c r="A1115" s="3">
        <v>45818</v>
      </c>
      <c r="B1115" s="1">
        <v>71.900001525878906</v>
      </c>
      <c r="C1115" s="1">
        <v>72.690002441406193</v>
      </c>
      <c r="D1115" s="1">
        <v>71.760002136230398</v>
      </c>
      <c r="E1115" s="1">
        <v>72.349998474121094</v>
      </c>
      <c r="F1115" s="1">
        <v>70.795211791992102</v>
      </c>
      <c r="G1115" s="1">
        <v>12265000</v>
      </c>
      <c r="H1115" s="1">
        <f t="shared" si="17"/>
        <v>8.0812542647189355E-3</v>
      </c>
    </row>
    <row r="1116" spans="1:8" x14ac:dyDescent="0.35">
      <c r="A1116" s="3">
        <v>45819</v>
      </c>
      <c r="B1116" s="1">
        <v>72.269996643066406</v>
      </c>
      <c r="C1116" s="1">
        <v>72.360000610351506</v>
      </c>
      <c r="D1116" s="1">
        <v>71.760002136230398</v>
      </c>
      <c r="E1116" s="1">
        <v>72.069999694824205</v>
      </c>
      <c r="F1116" s="1">
        <v>70.521232604980398</v>
      </c>
      <c r="G1116" s="1">
        <v>12718500</v>
      </c>
      <c r="H1116" s="1">
        <f t="shared" si="17"/>
        <v>-3.870024258373577E-3</v>
      </c>
    </row>
    <row r="1117" spans="1:8" x14ac:dyDescent="0.35">
      <c r="A1117" s="3">
        <v>45820</v>
      </c>
      <c r="B1117" s="1">
        <v>72.25</v>
      </c>
      <c r="C1117" s="1">
        <v>72.400001525878906</v>
      </c>
      <c r="D1117" s="1">
        <v>71.599998474121094</v>
      </c>
      <c r="E1117" s="1">
        <v>72.239997863769503</v>
      </c>
      <c r="F1117" s="1">
        <v>70.687576293945298</v>
      </c>
      <c r="G1117" s="1">
        <v>12806900</v>
      </c>
      <c r="H1117" s="1">
        <f t="shared" si="17"/>
        <v>2.3587745537101256E-3</v>
      </c>
    </row>
    <row r="1118" spans="1:8" x14ac:dyDescent="0.35">
      <c r="A1118" s="3">
        <v>45821</v>
      </c>
      <c r="B1118" s="1">
        <v>71.769996643066406</v>
      </c>
      <c r="C1118" s="1">
        <v>71.879997253417898</v>
      </c>
      <c r="D1118" s="1">
        <v>70.730003356933594</v>
      </c>
      <c r="E1118" s="1">
        <v>71.019996643066406</v>
      </c>
      <c r="F1118" s="1">
        <v>69.987892150878906</v>
      </c>
      <c r="G1118" s="1">
        <v>17467200</v>
      </c>
      <c r="H1118" s="1">
        <f t="shared" si="17"/>
        <v>-9.8982618976331069E-3</v>
      </c>
    </row>
    <row r="1119" spans="1:8" x14ac:dyDescent="0.35">
      <c r="A1119" s="3">
        <v>45824</v>
      </c>
      <c r="B1119" s="1">
        <v>71.199996948242102</v>
      </c>
      <c r="C1119" s="1">
        <v>71.620002746582003</v>
      </c>
      <c r="D1119" s="1">
        <v>70.239997863769503</v>
      </c>
      <c r="E1119" s="1">
        <v>70.519996643066406</v>
      </c>
      <c r="F1119" s="1">
        <v>69.495162963867102</v>
      </c>
      <c r="G1119" s="1">
        <v>15045900</v>
      </c>
      <c r="H1119" s="1">
        <f t="shared" si="17"/>
        <v>-7.0402061252192796E-3</v>
      </c>
    </row>
    <row r="1120" spans="1:8" x14ac:dyDescent="0.35">
      <c r="A1120" s="3">
        <v>45825</v>
      </c>
      <c r="B1120" s="1">
        <v>70.379997253417898</v>
      </c>
      <c r="C1120" s="1">
        <v>70.459999084472599</v>
      </c>
      <c r="D1120" s="1">
        <v>69.580001831054602</v>
      </c>
      <c r="E1120" s="1">
        <v>69.620002746582003</v>
      </c>
      <c r="F1120" s="1">
        <v>68.608253479003906</v>
      </c>
      <c r="G1120" s="1">
        <v>15437000</v>
      </c>
      <c r="H1120" s="1">
        <f t="shared" si="17"/>
        <v>-1.2762175769331318E-2</v>
      </c>
    </row>
    <row r="1121" spans="1:8" x14ac:dyDescent="0.35">
      <c r="A1121" s="3">
        <v>45826</v>
      </c>
      <c r="B1121" s="1">
        <v>70</v>
      </c>
      <c r="C1121" s="1">
        <v>70</v>
      </c>
      <c r="D1121" s="1">
        <v>69.089996337890597</v>
      </c>
      <c r="E1121" s="1">
        <v>69.209999084472599</v>
      </c>
      <c r="F1121" s="1">
        <v>68.204208374023395</v>
      </c>
      <c r="G1121" s="1">
        <v>16227600</v>
      </c>
      <c r="H1121" s="1">
        <f t="shared" si="17"/>
        <v>-5.8891617916517983E-3</v>
      </c>
    </row>
    <row r="1122" spans="1:8" x14ac:dyDescent="0.35">
      <c r="A1122" s="3">
        <v>45828</v>
      </c>
      <c r="B1122" s="1">
        <v>69.089996337890597</v>
      </c>
      <c r="C1122" s="1">
        <v>69.559997558593693</v>
      </c>
      <c r="D1122" s="1">
        <v>68.779998779296804</v>
      </c>
      <c r="E1122" s="1">
        <v>68.839996337890597</v>
      </c>
      <c r="F1122" s="1">
        <v>67.839576721191406</v>
      </c>
      <c r="G1122" s="1">
        <v>40859400</v>
      </c>
      <c r="H1122" s="1">
        <f t="shared" si="17"/>
        <v>-5.3461752804518162E-3</v>
      </c>
    </row>
    <row r="1123" spans="1:8" x14ac:dyDescent="0.35">
      <c r="A1123" s="3">
        <v>45831</v>
      </c>
      <c r="B1123" s="1">
        <v>69.139999389648395</v>
      </c>
      <c r="C1123" s="1">
        <v>69.809997558593693</v>
      </c>
      <c r="D1123" s="1">
        <v>68.970001220703097</v>
      </c>
      <c r="E1123" s="1">
        <v>69.739997863769503</v>
      </c>
      <c r="F1123" s="1">
        <v>68.726501464843693</v>
      </c>
      <c r="G1123" s="1">
        <v>21822800</v>
      </c>
      <c r="H1123" s="1">
        <f t="shared" si="17"/>
        <v>1.3073854326912885E-2</v>
      </c>
    </row>
    <row r="1124" spans="1:8" x14ac:dyDescent="0.35">
      <c r="A1124" s="3">
        <v>45832</v>
      </c>
      <c r="B1124" s="1">
        <v>69.940002441406193</v>
      </c>
      <c r="C1124" s="1">
        <v>70.349998474121094</v>
      </c>
      <c r="D1124" s="1">
        <v>69.690002441406193</v>
      </c>
      <c r="E1124" s="1">
        <v>70.209999084472599</v>
      </c>
      <c r="F1124" s="1">
        <v>69.189666748046804</v>
      </c>
      <c r="G1124" s="1">
        <v>15216100</v>
      </c>
      <c r="H1124" s="1">
        <f t="shared" si="17"/>
        <v>6.7392530294887489E-3</v>
      </c>
    </row>
    <row r="1125" spans="1:8" x14ac:dyDescent="0.35">
      <c r="A1125" s="3">
        <v>45833</v>
      </c>
      <c r="B1125" s="1">
        <v>69.930000305175696</v>
      </c>
      <c r="C1125" s="1">
        <v>70.019996643066406</v>
      </c>
      <c r="D1125" s="1">
        <v>69.430000305175696</v>
      </c>
      <c r="E1125" s="1">
        <v>69.629997253417898</v>
      </c>
      <c r="F1125" s="1">
        <v>68.618103027343693</v>
      </c>
      <c r="G1125" s="1">
        <v>12540400</v>
      </c>
      <c r="H1125" s="1">
        <f t="shared" si="17"/>
        <v>-8.2608248827740708E-3</v>
      </c>
    </row>
    <row r="1126" spans="1:8" x14ac:dyDescent="0.35">
      <c r="A1126" s="3">
        <v>45834</v>
      </c>
      <c r="B1126" s="1">
        <v>69.699996948242102</v>
      </c>
      <c r="C1126" s="1">
        <v>69.919998168945298</v>
      </c>
      <c r="D1126" s="1">
        <v>69.150001525878906</v>
      </c>
      <c r="E1126" s="1">
        <v>69.470001220703097</v>
      </c>
      <c r="F1126" s="1">
        <v>68.460426330566406</v>
      </c>
      <c r="G1126" s="1">
        <v>14454100</v>
      </c>
      <c r="H1126" s="1">
        <f t="shared" si="17"/>
        <v>-2.2978877267192037E-3</v>
      </c>
    </row>
    <row r="1127" spans="1:8" x14ac:dyDescent="0.35">
      <c r="A1127" s="3">
        <v>45835</v>
      </c>
      <c r="B1127" s="1">
        <v>69.589996337890597</v>
      </c>
      <c r="C1127" s="1">
        <v>70.559997558593693</v>
      </c>
      <c r="D1127" s="1">
        <v>69.470001220703097</v>
      </c>
      <c r="E1127" s="1">
        <v>70.330001831054602</v>
      </c>
      <c r="F1127" s="1">
        <v>69.307922363281193</v>
      </c>
      <c r="G1127" s="1">
        <v>23470700</v>
      </c>
      <c r="H1127" s="1">
        <f t="shared" si="17"/>
        <v>1.2379356631853087E-2</v>
      </c>
    </row>
    <row r="1128" spans="1:8" x14ac:dyDescent="0.35">
      <c r="A1128" s="3">
        <v>45838</v>
      </c>
      <c r="B1128" s="1">
        <v>70.129997253417898</v>
      </c>
      <c r="C1128" s="1">
        <v>70.790000915527301</v>
      </c>
      <c r="D1128" s="1">
        <v>70.089996337890597</v>
      </c>
      <c r="E1128" s="1">
        <v>70.75</v>
      </c>
      <c r="F1128" s="1">
        <v>69.721817016601506</v>
      </c>
      <c r="G1128" s="1">
        <v>15429000</v>
      </c>
      <c r="H1128" s="1">
        <f t="shared" si="17"/>
        <v>5.9718231221946244E-3</v>
      </c>
    </row>
    <row r="1129" spans="1:8" x14ac:dyDescent="0.35">
      <c r="A1129" s="3">
        <v>45839</v>
      </c>
      <c r="B1129" s="1">
        <v>70.989997863769503</v>
      </c>
      <c r="C1129" s="1">
        <v>72.449996948242102</v>
      </c>
      <c r="D1129" s="1">
        <v>70.900001525878906</v>
      </c>
      <c r="E1129" s="1">
        <v>71.669998168945298</v>
      </c>
      <c r="F1129" s="1">
        <v>70.628456115722599</v>
      </c>
      <c r="G1129" s="1">
        <v>21729300</v>
      </c>
      <c r="H1129" s="1">
        <f t="shared" si="17"/>
        <v>1.3003664246231755E-2</v>
      </c>
    </row>
    <row r="1130" spans="1:8" x14ac:dyDescent="0.35">
      <c r="A1130" s="3">
        <v>45840</v>
      </c>
      <c r="B1130" s="1">
        <v>71.690002441406193</v>
      </c>
      <c r="C1130" s="1">
        <v>71.830001831054602</v>
      </c>
      <c r="D1130" s="1">
        <v>70.739997863769503</v>
      </c>
      <c r="E1130" s="1">
        <v>70.910003662109304</v>
      </c>
      <c r="F1130" s="1">
        <v>69.879501342773395</v>
      </c>
      <c r="G1130" s="1">
        <v>13050200</v>
      </c>
      <c r="H1130" s="1">
        <f t="shared" si="17"/>
        <v>-1.0604150425177986E-2</v>
      </c>
    </row>
    <row r="1131" spans="1:8" x14ac:dyDescent="0.35">
      <c r="A1131" s="3">
        <v>45841</v>
      </c>
      <c r="B1131" s="1">
        <v>71.040000915527301</v>
      </c>
      <c r="C1131" s="1">
        <v>71.400001525878906</v>
      </c>
      <c r="D1131" s="1">
        <v>70.449996948242102</v>
      </c>
      <c r="E1131" s="1">
        <v>71.349998474121094</v>
      </c>
      <c r="F1131" s="1">
        <v>70.313102722167898</v>
      </c>
      <c r="G1131" s="1">
        <v>9440500</v>
      </c>
      <c r="H1131" s="1">
        <f t="shared" si="17"/>
        <v>6.2049867423580839E-3</v>
      </c>
    </row>
    <row r="1132" spans="1:8" x14ac:dyDescent="0.35">
      <c r="A1132" s="3">
        <v>45845</v>
      </c>
      <c r="B1132" s="1">
        <v>71.370002746582003</v>
      </c>
      <c r="C1132" s="1">
        <v>71.370002746582003</v>
      </c>
      <c r="D1132" s="1">
        <v>70.800003051757798</v>
      </c>
      <c r="E1132" s="1">
        <v>71.010002136230398</v>
      </c>
      <c r="F1132" s="1">
        <v>69.978050231933594</v>
      </c>
      <c r="G1132" s="1">
        <v>16984700</v>
      </c>
      <c r="H1132" s="1">
        <f t="shared" si="17"/>
        <v>-4.7651501251227048E-3</v>
      </c>
    </row>
    <row r="1133" spans="1:8" x14ac:dyDescent="0.35">
      <c r="A1133" s="3">
        <v>45846</v>
      </c>
      <c r="B1133" s="1">
        <v>70.680000305175696</v>
      </c>
      <c r="C1133" s="1">
        <v>70.680000305175696</v>
      </c>
      <c r="D1133" s="1">
        <v>69.879997253417898</v>
      </c>
      <c r="E1133" s="1">
        <v>70.239997863769503</v>
      </c>
      <c r="F1133" s="1">
        <v>69.219230651855398</v>
      </c>
      <c r="G1133" s="1">
        <v>17115500</v>
      </c>
      <c r="H1133" s="1">
        <f t="shared" si="17"/>
        <v>-1.0843679947686202E-2</v>
      </c>
    </row>
    <row r="1134" spans="1:8" x14ac:dyDescent="0.35">
      <c r="A1134" s="3">
        <v>45847</v>
      </c>
      <c r="B1134" s="1">
        <v>70.160003662109304</v>
      </c>
      <c r="C1134" s="1">
        <v>70.25</v>
      </c>
      <c r="D1134" s="1">
        <v>68.970001220703097</v>
      </c>
      <c r="E1134" s="1">
        <v>69.480003356933594</v>
      </c>
      <c r="F1134" s="1">
        <v>68.470283508300696</v>
      </c>
      <c r="G1134" s="1">
        <v>33704100</v>
      </c>
      <c r="H1134" s="1">
        <f t="shared" si="17"/>
        <v>-1.0819928746703376E-2</v>
      </c>
    </row>
    <row r="1135" spans="1:8" x14ac:dyDescent="0.35">
      <c r="A1135" s="3">
        <v>45848</v>
      </c>
      <c r="B1135" s="1">
        <v>69.290000915527301</v>
      </c>
      <c r="C1135" s="1">
        <v>69.849998474121094</v>
      </c>
      <c r="D1135" s="1">
        <v>69.160003662109304</v>
      </c>
      <c r="E1135" s="1">
        <v>69.769996643066406</v>
      </c>
      <c r="F1135" s="1">
        <v>68.756057739257798</v>
      </c>
      <c r="G1135" s="1">
        <v>14608400</v>
      </c>
      <c r="H1135" s="1">
        <f t="shared" si="17"/>
        <v>4.1736972057733294E-3</v>
      </c>
    </row>
    <row r="1136" spans="1:8" x14ac:dyDescent="0.35">
      <c r="A1136" s="3">
        <v>45849</v>
      </c>
      <c r="B1136" s="1">
        <v>69.569999694824205</v>
      </c>
      <c r="C1136" s="1">
        <v>70.160003662109304</v>
      </c>
      <c r="D1136" s="1">
        <v>69.25</v>
      </c>
      <c r="E1136" s="1">
        <v>69.870002746582003</v>
      </c>
      <c r="F1136" s="1">
        <v>68.8546142578125</v>
      </c>
      <c r="G1136" s="1">
        <v>12916700</v>
      </c>
      <c r="H1136" s="1">
        <f t="shared" si="17"/>
        <v>1.43342305820464E-3</v>
      </c>
    </row>
    <row r="1137" spans="1:8" x14ac:dyDescent="0.35">
      <c r="A1137" s="3">
        <v>45852</v>
      </c>
      <c r="B1137" s="1">
        <v>69.800003051757798</v>
      </c>
      <c r="C1137" s="1">
        <v>70.080001831054602</v>
      </c>
      <c r="D1137" s="1">
        <v>69.269996643066406</v>
      </c>
      <c r="E1137" s="1">
        <v>69.470001220703097</v>
      </c>
      <c r="F1137" s="1">
        <v>68.460426330566406</v>
      </c>
      <c r="G1137" s="1">
        <v>13983200</v>
      </c>
      <c r="H1137" s="1">
        <f t="shared" si="17"/>
        <v>-5.7249311683039124E-3</v>
      </c>
    </row>
    <row r="1138" spans="1:8" x14ac:dyDescent="0.35">
      <c r="A1138" s="3">
        <v>45853</v>
      </c>
      <c r="B1138" s="1">
        <v>69.510002136230398</v>
      </c>
      <c r="C1138" s="1">
        <v>69.550003051757798</v>
      </c>
      <c r="D1138" s="1">
        <v>69.150001525878906</v>
      </c>
      <c r="E1138" s="1">
        <v>69.360000610351506</v>
      </c>
      <c r="F1138" s="1">
        <v>68.352020263671804</v>
      </c>
      <c r="G1138" s="1">
        <v>12639800</v>
      </c>
      <c r="H1138" s="1">
        <f t="shared" si="17"/>
        <v>-1.5834851271763239E-3</v>
      </c>
    </row>
    <row r="1139" spans="1:8" x14ac:dyDescent="0.35">
      <c r="A1139" s="3">
        <v>45854</v>
      </c>
      <c r="B1139" s="1">
        <v>69.349998474121094</v>
      </c>
      <c r="C1139" s="1">
        <v>69.5</v>
      </c>
      <c r="D1139" s="1">
        <v>68.790000915527301</v>
      </c>
      <c r="E1139" s="1">
        <v>69.269996643066406</v>
      </c>
      <c r="F1139" s="1">
        <v>68.263328552246094</v>
      </c>
      <c r="G1139" s="1">
        <v>13178300</v>
      </c>
      <c r="H1139" s="1">
        <f t="shared" si="17"/>
        <v>-1.2975726406268151E-3</v>
      </c>
    </row>
    <row r="1140" spans="1:8" x14ac:dyDescent="0.35">
      <c r="A1140" s="3">
        <v>45855</v>
      </c>
      <c r="B1140" s="1">
        <v>69.809997558593693</v>
      </c>
      <c r="C1140" s="1">
        <v>70.690002441406193</v>
      </c>
      <c r="D1140" s="1">
        <v>69.510002136230398</v>
      </c>
      <c r="E1140" s="1">
        <v>70.589996337890597</v>
      </c>
      <c r="F1140" s="1">
        <v>69.564147949218693</v>
      </c>
      <c r="G1140" s="1">
        <v>20464700</v>
      </c>
      <c r="H1140" s="1">
        <f t="shared" si="17"/>
        <v>1.9055903433964589E-2</v>
      </c>
    </row>
    <row r="1141" spans="1:8" x14ac:dyDescent="0.35">
      <c r="A1141" s="3">
        <v>45856</v>
      </c>
      <c r="B1141" s="1">
        <v>70.440002441406193</v>
      </c>
      <c r="C1141" s="1">
        <v>70.699996948242102</v>
      </c>
      <c r="D1141" s="1">
        <v>69.830001831054602</v>
      </c>
      <c r="E1141" s="1">
        <v>69.849998474121094</v>
      </c>
      <c r="F1141" s="1">
        <v>68.834899902343693</v>
      </c>
      <c r="G1141" s="1">
        <v>14928000</v>
      </c>
      <c r="H1141" s="1">
        <f t="shared" si="17"/>
        <v>-1.0483101832963521E-2</v>
      </c>
    </row>
    <row r="1142" spans="1:8" x14ac:dyDescent="0.35">
      <c r="A1142" s="3">
        <v>45859</v>
      </c>
      <c r="B1142" s="1">
        <v>70.190002441406193</v>
      </c>
      <c r="C1142" s="1">
        <v>70.620002746582003</v>
      </c>
      <c r="D1142" s="1">
        <v>69.930000305175696</v>
      </c>
      <c r="E1142" s="1">
        <v>70.069999694824205</v>
      </c>
      <c r="F1142" s="1">
        <v>69.051704406738196</v>
      </c>
      <c r="G1142" s="1">
        <v>17811700</v>
      </c>
      <c r="H1142" s="1">
        <f t="shared" si="17"/>
        <v>3.1496305609811899E-3</v>
      </c>
    </row>
    <row r="1143" spans="1:8" x14ac:dyDescent="0.35">
      <c r="A1143" s="3">
        <v>45860</v>
      </c>
      <c r="B1143" s="1">
        <v>69.449996948242102</v>
      </c>
      <c r="C1143" s="1">
        <v>70.260002136230398</v>
      </c>
      <c r="D1143" s="1">
        <v>68.690002441406193</v>
      </c>
      <c r="E1143" s="1">
        <v>69.660003662109304</v>
      </c>
      <c r="F1143" s="1">
        <v>68.647666931152301</v>
      </c>
      <c r="G1143" s="1">
        <v>22339900</v>
      </c>
      <c r="H1143" s="1">
        <f t="shared" si="17"/>
        <v>-5.8512310312570379E-3</v>
      </c>
    </row>
    <row r="1144" spans="1:8" x14ac:dyDescent="0.35">
      <c r="A1144" s="3">
        <v>45861</v>
      </c>
      <c r="B1144" s="1">
        <v>69.660003662109304</v>
      </c>
      <c r="C1144" s="1">
        <v>69.739997863769503</v>
      </c>
      <c r="D1144" s="1">
        <v>68.599998474121094</v>
      </c>
      <c r="E1144" s="1">
        <v>69.160003662109304</v>
      </c>
      <c r="F1144" s="1">
        <v>68.154937744140597</v>
      </c>
      <c r="G1144" s="1">
        <v>21030000</v>
      </c>
      <c r="H1144" s="1">
        <f t="shared" si="17"/>
        <v>-7.1776537942049726E-3</v>
      </c>
    </row>
    <row r="1145" spans="1:8" x14ac:dyDescent="0.35">
      <c r="A1145" s="3">
        <v>45862</v>
      </c>
      <c r="B1145" s="1">
        <v>69.260002136230398</v>
      </c>
      <c r="C1145" s="1">
        <v>69.550003051757798</v>
      </c>
      <c r="D1145" s="1">
        <v>68.989997863769503</v>
      </c>
      <c r="E1145" s="1">
        <v>69.099998474121094</v>
      </c>
      <c r="F1145" s="1">
        <v>68.095794677734304</v>
      </c>
      <c r="G1145" s="1">
        <v>12511400</v>
      </c>
      <c r="H1145" s="1">
        <f t="shared" si="17"/>
        <v>-8.6777375732218713E-4</v>
      </c>
    </row>
    <row r="1146" spans="1:8" x14ac:dyDescent="0.35">
      <c r="A1146" s="3">
        <v>45863</v>
      </c>
      <c r="B1146" s="1">
        <v>69.129997253417898</v>
      </c>
      <c r="C1146" s="1">
        <v>69.230003356933594</v>
      </c>
      <c r="D1146" s="1">
        <v>68.75</v>
      </c>
      <c r="E1146" s="1">
        <v>69.169998168945298</v>
      </c>
      <c r="F1146" s="1">
        <v>68.164787292480398</v>
      </c>
      <c r="G1146" s="1">
        <v>12574800</v>
      </c>
      <c r="H1146" s="1">
        <f t="shared" si="17"/>
        <v>1.0131699772739811E-3</v>
      </c>
    </row>
    <row r="1147" spans="1:8" x14ac:dyDescent="0.35">
      <c r="A1147" s="3">
        <v>45866</v>
      </c>
      <c r="B1147" s="1">
        <v>68.739997863769503</v>
      </c>
      <c r="C1147" s="1">
        <v>68.900001525878906</v>
      </c>
      <c r="D1147" s="1">
        <v>68.059997558593693</v>
      </c>
      <c r="E1147" s="1">
        <v>68.089996337890597</v>
      </c>
      <c r="F1147" s="1">
        <v>67.100479125976506</v>
      </c>
      <c r="G1147" s="1">
        <v>13668800</v>
      </c>
      <c r="H1147" s="1">
        <f t="shared" si="17"/>
        <v>-1.5613753211569124E-2</v>
      </c>
    </row>
    <row r="1148" spans="1:8" x14ac:dyDescent="0.35">
      <c r="A1148" s="3">
        <v>45867</v>
      </c>
      <c r="B1148" s="1">
        <v>68.339996337890597</v>
      </c>
      <c r="C1148" s="1">
        <v>69.419998168945298</v>
      </c>
      <c r="D1148" s="1">
        <v>68.150001525878906</v>
      </c>
      <c r="E1148" s="1">
        <v>69.379997253417898</v>
      </c>
      <c r="F1148" s="1">
        <v>68.371726989746094</v>
      </c>
      <c r="G1148" s="1">
        <v>16223400</v>
      </c>
      <c r="H1148" s="1">
        <f t="shared" si="17"/>
        <v>1.8945436460787533E-2</v>
      </c>
    </row>
    <row r="1149" spans="1:8" x14ac:dyDescent="0.35">
      <c r="A1149" s="3">
        <v>45868</v>
      </c>
      <c r="B1149" s="1">
        <v>69.110000610351506</v>
      </c>
      <c r="C1149" s="1">
        <v>69.330001831054602</v>
      </c>
      <c r="D1149" s="1">
        <v>68.529998779296804</v>
      </c>
      <c r="E1149" s="1">
        <v>68.75</v>
      </c>
      <c r="F1149" s="1">
        <v>67.750892639160099</v>
      </c>
      <c r="G1149" s="1">
        <v>10448200</v>
      </c>
      <c r="H1149" s="1">
        <f t="shared" si="17"/>
        <v>-9.0802789094255685E-3</v>
      </c>
    </row>
    <row r="1150" spans="1:8" x14ac:dyDescent="0.35">
      <c r="A1150" s="3">
        <v>45869</v>
      </c>
      <c r="B1150" s="1">
        <v>68.150001525878906</v>
      </c>
      <c r="C1150" s="1">
        <v>68.650001525878906</v>
      </c>
      <c r="D1150" s="1">
        <v>67.739997863769503</v>
      </c>
      <c r="E1150" s="1">
        <v>67.889999389648395</v>
      </c>
      <c r="F1150" s="1">
        <v>66.903381347656193</v>
      </c>
      <c r="G1150" s="1">
        <v>17193400</v>
      </c>
      <c r="H1150" s="1">
        <f t="shared" si="17"/>
        <v>-1.2509226941373812E-2</v>
      </c>
    </row>
    <row r="1151" spans="1:8" x14ac:dyDescent="0.35">
      <c r="A1151" s="3">
        <v>45870</v>
      </c>
      <c r="B1151" s="1">
        <v>68.599998474121094</v>
      </c>
      <c r="C1151" s="1">
        <v>69.040000915527301</v>
      </c>
      <c r="D1151" s="1">
        <v>68.269996643066406</v>
      </c>
      <c r="E1151" s="1">
        <v>68.860000610351506</v>
      </c>
      <c r="F1151" s="1">
        <v>67.859291076660099</v>
      </c>
      <c r="G1151" s="1">
        <v>16107500</v>
      </c>
      <c r="H1151" s="1">
        <f t="shared" si="17"/>
        <v>1.428791355158306E-2</v>
      </c>
    </row>
    <row r="1152" spans="1:8" x14ac:dyDescent="0.35">
      <c r="A1152" s="3">
        <v>45873</v>
      </c>
      <c r="B1152" s="1">
        <v>68.720001220703097</v>
      </c>
      <c r="C1152" s="1">
        <v>69.080001831054602</v>
      </c>
      <c r="D1152" s="1">
        <v>68.309997558593693</v>
      </c>
      <c r="E1152" s="1">
        <v>68.959999084472599</v>
      </c>
      <c r="F1152" s="1">
        <v>67.957832336425696</v>
      </c>
      <c r="G1152" s="1">
        <v>10701500</v>
      </c>
      <c r="H1152" s="1">
        <f t="shared" si="17"/>
        <v>1.4521410141799934E-3</v>
      </c>
    </row>
    <row r="1153" spans="1:8" x14ac:dyDescent="0.35">
      <c r="A1153" s="3">
        <v>45874</v>
      </c>
      <c r="B1153" s="1">
        <v>68.900001525878906</v>
      </c>
      <c r="C1153" s="1">
        <v>69.489997863769503</v>
      </c>
      <c r="D1153" s="1">
        <v>68.75</v>
      </c>
      <c r="E1153" s="1">
        <v>69.050003051757798</v>
      </c>
      <c r="F1153" s="1">
        <v>68.046531677246094</v>
      </c>
      <c r="G1153" s="1">
        <v>11993400</v>
      </c>
      <c r="H1153" s="1">
        <f t="shared" si="17"/>
        <v>1.3052114490834713E-3</v>
      </c>
    </row>
    <row r="1154" spans="1:8" x14ac:dyDescent="0.35">
      <c r="A1154" s="3">
        <v>45875</v>
      </c>
      <c r="B1154" s="1">
        <v>69.120002746582003</v>
      </c>
      <c r="C1154" s="1">
        <v>69.800003051757798</v>
      </c>
      <c r="D1154" s="1">
        <v>68.629997253417898</v>
      </c>
      <c r="E1154" s="1">
        <v>69.510002136230398</v>
      </c>
      <c r="F1154" s="1">
        <v>68.499839782714801</v>
      </c>
      <c r="G1154" s="1">
        <v>10783000</v>
      </c>
      <c r="H1154" s="1">
        <f t="shared" si="17"/>
        <v>6.6617371127570329E-3</v>
      </c>
    </row>
    <row r="1155" spans="1:8" x14ac:dyDescent="0.35">
      <c r="A1155" s="3">
        <v>45876</v>
      </c>
      <c r="B1155" s="1">
        <v>69.459999084472599</v>
      </c>
      <c r="C1155" s="1">
        <v>70.720001220703097</v>
      </c>
      <c r="D1155" s="1">
        <v>69.330001831054602</v>
      </c>
      <c r="E1155" s="1">
        <v>70.430000305175696</v>
      </c>
      <c r="F1155" s="1">
        <v>69.406478881835895</v>
      </c>
      <c r="G1155" s="1">
        <v>15790800</v>
      </c>
      <c r="H1155" s="1">
        <f t="shared" si="17"/>
        <v>1.3235638243782788E-2</v>
      </c>
    </row>
    <row r="1156" spans="1:8" x14ac:dyDescent="0.35">
      <c r="A1156" s="3">
        <v>45877</v>
      </c>
      <c r="B1156" s="1">
        <v>70.360000610351506</v>
      </c>
      <c r="C1156" s="1">
        <v>70.870002746582003</v>
      </c>
      <c r="D1156" s="1">
        <v>70.080001831054602</v>
      </c>
      <c r="E1156" s="1">
        <v>70.339996337890597</v>
      </c>
      <c r="F1156" s="1">
        <v>69.317771911621094</v>
      </c>
      <c r="G1156" s="1">
        <v>9232700</v>
      </c>
      <c r="H1156" s="1">
        <f t="shared" ref="H1156:H1219" si="18">(F1156-F1155)/F1155</f>
        <v>-1.2780791021804203E-3</v>
      </c>
    </row>
    <row r="1157" spans="1:8" x14ac:dyDescent="0.35">
      <c r="A1157" s="3">
        <v>45880</v>
      </c>
      <c r="B1157" s="1">
        <v>70.300003051757798</v>
      </c>
      <c r="C1157" s="1">
        <v>70.860000610351506</v>
      </c>
      <c r="D1157" s="1">
        <v>69.959999084472599</v>
      </c>
      <c r="E1157" s="1">
        <v>70.75</v>
      </c>
      <c r="F1157" s="1">
        <v>69.721817016601506</v>
      </c>
      <c r="G1157" s="1">
        <v>10909400</v>
      </c>
      <c r="H1157" s="1">
        <f t="shared" si="18"/>
        <v>5.8288818846566814E-3</v>
      </c>
    </row>
    <row r="1158" spans="1:8" x14ac:dyDescent="0.35">
      <c r="A1158" s="3">
        <v>45881</v>
      </c>
      <c r="B1158" s="1">
        <v>70.819999694824205</v>
      </c>
      <c r="C1158" s="1">
        <v>71.059997558593693</v>
      </c>
      <c r="D1158" s="1">
        <v>70.220001220703097</v>
      </c>
      <c r="E1158" s="1">
        <v>70.709999084472599</v>
      </c>
      <c r="F1158" s="1">
        <v>69.682403564453097</v>
      </c>
      <c r="G1158" s="1">
        <v>11061100</v>
      </c>
      <c r="H1158" s="1">
        <f t="shared" si="18"/>
        <v>-5.6529582611170785E-4</v>
      </c>
    </row>
    <row r="1159" spans="1:8" x14ac:dyDescent="0.35">
      <c r="A1159" s="3">
        <v>45882</v>
      </c>
      <c r="B1159" s="1">
        <v>70.690002441406193</v>
      </c>
      <c r="C1159" s="1">
        <v>70.769996643066406</v>
      </c>
      <c r="D1159" s="1">
        <v>70.230003356933594</v>
      </c>
      <c r="E1159" s="1">
        <v>70.459999084472599</v>
      </c>
      <c r="F1159" s="1">
        <v>69.43603515625</v>
      </c>
      <c r="G1159" s="1">
        <v>10356500</v>
      </c>
      <c r="H1159" s="1">
        <f t="shared" si="18"/>
        <v>-3.535589985428916E-3</v>
      </c>
    </row>
    <row r="1160" spans="1:8" x14ac:dyDescent="0.35">
      <c r="A1160" s="3">
        <v>45883</v>
      </c>
      <c r="B1160" s="1">
        <v>70.379997253417898</v>
      </c>
      <c r="C1160" s="1">
        <v>70.459999084472599</v>
      </c>
      <c r="D1160" s="1">
        <v>69.389999389648395</v>
      </c>
      <c r="E1160" s="1">
        <v>69.550003051757798</v>
      </c>
      <c r="F1160" s="1">
        <v>68.539268493652301</v>
      </c>
      <c r="G1160" s="1">
        <v>10722400</v>
      </c>
      <c r="H1160" s="1">
        <f t="shared" si="18"/>
        <v>-1.2915003867656464E-2</v>
      </c>
    </row>
    <row r="1161" spans="1:8" x14ac:dyDescent="0.35">
      <c r="A1161" s="3">
        <v>45884</v>
      </c>
      <c r="B1161" s="1">
        <v>69.739997863769503</v>
      </c>
      <c r="C1161" s="1">
        <v>70.389999389648395</v>
      </c>
      <c r="D1161" s="1">
        <v>69.569999694824205</v>
      </c>
      <c r="E1161" s="1">
        <v>69.919998168945298</v>
      </c>
      <c r="F1161" s="1">
        <v>68.903877258300696</v>
      </c>
      <c r="G1161" s="1">
        <v>12381100</v>
      </c>
      <c r="H1161" s="1">
        <f t="shared" si="18"/>
        <v>5.3197060993168139E-3</v>
      </c>
    </row>
    <row r="1162" spans="1:8" x14ac:dyDescent="0.35">
      <c r="A1162" s="3">
        <v>45887</v>
      </c>
      <c r="B1162" s="1">
        <v>69.980003356933594</v>
      </c>
      <c r="C1162" s="1">
        <v>70.050003051757798</v>
      </c>
      <c r="D1162" s="1">
        <v>69.050003051757798</v>
      </c>
      <c r="E1162" s="1">
        <v>69.129997253417898</v>
      </c>
      <c r="F1162" s="1">
        <v>68.1253662109375</v>
      </c>
      <c r="G1162" s="1">
        <v>14094900</v>
      </c>
      <c r="H1162" s="1">
        <f t="shared" si="18"/>
        <v>-1.1298508564979345E-2</v>
      </c>
    </row>
    <row r="1163" spans="1:8" x14ac:dyDescent="0.35">
      <c r="A1163" s="3">
        <v>45888</v>
      </c>
      <c r="B1163" s="1">
        <v>69.300003051757798</v>
      </c>
      <c r="C1163" s="1">
        <v>70.220001220703097</v>
      </c>
      <c r="D1163" s="1">
        <v>69.239997863769503</v>
      </c>
      <c r="E1163" s="1">
        <v>70.129997253417898</v>
      </c>
      <c r="F1163" s="1">
        <v>69.110832214355398</v>
      </c>
      <c r="G1163" s="1">
        <v>13862200</v>
      </c>
      <c r="H1163" s="1">
        <f t="shared" si="18"/>
        <v>1.4465478253233691E-2</v>
      </c>
    </row>
    <row r="1164" spans="1:8" x14ac:dyDescent="0.35">
      <c r="A1164" s="3">
        <v>45889</v>
      </c>
      <c r="B1164" s="1">
        <v>70.739997863769503</v>
      </c>
      <c r="C1164" s="1">
        <v>71.709999084472599</v>
      </c>
      <c r="D1164" s="1">
        <v>70.410003662109304</v>
      </c>
      <c r="E1164" s="1">
        <v>70.699996948242102</v>
      </c>
      <c r="F1164" s="1">
        <v>69.672546386718693</v>
      </c>
      <c r="G1164" s="1">
        <v>17530800</v>
      </c>
      <c r="H1164" s="1">
        <f t="shared" si="18"/>
        <v>8.1277298270851766E-3</v>
      </c>
    </row>
    <row r="1165" spans="1:8" x14ac:dyDescent="0.35">
      <c r="A1165" s="3">
        <v>45890</v>
      </c>
      <c r="B1165" s="1">
        <v>70.599998474121094</v>
      </c>
      <c r="C1165" s="1">
        <v>70.910003662109304</v>
      </c>
      <c r="D1165" s="1">
        <v>70.330001831054602</v>
      </c>
      <c r="E1165" s="1">
        <v>70.660003662109304</v>
      </c>
      <c r="F1165" s="1">
        <v>69.633132934570298</v>
      </c>
      <c r="G1165" s="1">
        <v>8840400</v>
      </c>
      <c r="H1165" s="1">
        <f t="shared" si="18"/>
        <v>-5.6569558875643516E-4</v>
      </c>
    </row>
    <row r="1166" spans="1:8" x14ac:dyDescent="0.35">
      <c r="A1166" s="3">
        <v>45891</v>
      </c>
      <c r="B1166" s="1">
        <v>70.959999084472599</v>
      </c>
      <c r="C1166" s="1">
        <v>71.019996643066406</v>
      </c>
      <c r="D1166" s="1">
        <v>69.919998168945298</v>
      </c>
      <c r="E1166" s="1">
        <v>70.129997253417898</v>
      </c>
      <c r="F1166" s="1">
        <v>69.110832214355398</v>
      </c>
      <c r="G1166" s="1">
        <v>12999600</v>
      </c>
      <c r="H1166" s="1">
        <f t="shared" si="18"/>
        <v>-7.5007499763894356E-3</v>
      </c>
    </row>
    <row r="1167" spans="1:8" x14ac:dyDescent="0.35">
      <c r="A1167" s="3">
        <v>45894</v>
      </c>
      <c r="B1167" s="1">
        <v>70.110000610351506</v>
      </c>
      <c r="C1167" s="1">
        <v>70.230003356933594</v>
      </c>
      <c r="D1167" s="1">
        <v>68.720001220703097</v>
      </c>
      <c r="E1167" s="1">
        <v>68.930000305175696</v>
      </c>
      <c r="F1167" s="1">
        <v>67.928276062011705</v>
      </c>
      <c r="G1167" s="1">
        <v>13634600</v>
      </c>
      <c r="H1167" s="1">
        <f t="shared" si="18"/>
        <v>-1.7111010162283329E-2</v>
      </c>
    </row>
    <row r="1168" spans="1:8" x14ac:dyDescent="0.35">
      <c r="A1168" s="3">
        <v>45895</v>
      </c>
      <c r="B1168" s="1">
        <v>69.040000915527301</v>
      </c>
      <c r="C1168" s="1">
        <v>69.080001831054602</v>
      </c>
      <c r="D1168" s="1">
        <v>68.580001831054602</v>
      </c>
      <c r="E1168" s="1">
        <v>68.730003356933594</v>
      </c>
      <c r="F1168" s="1">
        <v>67.731185913085895</v>
      </c>
      <c r="G1168" s="1">
        <v>17964200</v>
      </c>
      <c r="H1168" s="1">
        <f t="shared" si="18"/>
        <v>-2.9014448820383152E-3</v>
      </c>
    </row>
    <row r="1169" spans="1:8" x14ac:dyDescent="0.35">
      <c r="A1169" s="3">
        <v>45896</v>
      </c>
      <c r="B1169" s="1">
        <v>68.819999694824205</v>
      </c>
      <c r="C1169" s="1">
        <v>68.870002746582003</v>
      </c>
      <c r="D1169" s="1">
        <v>68.470001220703097</v>
      </c>
      <c r="E1169" s="1">
        <v>68.830001831054602</v>
      </c>
      <c r="F1169" s="1">
        <v>67.829727172851506</v>
      </c>
      <c r="G1169" s="1">
        <v>11562700</v>
      </c>
      <c r="H1169" s="1">
        <f t="shared" si="18"/>
        <v>1.4548875593594513E-3</v>
      </c>
    </row>
    <row r="1170" spans="1:8" x14ac:dyDescent="0.35">
      <c r="A1170" s="3">
        <v>45897</v>
      </c>
      <c r="B1170" s="1">
        <v>68.879997253417898</v>
      </c>
      <c r="C1170" s="1">
        <v>68.900001525878906</v>
      </c>
      <c r="D1170" s="1">
        <v>68.279998779296804</v>
      </c>
      <c r="E1170" s="1">
        <v>68.360000610351506</v>
      </c>
      <c r="F1170" s="1">
        <v>67.366561889648395</v>
      </c>
      <c r="G1170" s="1">
        <v>16209900</v>
      </c>
      <c r="H1170" s="1">
        <f t="shared" si="18"/>
        <v>-6.8283524423269426E-3</v>
      </c>
    </row>
    <row r="1171" spans="1:8" x14ac:dyDescent="0.35">
      <c r="A1171" s="3">
        <v>45898</v>
      </c>
      <c r="B1171" s="1">
        <v>68.669998168945298</v>
      </c>
      <c r="C1171" s="1">
        <v>69.139999389648395</v>
      </c>
      <c r="D1171" s="1">
        <v>68.430000305175696</v>
      </c>
      <c r="E1171" s="1">
        <v>68.989997863769503</v>
      </c>
      <c r="F1171" s="1">
        <v>67.987396240234304</v>
      </c>
      <c r="G1171" s="1">
        <v>14601100</v>
      </c>
      <c r="H1171" s="1">
        <f t="shared" si="18"/>
        <v>9.2157642184988366E-3</v>
      </c>
    </row>
    <row r="1172" spans="1:8" x14ac:dyDescent="0.35">
      <c r="A1172" s="3">
        <v>45902</v>
      </c>
      <c r="B1172" s="1">
        <v>68.959999084472599</v>
      </c>
      <c r="C1172" s="1">
        <v>69.339996337890597</v>
      </c>
      <c r="D1172" s="1">
        <v>68.260002136230398</v>
      </c>
      <c r="E1172" s="1">
        <v>69.059997558593693</v>
      </c>
      <c r="F1172" s="1">
        <v>68.056381225585895</v>
      </c>
      <c r="G1172" s="1">
        <v>24770100</v>
      </c>
      <c r="H1172" s="1">
        <f t="shared" si="18"/>
        <v>1.0146731477674424E-3</v>
      </c>
    </row>
    <row r="1173" spans="1:8" x14ac:dyDescent="0.35">
      <c r="A1173" s="3">
        <v>45903</v>
      </c>
      <c r="B1173" s="1">
        <v>68.660003662109304</v>
      </c>
      <c r="C1173" s="1">
        <v>69.099998474121094</v>
      </c>
      <c r="D1173" s="1">
        <v>67.370002746582003</v>
      </c>
      <c r="E1173" s="1">
        <v>68.989997863769503</v>
      </c>
      <c r="F1173" s="1">
        <v>67.987396240234304</v>
      </c>
      <c r="G1173" s="1">
        <v>33581500</v>
      </c>
      <c r="H1173" s="1">
        <f t="shared" si="18"/>
        <v>-1.0136446297802258E-3</v>
      </c>
    </row>
    <row r="1174" spans="1:8" x14ac:dyDescent="0.35">
      <c r="A1174" s="3">
        <v>45904</v>
      </c>
      <c r="B1174" s="1">
        <v>69.110000610351506</v>
      </c>
      <c r="C1174" s="1">
        <v>69.459999084472599</v>
      </c>
      <c r="D1174" s="1">
        <v>68.110000610351506</v>
      </c>
      <c r="E1174" s="1">
        <v>68.25</v>
      </c>
      <c r="F1174" s="1">
        <v>67.258155822753906</v>
      </c>
      <c r="G1174" s="1">
        <v>16736000</v>
      </c>
      <c r="H1174" s="1">
        <f t="shared" si="18"/>
        <v>-1.0726111864964171E-2</v>
      </c>
    </row>
    <row r="1175" spans="1:8" x14ac:dyDescent="0.35">
      <c r="A1175" s="3">
        <v>45905</v>
      </c>
      <c r="B1175" s="1">
        <v>68.010002136230398</v>
      </c>
      <c r="C1175" s="1">
        <v>68.580001831054602</v>
      </c>
      <c r="D1175" s="1">
        <v>67.870002746582003</v>
      </c>
      <c r="E1175" s="1">
        <v>67.959999084472599</v>
      </c>
      <c r="F1175" s="1">
        <v>66.972373962402301</v>
      </c>
      <c r="G1175" s="1">
        <v>23978000</v>
      </c>
      <c r="H1175" s="1">
        <f t="shared" si="18"/>
        <v>-4.2490290858513717E-3</v>
      </c>
    </row>
    <row r="1176" spans="1:8" x14ac:dyDescent="0.35">
      <c r="A1176" s="3">
        <v>45908</v>
      </c>
      <c r="B1176" s="1">
        <v>67.860000610351506</v>
      </c>
      <c r="C1176" s="1">
        <v>67.879997253417898</v>
      </c>
      <c r="D1176" s="1">
        <v>67.160003662109304</v>
      </c>
      <c r="E1176" s="1">
        <v>67.430000305175696</v>
      </c>
      <c r="F1176" s="1">
        <v>66.450065612792898</v>
      </c>
      <c r="G1176" s="1">
        <v>21671700</v>
      </c>
      <c r="H1176" s="1">
        <f t="shared" si="18"/>
        <v>-7.79886270572733E-3</v>
      </c>
    </row>
    <row r="1177" spans="1:8" x14ac:dyDescent="0.35">
      <c r="A1177" s="3">
        <v>45909</v>
      </c>
      <c r="B1177" s="1">
        <v>67.279998779296804</v>
      </c>
      <c r="C1177" s="1">
        <v>68.110000610351506</v>
      </c>
      <c r="D1177" s="1">
        <v>67.279998779296804</v>
      </c>
      <c r="E1177" s="1">
        <v>67.860000610351506</v>
      </c>
      <c r="F1177" s="1">
        <v>66.873817443847599</v>
      </c>
      <c r="G1177" s="1">
        <v>14120600</v>
      </c>
      <c r="H1177" s="1">
        <f t="shared" si="18"/>
        <v>6.3769964280234129E-3</v>
      </c>
    </row>
    <row r="1178" spans="1:8" x14ac:dyDescent="0.35">
      <c r="A1178" s="3">
        <v>45910</v>
      </c>
      <c r="B1178" s="1">
        <v>67.790000915527301</v>
      </c>
      <c r="C1178" s="1">
        <v>68.089996337890597</v>
      </c>
      <c r="D1178" s="1">
        <v>67.209999084472599</v>
      </c>
      <c r="E1178" s="1">
        <v>67.819999694824205</v>
      </c>
      <c r="F1178" s="1">
        <v>66.834403991699205</v>
      </c>
      <c r="G1178" s="1">
        <v>16041900</v>
      </c>
      <c r="H1178" s="1">
        <f t="shared" si="18"/>
        <v>-5.8937045401198207E-4</v>
      </c>
    </row>
    <row r="1179" spans="1:8" x14ac:dyDescent="0.35">
      <c r="A1179" s="3">
        <v>45911</v>
      </c>
      <c r="B1179" s="1">
        <v>67.919998168945298</v>
      </c>
      <c r="C1179" s="1">
        <v>68.169998168945298</v>
      </c>
      <c r="D1179" s="1">
        <v>67.580001831054602</v>
      </c>
      <c r="E1179" s="1">
        <v>67.620002746582003</v>
      </c>
      <c r="F1179" s="1">
        <v>66.637313842773395</v>
      </c>
      <c r="G1179" s="1">
        <v>15128700</v>
      </c>
      <c r="H1179" s="1">
        <f t="shared" si="18"/>
        <v>-2.9489325430400808E-3</v>
      </c>
    </row>
    <row r="1180" spans="1:8" x14ac:dyDescent="0.35">
      <c r="A1180" s="3">
        <v>45912</v>
      </c>
      <c r="B1180" s="1">
        <v>67.599998474121094</v>
      </c>
      <c r="C1180" s="1">
        <v>67.720001220703097</v>
      </c>
      <c r="D1180" s="1">
        <v>66.940002441406193</v>
      </c>
      <c r="E1180" s="1">
        <v>67.010002136230398</v>
      </c>
      <c r="F1180" s="1">
        <v>66.036170959472599</v>
      </c>
      <c r="G1180" s="1">
        <v>18712400</v>
      </c>
      <c r="H1180" s="1">
        <f t="shared" si="18"/>
        <v>-9.0211151775888617E-3</v>
      </c>
    </row>
    <row r="1181" spans="1:8" x14ac:dyDescent="0.35">
      <c r="A1181" s="3">
        <v>45915</v>
      </c>
      <c r="B1181" s="1">
        <v>66.680000305175696</v>
      </c>
      <c r="C1181" s="1">
        <v>66.779998779296804</v>
      </c>
      <c r="D1181" s="1">
        <v>66.099998474121094</v>
      </c>
      <c r="E1181" s="1">
        <v>66.209999084472599</v>
      </c>
      <c r="F1181" s="1">
        <v>65.748199462890597</v>
      </c>
      <c r="G1181" s="1">
        <v>15986100</v>
      </c>
      <c r="H1181" s="1">
        <f t="shared" si="18"/>
        <v>-4.3608145717403167E-3</v>
      </c>
    </row>
    <row r="1182" spans="1:8" x14ac:dyDescent="0.35">
      <c r="A1182" s="3">
        <v>45916</v>
      </c>
      <c r="B1182" s="1">
        <v>66.349998474121094</v>
      </c>
      <c r="C1182" s="1">
        <v>66.510002136230398</v>
      </c>
      <c r="D1182" s="1">
        <v>66.059997558593693</v>
      </c>
      <c r="E1182" s="1">
        <v>66.239997863769503</v>
      </c>
      <c r="F1182" s="1">
        <v>65.777984619140597</v>
      </c>
      <c r="G1182" s="1">
        <v>18555900</v>
      </c>
      <c r="H1182" s="1">
        <f t="shared" si="18"/>
        <v>4.5301858443760499E-4</v>
      </c>
    </row>
    <row r="1183" spans="1:8" x14ac:dyDescent="0.35">
      <c r="A1183" s="3">
        <v>45917</v>
      </c>
      <c r="B1183" s="1">
        <v>66.410003662109304</v>
      </c>
      <c r="C1183" s="1">
        <v>67.129997253417898</v>
      </c>
      <c r="D1183" s="1">
        <v>66.410003662109304</v>
      </c>
      <c r="E1183" s="1">
        <v>67.040000915527301</v>
      </c>
      <c r="F1183" s="1">
        <v>66.572410583496094</v>
      </c>
      <c r="G1183" s="1">
        <v>17372300</v>
      </c>
      <c r="H1183" s="1">
        <f t="shared" si="18"/>
        <v>1.2077383777494588E-2</v>
      </c>
    </row>
    <row r="1184" spans="1:8" x14ac:dyDescent="0.35">
      <c r="A1184" s="3">
        <v>45918</v>
      </c>
      <c r="B1184" s="1">
        <v>66.800003051757798</v>
      </c>
      <c r="C1184" s="1">
        <v>67.040000915527301</v>
      </c>
      <c r="D1184" s="1">
        <v>66.349998474121094</v>
      </c>
      <c r="E1184" s="1">
        <v>66.459999084472599</v>
      </c>
      <c r="F1184" s="1">
        <v>65.996452331542898</v>
      </c>
      <c r="G1184" s="1">
        <v>17722900</v>
      </c>
      <c r="H1184" s="1">
        <f t="shared" si="18"/>
        <v>-8.6516057764022339E-3</v>
      </c>
    </row>
    <row r="1185" spans="1:8" x14ac:dyDescent="0.35">
      <c r="A1185" s="3">
        <v>45919</v>
      </c>
      <c r="B1185" s="1">
        <v>66.489997863769503</v>
      </c>
      <c r="C1185" s="1">
        <v>66.730003356933594</v>
      </c>
      <c r="D1185" s="1">
        <v>66.050003051757798</v>
      </c>
      <c r="E1185" s="1">
        <v>66.430000305175696</v>
      </c>
      <c r="F1185" s="1">
        <v>65.966659545898395</v>
      </c>
      <c r="G1185" s="1">
        <v>31192900</v>
      </c>
      <c r="H1185" s="1">
        <f t="shared" si="18"/>
        <v>-4.5143010861908731E-4</v>
      </c>
    </row>
    <row r="1186" spans="1:8" x14ac:dyDescent="0.35">
      <c r="A1186" s="3">
        <v>45922</v>
      </c>
      <c r="B1186" s="1">
        <v>66.160003662109304</v>
      </c>
      <c r="C1186" s="1">
        <v>66.589996337890597</v>
      </c>
      <c r="D1186" s="1">
        <v>66.080001831054602</v>
      </c>
      <c r="E1186" s="1">
        <v>66.209999084472599</v>
      </c>
      <c r="F1186" s="1">
        <v>65.748199462890597</v>
      </c>
      <c r="G1186" s="1">
        <v>13298700</v>
      </c>
      <c r="H1186" s="1">
        <f t="shared" si="18"/>
        <v>-3.3116741777078733E-3</v>
      </c>
    </row>
    <row r="1187" spans="1:8" x14ac:dyDescent="0.35">
      <c r="A1187" s="3">
        <v>45923</v>
      </c>
      <c r="B1187" s="1">
        <v>66.349998474121094</v>
      </c>
      <c r="C1187" s="1">
        <v>66.760002136230398</v>
      </c>
      <c r="D1187" s="1">
        <v>65.900001525878906</v>
      </c>
      <c r="E1187" s="1">
        <v>66.709999084472599</v>
      </c>
      <c r="F1187" s="1">
        <v>66.244712829589801</v>
      </c>
      <c r="G1187" s="1">
        <v>15072800</v>
      </c>
      <c r="H1187" s="1">
        <f t="shared" si="18"/>
        <v>7.5517408956490917E-3</v>
      </c>
    </row>
    <row r="1188" spans="1:8" x14ac:dyDescent="0.35">
      <c r="A1188" s="3">
        <v>45924</v>
      </c>
      <c r="B1188" s="1">
        <v>66.410003662109304</v>
      </c>
      <c r="C1188" s="1">
        <v>66.779998779296804</v>
      </c>
      <c r="D1188" s="1">
        <v>65.959999084472599</v>
      </c>
      <c r="E1188" s="1">
        <v>66.449996948242102</v>
      </c>
      <c r="F1188" s="1">
        <v>65.986518859863196</v>
      </c>
      <c r="G1188" s="1">
        <v>14759300</v>
      </c>
      <c r="H1188" s="1">
        <f t="shared" si="18"/>
        <v>-3.8975785190705297E-3</v>
      </c>
    </row>
    <row r="1189" spans="1:8" x14ac:dyDescent="0.35">
      <c r="A1189" s="3">
        <v>45925</v>
      </c>
      <c r="B1189" s="1">
        <v>66.75</v>
      </c>
      <c r="C1189" s="1">
        <v>66.919998168945298</v>
      </c>
      <c r="D1189" s="1">
        <v>65.949996948242102</v>
      </c>
      <c r="E1189" s="1">
        <v>65.980003356933594</v>
      </c>
      <c r="F1189" s="1">
        <v>65.519805908203097</v>
      </c>
      <c r="G1189" s="1">
        <v>14395000</v>
      </c>
      <c r="H1189" s="1">
        <f t="shared" si="18"/>
        <v>-7.0728530573232152E-3</v>
      </c>
    </row>
    <row r="1190" spans="1:8" x14ac:dyDescent="0.35">
      <c r="A1190" s="3">
        <v>45926</v>
      </c>
      <c r="B1190" s="1">
        <v>66.069999694824205</v>
      </c>
      <c r="C1190" s="1">
        <v>66.330001831054602</v>
      </c>
      <c r="D1190" s="1">
        <v>65.5</v>
      </c>
      <c r="E1190" s="1">
        <v>65.669998168945298</v>
      </c>
      <c r="F1190" s="1">
        <v>65.211959838867102</v>
      </c>
      <c r="G1190" s="1">
        <v>17821600</v>
      </c>
      <c r="H1190" s="1">
        <f t="shared" si="18"/>
        <v>-4.6985192503058368E-3</v>
      </c>
    </row>
    <row r="1191" spans="1:8" x14ac:dyDescent="0.35">
      <c r="A1191" s="3">
        <v>45929</v>
      </c>
      <c r="B1191" s="1">
        <v>65.669998168945298</v>
      </c>
      <c r="C1191" s="1">
        <v>66.099998474121094</v>
      </c>
      <c r="D1191" s="1">
        <v>65.349998474121094</v>
      </c>
      <c r="E1191" s="1">
        <v>66.040000915527301</v>
      </c>
      <c r="F1191" s="1">
        <v>65.579383850097599</v>
      </c>
      <c r="G1191" s="1">
        <v>14818500</v>
      </c>
      <c r="H1191" s="1">
        <f t="shared" si="18"/>
        <v>5.6343040776319084E-3</v>
      </c>
    </row>
    <row r="1192" spans="1:8" x14ac:dyDescent="0.35">
      <c r="A1192" s="3">
        <v>45930</v>
      </c>
      <c r="B1192" s="1">
        <v>66.069999694824205</v>
      </c>
      <c r="C1192" s="1">
        <v>66.639999389648395</v>
      </c>
      <c r="D1192" s="1">
        <v>65.959999084472599</v>
      </c>
      <c r="E1192" s="1">
        <v>66.319999694824205</v>
      </c>
      <c r="F1192" s="1">
        <v>65.857429504394503</v>
      </c>
      <c r="G1192" s="1">
        <v>13815000</v>
      </c>
      <c r="H1192" s="1">
        <f t="shared" si="18"/>
        <v>4.239833282552099E-3</v>
      </c>
    </row>
    <row r="1193" spans="1:8" x14ac:dyDescent="0.35">
      <c r="A1193" s="3">
        <v>45931</v>
      </c>
      <c r="B1193" s="1">
        <v>66.510002136230398</v>
      </c>
      <c r="C1193" s="1">
        <v>66.830001831054602</v>
      </c>
      <c r="D1193" s="1">
        <v>66.290000915527301</v>
      </c>
      <c r="E1193" s="1">
        <v>66.779998779296804</v>
      </c>
      <c r="F1193" s="1">
        <v>66.314224243164006</v>
      </c>
      <c r="G1193" s="1">
        <v>14877500</v>
      </c>
      <c r="H1193" s="1">
        <f t="shared" si="18"/>
        <v>6.9361155181287791E-3</v>
      </c>
    </row>
    <row r="1194" spans="1:8" x14ac:dyDescent="0.35">
      <c r="A1194" s="3">
        <v>45932</v>
      </c>
      <c r="B1194" s="1">
        <v>66.529998779296804</v>
      </c>
      <c r="C1194" s="1">
        <v>66.650001525878906</v>
      </c>
      <c r="D1194" s="1">
        <v>65.860000610351506</v>
      </c>
      <c r="E1194" s="1">
        <v>66.099998474121094</v>
      </c>
      <c r="F1194" s="1">
        <v>65.638961791992102</v>
      </c>
      <c r="G1194" s="1">
        <v>14350700</v>
      </c>
      <c r="H1194" s="1">
        <f t="shared" si="18"/>
        <v>-1.0182769366279857E-2</v>
      </c>
    </row>
    <row r="1195" spans="1:8" x14ac:dyDescent="0.35">
      <c r="A1195" s="3">
        <v>45933</v>
      </c>
      <c r="B1195" s="1">
        <v>66.099998474121094</v>
      </c>
      <c r="C1195" s="1">
        <v>66.989997863769503</v>
      </c>
      <c r="D1195" s="1">
        <v>66.040000915527301</v>
      </c>
      <c r="E1195" s="1">
        <v>66.650001525878906</v>
      </c>
      <c r="F1195" s="1">
        <v>66.185127258300696</v>
      </c>
      <c r="G1195" s="1">
        <v>12249200</v>
      </c>
      <c r="H1195" s="1">
        <f t="shared" si="18"/>
        <v>8.3207511422769866E-3</v>
      </c>
    </row>
    <row r="1196" spans="1:8" x14ac:dyDescent="0.35">
      <c r="A1196" s="3">
        <v>45936</v>
      </c>
      <c r="B1196" s="1">
        <v>66.489997863769503</v>
      </c>
      <c r="C1196" s="1">
        <v>66.5</v>
      </c>
      <c r="D1196" s="1">
        <v>65.839996337890597</v>
      </c>
      <c r="E1196" s="1">
        <v>66.099998474121094</v>
      </c>
      <c r="F1196" s="1">
        <v>65.638961791992102</v>
      </c>
      <c r="G1196" s="1">
        <v>14333300</v>
      </c>
      <c r="H1196" s="1">
        <f t="shared" si="18"/>
        <v>-8.2520875751598052E-3</v>
      </c>
    </row>
    <row r="1197" spans="1:8" x14ac:dyDescent="0.35">
      <c r="A1197" s="3">
        <v>45937</v>
      </c>
      <c r="B1197" s="1">
        <v>66.220001220703097</v>
      </c>
      <c r="C1197" s="1">
        <v>67.260002136230398</v>
      </c>
      <c r="D1197" s="1">
        <v>65.870002746582003</v>
      </c>
      <c r="E1197" s="1">
        <v>66.790000915527301</v>
      </c>
      <c r="F1197" s="1">
        <v>66.324150085449205</v>
      </c>
      <c r="G1197" s="1">
        <v>13328300</v>
      </c>
      <c r="H1197" s="1">
        <f t="shared" si="18"/>
        <v>1.0438743617372308E-2</v>
      </c>
    </row>
    <row r="1198" spans="1:8" x14ac:dyDescent="0.35">
      <c r="A1198" s="3">
        <v>45938</v>
      </c>
      <c r="B1198" s="1">
        <v>66.669998168945298</v>
      </c>
      <c r="C1198" s="1">
        <v>66.870002746582003</v>
      </c>
      <c r="D1198" s="1">
        <v>66.059997558593693</v>
      </c>
      <c r="E1198" s="1">
        <v>66.120002746582003</v>
      </c>
      <c r="F1198" s="1">
        <v>65.658828735351506</v>
      </c>
      <c r="G1198" s="1">
        <v>12606700</v>
      </c>
      <c r="H1198" s="1">
        <f t="shared" si="18"/>
        <v>-1.0031358852552611E-2</v>
      </c>
    </row>
    <row r="1199" spans="1:8" x14ac:dyDescent="0.35">
      <c r="A1199" s="3">
        <v>45939</v>
      </c>
      <c r="B1199" s="1">
        <v>66.290000915527301</v>
      </c>
      <c r="C1199" s="1">
        <v>66.800003051757798</v>
      </c>
      <c r="D1199" s="1">
        <v>66.120002746582003</v>
      </c>
      <c r="E1199" s="1">
        <v>66.370002746582003</v>
      </c>
      <c r="F1199" s="1">
        <v>65.907081604003906</v>
      </c>
      <c r="G1199" s="1">
        <v>12705200</v>
      </c>
      <c r="H1199" s="1">
        <f t="shared" si="18"/>
        <v>3.7809518298449062E-3</v>
      </c>
    </row>
    <row r="1200" spans="1:8" x14ac:dyDescent="0.35">
      <c r="A1200" s="3">
        <v>45940</v>
      </c>
      <c r="B1200" s="1">
        <v>66.519996643066406</v>
      </c>
      <c r="C1200" s="1">
        <v>67.400001525878906</v>
      </c>
      <c r="D1200" s="1">
        <v>66.379997253417898</v>
      </c>
      <c r="E1200" s="1">
        <v>67.040000915527301</v>
      </c>
      <c r="F1200" s="1">
        <v>66.572410583496094</v>
      </c>
      <c r="G1200" s="1">
        <v>17991700</v>
      </c>
      <c r="H1200" s="1">
        <f t="shared" si="18"/>
        <v>1.0094954340259671E-2</v>
      </c>
    </row>
    <row r="1201" spans="1:8" x14ac:dyDescent="0.35">
      <c r="A1201" s="3">
        <v>45943</v>
      </c>
      <c r="B1201" s="1">
        <v>66.230003356933594</v>
      </c>
      <c r="C1201" s="1">
        <v>66.800003051757798</v>
      </c>
      <c r="D1201" s="1">
        <v>66</v>
      </c>
      <c r="E1201" s="1">
        <v>66.800003051757798</v>
      </c>
      <c r="F1201" s="1">
        <v>66.334083557128906</v>
      </c>
      <c r="G1201" s="1">
        <v>13690000</v>
      </c>
      <c r="H1201" s="1">
        <f t="shared" si="18"/>
        <v>-3.5799669003764591E-3</v>
      </c>
    </row>
    <row r="1202" spans="1:8" x14ac:dyDescent="0.35">
      <c r="A1202" s="3">
        <v>45944</v>
      </c>
      <c r="B1202" s="1">
        <v>66.870002746582003</v>
      </c>
      <c r="C1202" s="1">
        <v>67.569999694824205</v>
      </c>
      <c r="D1202" s="1">
        <v>66.75</v>
      </c>
      <c r="E1202" s="1">
        <v>67.510002136230398</v>
      </c>
      <c r="F1202" s="1">
        <v>67.039131164550696</v>
      </c>
      <c r="G1202" s="1">
        <v>14245600</v>
      </c>
      <c r="H1202" s="1">
        <f t="shared" si="18"/>
        <v>1.0628738193308746E-2</v>
      </c>
    </row>
    <row r="1203" spans="1:8" x14ac:dyDescent="0.35">
      <c r="A1203" s="3">
        <v>45945</v>
      </c>
      <c r="B1203" s="1">
        <v>67.269996643066406</v>
      </c>
      <c r="C1203" s="1">
        <v>67.720001220703097</v>
      </c>
      <c r="D1203" s="1">
        <v>66.919998168945298</v>
      </c>
      <c r="E1203" s="1">
        <v>67.080001831054602</v>
      </c>
      <c r="F1203" s="1">
        <v>66.612129211425696</v>
      </c>
      <c r="G1203" s="1">
        <v>11193700</v>
      </c>
      <c r="H1203" s="1">
        <f t="shared" si="18"/>
        <v>-6.3694434236759969E-3</v>
      </c>
    </row>
    <row r="1204" spans="1:8" x14ac:dyDescent="0.35">
      <c r="A1204" s="3">
        <v>45946</v>
      </c>
      <c r="B1204" s="1">
        <v>67.180000305175696</v>
      </c>
      <c r="C1204" s="1">
        <v>68.110000610351506</v>
      </c>
      <c r="D1204" s="1">
        <v>67.160003662109304</v>
      </c>
      <c r="E1204" s="1">
        <v>67.589996337890597</v>
      </c>
      <c r="F1204" s="1">
        <v>67.118568420410099</v>
      </c>
      <c r="G1204" s="1">
        <v>15707200</v>
      </c>
      <c r="H1204" s="1">
        <f t="shared" si="18"/>
        <v>7.6028077015369757E-3</v>
      </c>
    </row>
    <row r="1205" spans="1:8" x14ac:dyDescent="0.35">
      <c r="A1205" s="3">
        <v>45947</v>
      </c>
      <c r="B1205" s="1">
        <v>68</v>
      </c>
      <c r="C1205" s="1">
        <v>68.5</v>
      </c>
      <c r="D1205" s="1">
        <v>67.800003051757798</v>
      </c>
      <c r="E1205" s="1">
        <v>68.440002441406193</v>
      </c>
      <c r="F1205" s="1">
        <v>67.962646484375</v>
      </c>
      <c r="G1205" s="1">
        <v>15541800</v>
      </c>
      <c r="H1205" s="1">
        <f t="shared" si="18"/>
        <v>1.2575924722915048E-2</v>
      </c>
    </row>
    <row r="1206" spans="1:8" x14ac:dyDescent="0.35">
      <c r="A1206" s="3">
        <v>45950</v>
      </c>
      <c r="B1206" s="1">
        <v>68.430000305175696</v>
      </c>
      <c r="C1206" s="1">
        <v>68.639999389648395</v>
      </c>
      <c r="D1206" s="1">
        <v>67.919998168945298</v>
      </c>
      <c r="E1206" s="1">
        <v>68.440002441406193</v>
      </c>
      <c r="F1206" s="1">
        <v>67.962646484375</v>
      </c>
      <c r="G1206" s="1">
        <v>17786800</v>
      </c>
      <c r="H1206" s="1">
        <f t="shared" si="18"/>
        <v>0</v>
      </c>
    </row>
    <row r="1207" spans="1:8" x14ac:dyDescent="0.35">
      <c r="A1207" s="3">
        <v>45951</v>
      </c>
      <c r="B1207" s="1">
        <v>70.569999694824205</v>
      </c>
      <c r="C1207" s="1">
        <v>71.389999389648395</v>
      </c>
      <c r="D1207" s="1">
        <v>70.230003356933594</v>
      </c>
      <c r="E1207" s="1">
        <v>71.220001220703097</v>
      </c>
      <c r="F1207" s="1">
        <v>70.723251342773395</v>
      </c>
      <c r="G1207" s="1">
        <v>33651300</v>
      </c>
      <c r="H1207" s="1">
        <f t="shared" si="18"/>
        <v>4.061944319712555E-2</v>
      </c>
    </row>
    <row r="1208" spans="1:8" x14ac:dyDescent="0.35">
      <c r="A1208" s="3">
        <v>45952</v>
      </c>
      <c r="B1208" s="1">
        <v>71.360000610351506</v>
      </c>
      <c r="C1208" s="1">
        <v>71.620002746582003</v>
      </c>
      <c r="D1208" s="1">
        <v>70.510002136230398</v>
      </c>
      <c r="E1208" s="1">
        <v>70.809997558593693</v>
      </c>
      <c r="F1208" s="1">
        <v>70.316108703613196</v>
      </c>
      <c r="G1208" s="1">
        <v>18293000</v>
      </c>
      <c r="H1208" s="1">
        <f t="shared" si="18"/>
        <v>-5.7568427840924107E-3</v>
      </c>
    </row>
    <row r="1209" spans="1:8" x14ac:dyDescent="0.35">
      <c r="A1209" s="3">
        <v>45953</v>
      </c>
      <c r="B1209" s="1">
        <v>70.809997558593693</v>
      </c>
      <c r="C1209" s="1">
        <v>70.930000305175696</v>
      </c>
      <c r="D1209" s="1">
        <v>69.720001220703097</v>
      </c>
      <c r="E1209" s="1">
        <v>69.940002441406193</v>
      </c>
      <c r="F1209" s="1">
        <v>69.452186584472599</v>
      </c>
      <c r="G1209" s="1">
        <v>13989400</v>
      </c>
      <c r="H1209" s="1">
        <f t="shared" si="18"/>
        <v>-1.2286261783655897E-2</v>
      </c>
    </row>
    <row r="1210" spans="1:8" x14ac:dyDescent="0.35">
      <c r="A1210" s="3">
        <v>45954</v>
      </c>
      <c r="B1210" s="1">
        <v>69.910003662109304</v>
      </c>
      <c r="C1210" s="1">
        <v>70.050003051757798</v>
      </c>
      <c r="D1210" s="1">
        <v>69.650001525878906</v>
      </c>
      <c r="E1210" s="1">
        <v>69.709999084472599</v>
      </c>
      <c r="F1210" s="1">
        <v>69.223785400390597</v>
      </c>
      <c r="G1210" s="1">
        <v>15688200</v>
      </c>
      <c r="H1210" s="1">
        <f t="shared" si="18"/>
        <v>-3.2886104140753777E-3</v>
      </c>
    </row>
    <row r="1211" spans="1:8" x14ac:dyDescent="0.35">
      <c r="A1211" s="3">
        <v>45957</v>
      </c>
      <c r="B1211" s="1">
        <v>69.779998779296804</v>
      </c>
      <c r="C1211" s="1">
        <v>70.120002746582003</v>
      </c>
      <c r="D1211" s="1">
        <v>69.25</v>
      </c>
      <c r="E1211" s="1">
        <v>70.059997558593693</v>
      </c>
      <c r="F1211" s="1">
        <v>69.571342468261705</v>
      </c>
      <c r="G1211" s="1">
        <v>13800000</v>
      </c>
      <c r="H1211" s="1">
        <f t="shared" si="18"/>
        <v>5.0207752416432704E-3</v>
      </c>
    </row>
    <row r="1212" spans="1:8" x14ac:dyDescent="0.35">
      <c r="A1212" s="3">
        <v>45958</v>
      </c>
      <c r="B1212" s="1">
        <v>70.050003051757798</v>
      </c>
      <c r="C1212" s="1">
        <v>70.900001525878906</v>
      </c>
      <c r="D1212" s="1">
        <v>69.949996948242102</v>
      </c>
      <c r="E1212" s="1">
        <v>70.160003662109304</v>
      </c>
      <c r="F1212" s="1">
        <v>69.670654296875</v>
      </c>
      <c r="G1212" s="1">
        <v>12730500</v>
      </c>
      <c r="H1212" s="1">
        <f t="shared" si="18"/>
        <v>1.4274818494209925E-3</v>
      </c>
    </row>
    <row r="1213" spans="1:8" x14ac:dyDescent="0.35">
      <c r="A1213" s="3">
        <v>45959</v>
      </c>
      <c r="B1213" s="1">
        <v>69.919998168945298</v>
      </c>
      <c r="C1213" s="1">
        <v>70.029998779296804</v>
      </c>
      <c r="D1213" s="1">
        <v>68.160003662109304</v>
      </c>
      <c r="E1213" s="1">
        <v>68.349998474121094</v>
      </c>
      <c r="F1213" s="1">
        <v>67.873268127441406</v>
      </c>
      <c r="G1213" s="1">
        <v>19789600</v>
      </c>
      <c r="H1213" s="1">
        <f t="shared" si="18"/>
        <v>-2.5798324812261932E-2</v>
      </c>
    </row>
    <row r="1214" spans="1:8" x14ac:dyDescent="0.35">
      <c r="A1214" s="3">
        <v>45960</v>
      </c>
      <c r="B1214" s="1">
        <v>68.449996948242102</v>
      </c>
      <c r="C1214" s="1">
        <v>69.290000915527301</v>
      </c>
      <c r="D1214" s="1">
        <v>68.389999389648395</v>
      </c>
      <c r="E1214" s="1">
        <v>68.980003356933594</v>
      </c>
      <c r="F1214" s="1">
        <v>68.498878479003906</v>
      </c>
      <c r="G1214" s="1">
        <v>14751700</v>
      </c>
      <c r="H1214" s="1">
        <f t="shared" si="18"/>
        <v>9.2173306048535988E-3</v>
      </c>
    </row>
    <row r="1215" spans="1:8" x14ac:dyDescent="0.35">
      <c r="A1215" s="3">
        <v>45961</v>
      </c>
      <c r="B1215" s="1">
        <v>68.550003051757798</v>
      </c>
      <c r="C1215" s="1">
        <v>69.069999694824205</v>
      </c>
      <c r="D1215" s="1">
        <v>67.900001525878906</v>
      </c>
      <c r="E1215" s="1">
        <v>68.900001525878906</v>
      </c>
      <c r="F1215" s="1">
        <v>68.41943359375</v>
      </c>
      <c r="G1215" s="1">
        <v>16742700</v>
      </c>
      <c r="H1215" s="1">
        <f t="shared" si="18"/>
        <v>-1.1597983356509624E-3</v>
      </c>
    </row>
    <row r="1216" spans="1:8" x14ac:dyDescent="0.35">
      <c r="A1216" s="3">
        <v>45964</v>
      </c>
      <c r="B1216" s="1">
        <v>68.800003051757798</v>
      </c>
      <c r="C1216" s="1">
        <v>68.889999389648395</v>
      </c>
      <c r="D1216" s="1">
        <v>67.660003662109304</v>
      </c>
      <c r="E1216" s="1">
        <v>67.970001220703097</v>
      </c>
      <c r="F1216" s="1">
        <v>67.495925903320298</v>
      </c>
      <c r="G1216" s="1">
        <v>15660400</v>
      </c>
      <c r="H1216" s="1">
        <f t="shared" si="18"/>
        <v>-1.3497739486023203E-2</v>
      </c>
    </row>
    <row r="1217" spans="1:8" x14ac:dyDescent="0.35">
      <c r="A1217" s="3">
        <v>45965</v>
      </c>
      <c r="B1217" s="1">
        <v>68.470001220703097</v>
      </c>
      <c r="C1217" s="1">
        <v>68.730003356933594</v>
      </c>
      <c r="D1217" s="1">
        <v>68.160003662109304</v>
      </c>
      <c r="E1217" s="1">
        <v>68.660003662109304</v>
      </c>
      <c r="F1217" s="1">
        <v>68.181114196777301</v>
      </c>
      <c r="G1217" s="1">
        <v>12743800</v>
      </c>
      <c r="H1217" s="1">
        <f t="shared" si="18"/>
        <v>1.0151550397848482E-2</v>
      </c>
    </row>
    <row r="1218" spans="1:8" x14ac:dyDescent="0.35">
      <c r="A1218" s="3">
        <v>45966</v>
      </c>
      <c r="B1218" s="1">
        <v>68.660003662109304</v>
      </c>
      <c r="C1218" s="1">
        <v>68.830001831054602</v>
      </c>
      <c r="D1218" s="1">
        <v>68.180000305175696</v>
      </c>
      <c r="E1218" s="1">
        <v>68.510002136230398</v>
      </c>
      <c r="F1218" s="1">
        <v>68.032157897949205</v>
      </c>
      <c r="G1218" s="1">
        <v>12850100</v>
      </c>
      <c r="H1218" s="1">
        <f t="shared" si="18"/>
        <v>-2.1847149402427521E-3</v>
      </c>
    </row>
    <row r="1219" spans="1:8" x14ac:dyDescent="0.35">
      <c r="A1219" s="3">
        <v>45967</v>
      </c>
      <c r="B1219" s="1">
        <v>68.300003051757798</v>
      </c>
      <c r="C1219" s="1">
        <v>69.139999389648395</v>
      </c>
      <c r="D1219" s="1">
        <v>67.919998168945298</v>
      </c>
      <c r="E1219" s="1">
        <v>69.059997558593693</v>
      </c>
      <c r="F1219" s="1">
        <v>68.578315734863196</v>
      </c>
      <c r="G1219" s="1">
        <v>15906700</v>
      </c>
      <c r="H1219" s="1">
        <f t="shared" si="18"/>
        <v>8.0279364022709486E-3</v>
      </c>
    </row>
    <row r="1220" spans="1:8" x14ac:dyDescent="0.35">
      <c r="A1220" s="3">
        <v>45968</v>
      </c>
      <c r="B1220" s="1">
        <v>69.809997558593693</v>
      </c>
      <c r="C1220" s="1">
        <v>70.870002746582003</v>
      </c>
      <c r="D1220" s="1">
        <v>69.410003662109304</v>
      </c>
      <c r="E1220" s="1">
        <v>70.550003051757798</v>
      </c>
      <c r="F1220" s="1">
        <v>70.057929992675696</v>
      </c>
      <c r="G1220" s="1">
        <v>25108300</v>
      </c>
      <c r="H1220" s="1">
        <f t="shared" ref="H1220:H1256" si="19">(F1220-F1219)/F1219</f>
        <v>2.1575540926565911E-2</v>
      </c>
    </row>
    <row r="1221" spans="1:8" x14ac:dyDescent="0.35">
      <c r="A1221" s="3">
        <v>45971</v>
      </c>
      <c r="B1221" s="1">
        <v>70.010002136230398</v>
      </c>
      <c r="C1221" s="1">
        <v>70.660003662109304</v>
      </c>
      <c r="D1221" s="1">
        <v>69.440002441406193</v>
      </c>
      <c r="E1221" s="1">
        <v>70.519996643066406</v>
      </c>
      <c r="F1221" s="1">
        <v>70.028129577636705</v>
      </c>
      <c r="G1221" s="1">
        <v>15318000</v>
      </c>
      <c r="H1221" s="1">
        <f t="shared" si="19"/>
        <v>-4.2536819232465151E-4</v>
      </c>
    </row>
    <row r="1222" spans="1:8" x14ac:dyDescent="0.35">
      <c r="A1222" s="3">
        <v>45972</v>
      </c>
      <c r="B1222" s="1">
        <v>70.980003356933594</v>
      </c>
      <c r="C1222" s="1">
        <v>71.75</v>
      </c>
      <c r="D1222" s="1">
        <v>70.660003662109304</v>
      </c>
      <c r="E1222" s="1">
        <v>71.610000610351506</v>
      </c>
      <c r="F1222" s="1">
        <v>71.110534667968693</v>
      </c>
      <c r="G1222" s="1">
        <v>16160200</v>
      </c>
      <c r="H1222" s="1">
        <f t="shared" si="19"/>
        <v>1.5456718562388274E-2</v>
      </c>
    </row>
    <row r="1223" spans="1:8" x14ac:dyDescent="0.35">
      <c r="A1223" s="3">
        <v>45973</v>
      </c>
      <c r="B1223" s="1">
        <v>71.489997863769503</v>
      </c>
      <c r="C1223" s="1">
        <v>71.889999389648395</v>
      </c>
      <c r="D1223" s="1">
        <v>71.339996337890597</v>
      </c>
      <c r="E1223" s="1">
        <v>71.510002136230398</v>
      </c>
      <c r="F1223" s="1">
        <v>71.01123046875</v>
      </c>
      <c r="G1223" s="1">
        <v>13612600</v>
      </c>
      <c r="H1223" s="1">
        <f t="shared" si="19"/>
        <v>-1.3964766216759178E-3</v>
      </c>
    </row>
    <row r="1224" spans="1:8" x14ac:dyDescent="0.35">
      <c r="A1224" s="3">
        <v>45974</v>
      </c>
      <c r="B1224" s="1">
        <v>71.419998168945298</v>
      </c>
      <c r="C1224" s="1">
        <v>71.669998168945298</v>
      </c>
      <c r="D1224" s="1">
        <v>71</v>
      </c>
      <c r="E1224" s="1">
        <v>71.069999694824205</v>
      </c>
      <c r="F1224" s="1">
        <v>70.574302673339801</v>
      </c>
      <c r="G1224" s="1">
        <v>14002800</v>
      </c>
      <c r="H1224" s="1">
        <f t="shared" si="19"/>
        <v>-6.1529393664355421E-3</v>
      </c>
    </row>
    <row r="1225" spans="1:8" x14ac:dyDescent="0.35">
      <c r="A1225" s="3">
        <v>45975</v>
      </c>
      <c r="B1225" s="1">
        <v>71.410003662109304</v>
      </c>
      <c r="C1225" s="1">
        <v>71.639999389648395</v>
      </c>
      <c r="D1225" s="1">
        <v>70.599998474121094</v>
      </c>
      <c r="E1225" s="1">
        <v>71.160003662109304</v>
      </c>
      <c r="F1225" s="1">
        <v>70.663673400878906</v>
      </c>
      <c r="G1225" s="1">
        <v>13172000</v>
      </c>
      <c r="H1225" s="1">
        <f t="shared" si="19"/>
        <v>1.266335254529775E-3</v>
      </c>
    </row>
    <row r="1226" spans="1:8" x14ac:dyDescent="0.35">
      <c r="A1226" s="3">
        <v>45978</v>
      </c>
      <c r="B1226" s="1">
        <v>71.199996948242102</v>
      </c>
      <c r="C1226" s="1">
        <v>71.529998779296804</v>
      </c>
      <c r="D1226" s="1">
        <v>70.620002746582003</v>
      </c>
      <c r="E1226" s="1">
        <v>70.680000305175696</v>
      </c>
      <c r="F1226" s="1">
        <v>70.187019348144503</v>
      </c>
      <c r="G1226" s="1">
        <v>14772300</v>
      </c>
      <c r="H1226" s="1">
        <f t="shared" si="19"/>
        <v>-6.7453902379277508E-3</v>
      </c>
    </row>
    <row r="1227" spans="1:8" x14ac:dyDescent="0.35">
      <c r="A1227" s="3">
        <v>45979</v>
      </c>
      <c r="B1227" s="1">
        <v>70.989997863769503</v>
      </c>
      <c r="C1227" s="1">
        <v>71.339996337890597</v>
      </c>
      <c r="D1227" s="1">
        <v>70.569999694824205</v>
      </c>
      <c r="E1227" s="1">
        <v>71.220001220703097</v>
      </c>
      <c r="F1227" s="1">
        <v>70.723251342773395</v>
      </c>
      <c r="G1227" s="1">
        <v>12838900</v>
      </c>
      <c r="H1227" s="1">
        <f t="shared" si="19"/>
        <v>7.6400451195833283E-3</v>
      </c>
    </row>
    <row r="1228" spans="1:8" x14ac:dyDescent="0.35">
      <c r="A1228" s="3">
        <v>45980</v>
      </c>
      <c r="B1228" s="1">
        <v>71.199996948242102</v>
      </c>
      <c r="C1228" s="1">
        <v>71.449996948242102</v>
      </c>
      <c r="D1228" s="1">
        <v>70.809997558593693</v>
      </c>
      <c r="E1228" s="1">
        <v>71.110000610351506</v>
      </c>
      <c r="F1228" s="1">
        <v>70.614021301269503</v>
      </c>
      <c r="G1228" s="1">
        <v>12401500</v>
      </c>
      <c r="H1228" s="1">
        <f t="shared" si="19"/>
        <v>-1.5444714352071899E-3</v>
      </c>
    </row>
    <row r="1229" spans="1:8" x14ac:dyDescent="0.35">
      <c r="A1229" s="3">
        <v>45981</v>
      </c>
      <c r="B1229" s="1">
        <v>70.949996948242102</v>
      </c>
      <c r="C1229" s="1">
        <v>71.480003356933594</v>
      </c>
      <c r="D1229" s="1">
        <v>70.610000610351506</v>
      </c>
      <c r="E1229" s="1">
        <v>71.209999084472599</v>
      </c>
      <c r="F1229" s="1">
        <v>70.713325500488196</v>
      </c>
      <c r="G1229" s="1">
        <v>15396500</v>
      </c>
      <c r="H1229" s="1">
        <f t="shared" si="19"/>
        <v>1.4062957666016375E-3</v>
      </c>
    </row>
    <row r="1230" spans="1:8" x14ac:dyDescent="0.35">
      <c r="A1230" s="3">
        <v>45982</v>
      </c>
      <c r="B1230" s="1">
        <v>71.680000305175696</v>
      </c>
      <c r="C1230" s="1">
        <v>73.190002441406193</v>
      </c>
      <c r="D1230" s="1">
        <v>71.489997863769503</v>
      </c>
      <c r="E1230" s="1">
        <v>72.949996948242102</v>
      </c>
      <c r="F1230" s="1">
        <v>72.441184997558594</v>
      </c>
      <c r="G1230" s="1">
        <v>26492500</v>
      </c>
      <c r="H1230" s="1">
        <f t="shared" si="19"/>
        <v>2.4434708519803228E-2</v>
      </c>
    </row>
    <row r="1231" spans="1:8" x14ac:dyDescent="0.35">
      <c r="A1231" s="3">
        <v>45985</v>
      </c>
      <c r="B1231" s="1">
        <v>73.160003662109304</v>
      </c>
      <c r="C1231" s="1">
        <v>73.160003662109304</v>
      </c>
      <c r="D1231" s="1">
        <v>71.569999694824205</v>
      </c>
      <c r="E1231" s="1">
        <v>72.589996337890597</v>
      </c>
      <c r="F1231" s="1">
        <v>72.083694458007798</v>
      </c>
      <c r="G1231" s="1">
        <v>39818600</v>
      </c>
      <c r="H1231" s="1">
        <f t="shared" si="19"/>
        <v>-4.9349073950521868E-3</v>
      </c>
    </row>
    <row r="1232" spans="1:8" x14ac:dyDescent="0.35">
      <c r="A1232" s="3">
        <v>45986</v>
      </c>
      <c r="B1232" s="1">
        <v>72.800003051757798</v>
      </c>
      <c r="C1232" s="1">
        <v>72.930000305175696</v>
      </c>
      <c r="D1232" s="1">
        <v>72.139999389648395</v>
      </c>
      <c r="E1232" s="1">
        <v>72.610000610351506</v>
      </c>
      <c r="F1232" s="1">
        <v>72.103561401367102</v>
      </c>
      <c r="G1232" s="1">
        <v>17451200</v>
      </c>
      <c r="H1232" s="1">
        <f t="shared" si="19"/>
        <v>2.7560939417273336E-4</v>
      </c>
    </row>
    <row r="1233" spans="1:8" x14ac:dyDescent="0.35">
      <c r="A1233" s="3">
        <v>45987</v>
      </c>
      <c r="B1233" s="1">
        <v>72.599998474121094</v>
      </c>
      <c r="C1233" s="1">
        <v>73.089996337890597</v>
      </c>
      <c r="D1233" s="1">
        <v>72.389999389648395</v>
      </c>
      <c r="E1233" s="1">
        <v>72.879997253417898</v>
      </c>
      <c r="F1233" s="1">
        <v>72.371673583984304</v>
      </c>
      <c r="G1233" s="1">
        <v>11795100</v>
      </c>
      <c r="H1233" s="1">
        <f t="shared" si="19"/>
        <v>3.71843189720887E-3</v>
      </c>
    </row>
    <row r="1234" spans="1:8" x14ac:dyDescent="0.35">
      <c r="A1234" s="3">
        <v>45989</v>
      </c>
      <c r="B1234" s="1">
        <v>73</v>
      </c>
      <c r="C1234" s="1">
        <v>73.230003356933594</v>
      </c>
      <c r="D1234" s="1">
        <v>72.760002136230398</v>
      </c>
      <c r="E1234" s="1">
        <v>73.120002746582003</v>
      </c>
      <c r="F1234" s="1">
        <v>72.610000610351506</v>
      </c>
      <c r="G1234" s="1">
        <v>7423000</v>
      </c>
      <c r="H1234" s="1">
        <f t="shared" si="19"/>
        <v>3.2930981772949213E-3</v>
      </c>
    </row>
    <row r="1235" spans="1:8" x14ac:dyDescent="0.35">
      <c r="A1235" s="3">
        <v>45992</v>
      </c>
      <c r="B1235" s="1">
        <v>72.599998474121094</v>
      </c>
      <c r="C1235" s="1">
        <v>72.910003662109304</v>
      </c>
      <c r="D1235" s="1">
        <v>71.930000305175696</v>
      </c>
      <c r="E1235" s="1">
        <v>71.949996948242102</v>
      </c>
      <c r="F1235" s="1">
        <v>71.949996948242102</v>
      </c>
      <c r="G1235" s="1">
        <v>14388100</v>
      </c>
      <c r="H1235" s="1">
        <f t="shared" si="19"/>
        <v>-9.0897074309528557E-3</v>
      </c>
    </row>
    <row r="1236" spans="1:8" x14ac:dyDescent="0.35">
      <c r="A1236" s="3">
        <v>45993</v>
      </c>
      <c r="B1236" s="1">
        <v>71.800003051757798</v>
      </c>
      <c r="C1236" s="1">
        <v>71.800003051757798</v>
      </c>
      <c r="D1236" s="1">
        <v>70.430000305175696</v>
      </c>
      <c r="E1236" s="1">
        <v>70.669998168945298</v>
      </c>
      <c r="F1236" s="1">
        <v>70.669998168945298</v>
      </c>
      <c r="G1236" s="1">
        <v>19871300</v>
      </c>
      <c r="H1236" s="1">
        <f t="shared" si="19"/>
        <v>-1.7790115824710639E-2</v>
      </c>
    </row>
    <row r="1237" spans="1:8" x14ac:dyDescent="0.35">
      <c r="A1237" s="3">
        <v>45994</v>
      </c>
      <c r="B1237" s="1">
        <v>70.879997253417898</v>
      </c>
      <c r="C1237" s="1">
        <v>71.400001525878906</v>
      </c>
      <c r="D1237" s="1">
        <v>70.610000610351506</v>
      </c>
      <c r="E1237" s="1">
        <v>70.809997558593693</v>
      </c>
      <c r="F1237" s="1">
        <v>70.809997558593693</v>
      </c>
      <c r="G1237" s="1">
        <v>17001700</v>
      </c>
      <c r="H1237" s="1">
        <f t="shared" si="19"/>
        <v>1.9810300449380112E-3</v>
      </c>
    </row>
    <row r="1238" spans="1:8" x14ac:dyDescent="0.35">
      <c r="A1238" s="3">
        <v>45995</v>
      </c>
      <c r="B1238" s="1">
        <v>70.830001831054602</v>
      </c>
      <c r="C1238" s="1">
        <v>71.339996337890597</v>
      </c>
      <c r="D1238" s="1">
        <v>70.370002746582003</v>
      </c>
      <c r="E1238" s="1">
        <v>70.449996948242102</v>
      </c>
      <c r="F1238" s="1">
        <v>70.449996948242102</v>
      </c>
      <c r="G1238" s="1">
        <v>17710000</v>
      </c>
      <c r="H1238" s="1">
        <f t="shared" si="19"/>
        <v>-5.0840364745627685E-3</v>
      </c>
    </row>
    <row r="1239" spans="1:8" x14ac:dyDescent="0.35">
      <c r="A1239" s="3">
        <v>45996</v>
      </c>
      <c r="B1239" s="1">
        <v>70.319999694824205</v>
      </c>
      <c r="C1239" s="1">
        <v>70.709999084472599</v>
      </c>
      <c r="D1239" s="1">
        <v>69.870002746582003</v>
      </c>
      <c r="E1239" s="1">
        <v>70</v>
      </c>
      <c r="F1239" s="1">
        <v>70</v>
      </c>
      <c r="G1239" s="1">
        <v>13978200</v>
      </c>
      <c r="H1239" s="1">
        <f t="shared" si="19"/>
        <v>-6.3874658301646776E-3</v>
      </c>
    </row>
    <row r="1240" spans="1:8" x14ac:dyDescent="0.35">
      <c r="A1240" s="3">
        <v>45999</v>
      </c>
      <c r="B1240" s="1">
        <v>69.839996337890597</v>
      </c>
      <c r="C1240" s="1">
        <v>70.379997253417898</v>
      </c>
      <c r="D1240" s="1">
        <v>69.489997863769503</v>
      </c>
      <c r="E1240" s="1">
        <v>70.25</v>
      </c>
      <c r="F1240" s="1">
        <v>70.25</v>
      </c>
      <c r="G1240" s="1">
        <v>17775100</v>
      </c>
      <c r="H1240" s="1">
        <f t="shared" si="19"/>
        <v>3.5714285714285713E-3</v>
      </c>
    </row>
    <row r="1241" spans="1:8" x14ac:dyDescent="0.35">
      <c r="A1241" s="3">
        <v>46000</v>
      </c>
      <c r="B1241" s="1">
        <v>70.370002746582003</v>
      </c>
      <c r="C1241" s="1">
        <v>70.629997253417898</v>
      </c>
      <c r="D1241" s="1">
        <v>69.830001831054602</v>
      </c>
      <c r="E1241" s="1">
        <v>70.089996337890597</v>
      </c>
      <c r="F1241" s="1">
        <v>70.089996337890597</v>
      </c>
      <c r="G1241" s="1">
        <v>13010600</v>
      </c>
      <c r="H1241" s="1">
        <f t="shared" si="19"/>
        <v>-2.2776322008456005E-3</v>
      </c>
    </row>
    <row r="1242" spans="1:8" x14ac:dyDescent="0.35">
      <c r="A1242" s="3">
        <v>46001</v>
      </c>
      <c r="B1242" s="1">
        <v>70.389999389648395</v>
      </c>
      <c r="C1242" s="1">
        <v>70.529998779296804</v>
      </c>
      <c r="D1242" s="1">
        <v>69.779998779296804</v>
      </c>
      <c r="E1242" s="1">
        <v>70.209999084472599</v>
      </c>
      <c r="F1242" s="1">
        <v>70.209999084472599</v>
      </c>
      <c r="G1242" s="1">
        <v>29789400</v>
      </c>
      <c r="H1242" s="1">
        <f t="shared" si="19"/>
        <v>1.7121237387927989E-3</v>
      </c>
    </row>
    <row r="1243" spans="1:8" x14ac:dyDescent="0.35">
      <c r="A1243" s="3">
        <v>46002</v>
      </c>
      <c r="B1243" s="1">
        <v>70.550003051757798</v>
      </c>
      <c r="C1243" s="1">
        <v>70.690002441406193</v>
      </c>
      <c r="D1243" s="1">
        <v>68.790000915527301</v>
      </c>
      <c r="E1243" s="1">
        <v>69.110000610351506</v>
      </c>
      <c r="F1243" s="1">
        <v>69.110000610351506</v>
      </c>
      <c r="G1243" s="1">
        <v>23124200</v>
      </c>
      <c r="H1243" s="1">
        <f t="shared" si="19"/>
        <v>-1.5667262333925392E-2</v>
      </c>
    </row>
    <row r="1244" spans="1:8" x14ac:dyDescent="0.35">
      <c r="A1244" s="3">
        <v>46003</v>
      </c>
      <c r="B1244" s="1">
        <v>69.110000610351506</v>
      </c>
      <c r="C1244" s="1">
        <v>70.620002746582003</v>
      </c>
      <c r="D1244" s="1">
        <v>69.040000915527301</v>
      </c>
      <c r="E1244" s="1">
        <v>70.519996643066406</v>
      </c>
      <c r="F1244" s="1">
        <v>70.519996643066406</v>
      </c>
      <c r="G1244" s="1">
        <v>18444500</v>
      </c>
      <c r="H1244" s="1">
        <f t="shared" si="19"/>
        <v>2.0402199685463571E-2</v>
      </c>
    </row>
    <row r="1245" spans="1:8" x14ac:dyDescent="0.35">
      <c r="A1245" s="3">
        <v>46006</v>
      </c>
      <c r="B1245" s="1">
        <v>70.430000305175696</v>
      </c>
      <c r="C1245" s="1">
        <v>71.319999694824205</v>
      </c>
      <c r="D1245" s="1">
        <v>70.319999694824205</v>
      </c>
      <c r="E1245" s="1">
        <v>70.970001220703097</v>
      </c>
      <c r="F1245" s="1">
        <v>70.970001220703097</v>
      </c>
      <c r="G1245" s="1">
        <v>18660100</v>
      </c>
      <c r="H1245" s="1">
        <f t="shared" si="19"/>
        <v>6.3812336792125361E-3</v>
      </c>
    </row>
    <row r="1246" spans="1:8" x14ac:dyDescent="0.35">
      <c r="A1246" s="3">
        <v>46007</v>
      </c>
      <c r="B1246" s="1">
        <v>71.300003051757798</v>
      </c>
      <c r="C1246" s="1">
        <v>71.300003051757798</v>
      </c>
      <c r="D1246" s="1">
        <v>70.319999694824205</v>
      </c>
      <c r="E1246" s="1">
        <v>70.370002746582003</v>
      </c>
      <c r="F1246" s="1">
        <v>70.370002746582003</v>
      </c>
      <c r="G1246" s="1">
        <v>17370000</v>
      </c>
      <c r="H1246" s="1">
        <f t="shared" si="19"/>
        <v>-8.4542548090877651E-3</v>
      </c>
    </row>
    <row r="1247" spans="1:8" x14ac:dyDescent="0.35">
      <c r="A1247" s="3">
        <v>46008</v>
      </c>
      <c r="B1247" s="1">
        <v>70.569999694824205</v>
      </c>
      <c r="C1247" s="1">
        <v>70.919998168945298</v>
      </c>
      <c r="D1247" s="1">
        <v>70.309997558593693</v>
      </c>
      <c r="E1247" s="1">
        <v>70.669998168945298</v>
      </c>
      <c r="F1247" s="1">
        <v>70.669998168945298</v>
      </c>
      <c r="G1247" s="1">
        <v>13672700</v>
      </c>
      <c r="H1247" s="1">
        <f t="shared" si="19"/>
        <v>4.2631151151669771E-3</v>
      </c>
    </row>
    <row r="1248" spans="1:8" x14ac:dyDescent="0.35">
      <c r="A1248" s="3">
        <v>46009</v>
      </c>
      <c r="B1248" s="1">
        <v>70.269996643066406</v>
      </c>
      <c r="C1248" s="1">
        <v>70.800003051757798</v>
      </c>
      <c r="D1248" s="1">
        <v>70.169998168945298</v>
      </c>
      <c r="E1248" s="1">
        <v>70.360000610351506</v>
      </c>
      <c r="F1248" s="1">
        <v>70.360000610351506</v>
      </c>
      <c r="G1248" s="1">
        <v>15524800</v>
      </c>
      <c r="H1248" s="1">
        <f t="shared" si="19"/>
        <v>-4.3865511055017356E-3</v>
      </c>
    </row>
    <row r="1249" spans="1:8" x14ac:dyDescent="0.35">
      <c r="A1249" s="3">
        <v>46010</v>
      </c>
      <c r="B1249" s="1">
        <v>70.059997558593693</v>
      </c>
      <c r="C1249" s="1">
        <v>70.769996643066406</v>
      </c>
      <c r="D1249" s="1">
        <v>70.029998779296804</v>
      </c>
      <c r="E1249" s="1">
        <v>70.059997558593693</v>
      </c>
      <c r="F1249" s="1">
        <v>70.059997558593693</v>
      </c>
      <c r="G1249" s="1">
        <v>36911100</v>
      </c>
      <c r="H1249" s="1">
        <f t="shared" si="19"/>
        <v>-4.2638295786722241E-3</v>
      </c>
    </row>
    <row r="1250" spans="1:8" x14ac:dyDescent="0.35">
      <c r="A1250" s="3">
        <v>46013</v>
      </c>
      <c r="B1250" s="1">
        <v>69.930000305175696</v>
      </c>
      <c r="C1250" s="1">
        <v>70.220001220703097</v>
      </c>
      <c r="D1250" s="1">
        <v>69.660003662109304</v>
      </c>
      <c r="E1250" s="1">
        <v>70.209999084472599</v>
      </c>
      <c r="F1250" s="1">
        <v>70.209999084472599</v>
      </c>
      <c r="G1250" s="1">
        <v>12828500</v>
      </c>
      <c r="H1250" s="1">
        <f t="shared" si="19"/>
        <v>2.1410438353705991E-3</v>
      </c>
    </row>
    <row r="1251" spans="1:8" x14ac:dyDescent="0.35">
      <c r="A1251" s="3">
        <v>46014</v>
      </c>
      <c r="B1251" s="1">
        <v>70.199996948242102</v>
      </c>
      <c r="C1251" s="1">
        <v>70.260002136230398</v>
      </c>
      <c r="D1251" s="1">
        <v>69.690002441406193</v>
      </c>
      <c r="E1251" s="1">
        <v>69.870002746582003</v>
      </c>
      <c r="F1251" s="1">
        <v>69.870002746582003</v>
      </c>
      <c r="G1251" s="1">
        <v>9471000</v>
      </c>
      <c r="H1251" s="1">
        <f t="shared" si="19"/>
        <v>-4.8425629158822909E-3</v>
      </c>
    </row>
    <row r="1252" spans="1:8" x14ac:dyDescent="0.35">
      <c r="A1252" s="3">
        <v>46015</v>
      </c>
      <c r="B1252" s="1">
        <v>69.900001525878906</v>
      </c>
      <c r="C1252" s="1">
        <v>70.160003662109304</v>
      </c>
      <c r="D1252" s="1">
        <v>69.75</v>
      </c>
      <c r="E1252" s="1">
        <v>70.110000610351506</v>
      </c>
      <c r="F1252" s="1">
        <v>70.110000610351506</v>
      </c>
      <c r="G1252" s="1">
        <v>4515300</v>
      </c>
      <c r="H1252" s="1">
        <f t="shared" si="19"/>
        <v>3.4349199131989928E-3</v>
      </c>
    </row>
    <row r="1253" spans="1:8" x14ac:dyDescent="0.35">
      <c r="A1253" s="3">
        <v>46017</v>
      </c>
      <c r="B1253" s="1">
        <v>69.949996948242102</v>
      </c>
      <c r="C1253" s="1">
        <v>70.160003662109304</v>
      </c>
      <c r="D1253" s="1">
        <v>69.730003356933594</v>
      </c>
      <c r="E1253" s="1">
        <v>69.870002746582003</v>
      </c>
      <c r="F1253" s="1">
        <v>69.870002746582003</v>
      </c>
      <c r="G1253" s="1">
        <v>5711400</v>
      </c>
      <c r="H1253" s="1">
        <f t="shared" si="19"/>
        <v>-3.423161627159763E-3</v>
      </c>
    </row>
    <row r="1254" spans="1:8" x14ac:dyDescent="0.35">
      <c r="A1254" s="3">
        <v>46020</v>
      </c>
      <c r="B1254" s="1">
        <v>70</v>
      </c>
      <c r="C1254" s="1">
        <v>70.419998168945298</v>
      </c>
      <c r="D1254" s="1">
        <v>69.849998474121094</v>
      </c>
      <c r="E1254" s="1">
        <v>70.160003662109304</v>
      </c>
      <c r="F1254" s="1">
        <v>70.160003662109304</v>
      </c>
      <c r="G1254" s="1">
        <v>9686900</v>
      </c>
      <c r="H1254" s="1">
        <f t="shared" si="19"/>
        <v>4.1505782757606628E-3</v>
      </c>
    </row>
    <row r="1255" spans="1:8" x14ac:dyDescent="0.35">
      <c r="A1255" s="3">
        <v>46021</v>
      </c>
      <c r="B1255" s="1">
        <v>70</v>
      </c>
      <c r="C1255" s="1">
        <v>70.239997863769503</v>
      </c>
      <c r="D1255" s="1">
        <v>69.800003051757798</v>
      </c>
      <c r="E1255" s="1">
        <v>70.069999694824205</v>
      </c>
      <c r="F1255" s="1">
        <v>70.069999694824205</v>
      </c>
      <c r="G1255" s="1">
        <v>8610900</v>
      </c>
      <c r="H1255" s="1">
        <f t="shared" si="19"/>
        <v>-1.2828386913797591E-3</v>
      </c>
    </row>
    <row r="1256" spans="1:8" x14ac:dyDescent="0.35">
      <c r="A1256" s="3">
        <v>46022</v>
      </c>
      <c r="B1256" s="1">
        <v>70.069999694824205</v>
      </c>
      <c r="C1256" s="1">
        <v>70.160003662109304</v>
      </c>
      <c r="D1256" s="1">
        <v>69.879997253417898</v>
      </c>
      <c r="E1256" s="1">
        <v>69.910003662109304</v>
      </c>
      <c r="F1256" s="1">
        <v>69.910003662109304</v>
      </c>
      <c r="G1256" s="1">
        <v>8127800</v>
      </c>
      <c r="H1256" s="1">
        <f t="shared" si="19"/>
        <v>-2.2833742459216662E-3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402AA-FB97-4D70-9CD2-3ABFA05B7644}">
  <dimension ref="A1:I1256"/>
  <sheetViews>
    <sheetView zoomScale="98" zoomScaleNormal="98" workbookViewId="0">
      <selection activeCell="M1256" sqref="M1256"/>
    </sheetView>
  </sheetViews>
  <sheetFormatPr defaultRowHeight="18" x14ac:dyDescent="0.35"/>
  <cols>
    <col min="1" max="1" width="6.33203125" style="1" bestFit="1" customWidth="1"/>
    <col min="2" max="2" width="12.33203125" style="1" bestFit="1" customWidth="1"/>
    <col min="3" max="7" width="14.88671875" style="1" bestFit="1" customWidth="1"/>
    <col min="8" max="8" width="13.33203125" style="1" bestFit="1" customWidth="1"/>
    <col min="9" max="9" width="16" style="1" bestFit="1" customWidth="1"/>
    <col min="10" max="16384" width="8.88671875" style="1"/>
  </cols>
  <sheetData>
    <row r="1" spans="1:9" s="2" customFormat="1" ht="17.399999999999999" x14ac:dyDescent="0.3">
      <c r="A1" s="2" t="s">
        <v>8</v>
      </c>
      <c r="B1" s="2" t="s">
        <v>0</v>
      </c>
      <c r="C1" s="2" t="s">
        <v>5</v>
      </c>
      <c r="D1" s="2" t="s">
        <v>4</v>
      </c>
      <c r="E1" s="2" t="s">
        <v>2</v>
      </c>
      <c r="F1" s="2" t="s">
        <v>3</v>
      </c>
      <c r="G1" s="2" t="s">
        <v>1</v>
      </c>
      <c r="H1" s="2" t="s">
        <v>6</v>
      </c>
      <c r="I1" s="2" t="s">
        <v>1264</v>
      </c>
    </row>
    <row r="2" spans="1:9" x14ac:dyDescent="0.35">
      <c r="A2" s="1">
        <v>0</v>
      </c>
      <c r="B2" s="1" t="s">
        <v>9</v>
      </c>
      <c r="C2" s="1">
        <v>3700.6499020000001</v>
      </c>
      <c r="D2" s="1">
        <v>3700.6499020000001</v>
      </c>
      <c r="E2" s="1">
        <v>3769.98999</v>
      </c>
      <c r="F2" s="1">
        <v>3662.709961</v>
      </c>
      <c r="G2" s="1">
        <v>3764.610107</v>
      </c>
      <c r="H2" s="1">
        <v>5015000000</v>
      </c>
    </row>
    <row r="3" spans="1:9" x14ac:dyDescent="0.35">
      <c r="A3" s="1">
        <v>1</v>
      </c>
      <c r="B3" s="1" t="s">
        <v>10</v>
      </c>
      <c r="C3" s="1">
        <v>3726.860107</v>
      </c>
      <c r="D3" s="1">
        <v>3726.860107</v>
      </c>
      <c r="E3" s="1">
        <v>3737.830078</v>
      </c>
      <c r="F3" s="1">
        <v>3695.070068</v>
      </c>
      <c r="G3" s="1">
        <v>3698.0200199999999</v>
      </c>
      <c r="H3" s="1">
        <v>4591020000</v>
      </c>
      <c r="I3" s="1">
        <f>(C3-C2)/C2</f>
        <v>7.0825951370959645E-3</v>
      </c>
    </row>
    <row r="4" spans="1:9" x14ac:dyDescent="0.35">
      <c r="A4" s="1">
        <v>2</v>
      </c>
      <c r="B4" s="1" t="s">
        <v>11</v>
      </c>
      <c r="C4" s="1">
        <v>3748.139893</v>
      </c>
      <c r="D4" s="1">
        <v>3748.139893</v>
      </c>
      <c r="E4" s="1">
        <v>3783.040039</v>
      </c>
      <c r="F4" s="1">
        <v>3705.3400879999999</v>
      </c>
      <c r="G4" s="1">
        <v>3712.1999510000001</v>
      </c>
      <c r="H4" s="1">
        <v>6064110000</v>
      </c>
      <c r="I4" s="1">
        <f t="shared" ref="I4:I67" si="0">(C4-C3)/C3</f>
        <v>5.7098429747956345E-3</v>
      </c>
    </row>
    <row r="5" spans="1:9" x14ac:dyDescent="0.35">
      <c r="A5" s="1">
        <v>3</v>
      </c>
      <c r="B5" s="1" t="s">
        <v>12</v>
      </c>
      <c r="C5" s="1">
        <v>3803.790039</v>
      </c>
      <c r="D5" s="1">
        <v>3803.790039</v>
      </c>
      <c r="E5" s="1">
        <v>3811.5500489999999</v>
      </c>
      <c r="F5" s="1">
        <v>3764.709961</v>
      </c>
      <c r="G5" s="1">
        <v>3764.709961</v>
      </c>
      <c r="H5" s="1">
        <v>5099160000</v>
      </c>
      <c r="I5" s="1">
        <f t="shared" si="0"/>
        <v>1.484740366919916E-2</v>
      </c>
    </row>
    <row r="6" spans="1:9" x14ac:dyDescent="0.35">
      <c r="A6" s="1">
        <v>4</v>
      </c>
      <c r="B6" s="1" t="s">
        <v>13</v>
      </c>
      <c r="C6" s="1">
        <v>3824.679932</v>
      </c>
      <c r="D6" s="1">
        <v>3824.679932</v>
      </c>
      <c r="E6" s="1">
        <v>3826.6899410000001</v>
      </c>
      <c r="F6" s="1">
        <v>3783.6000979999999</v>
      </c>
      <c r="G6" s="1">
        <v>3815.0500489999999</v>
      </c>
      <c r="H6" s="1">
        <v>4773040000</v>
      </c>
      <c r="I6" s="1">
        <f t="shared" si="0"/>
        <v>5.4918627962682954E-3</v>
      </c>
    </row>
    <row r="7" spans="1:9" x14ac:dyDescent="0.35">
      <c r="A7" s="1">
        <v>5</v>
      </c>
      <c r="B7" s="1" t="s">
        <v>14</v>
      </c>
      <c r="C7" s="1">
        <v>3799.610107</v>
      </c>
      <c r="D7" s="1">
        <v>3799.610107</v>
      </c>
      <c r="E7" s="1">
        <v>3817.860107</v>
      </c>
      <c r="F7" s="1">
        <v>3789.0200199999999</v>
      </c>
      <c r="G7" s="1">
        <v>3803.139893</v>
      </c>
      <c r="H7" s="1">
        <v>4465430000</v>
      </c>
      <c r="I7" s="1">
        <f t="shared" si="0"/>
        <v>-6.5547511022420466E-3</v>
      </c>
    </row>
    <row r="8" spans="1:9" x14ac:dyDescent="0.35">
      <c r="A8" s="1">
        <v>6</v>
      </c>
      <c r="B8" s="1" t="s">
        <v>15</v>
      </c>
      <c r="C8" s="1">
        <v>3801.1899410000001</v>
      </c>
      <c r="D8" s="1">
        <v>3801.1899410000001</v>
      </c>
      <c r="E8" s="1">
        <v>3810.780029</v>
      </c>
      <c r="F8" s="1">
        <v>3776.51001</v>
      </c>
      <c r="G8" s="1">
        <v>3801.6201169999999</v>
      </c>
      <c r="H8" s="1">
        <v>4994950000</v>
      </c>
      <c r="I8" s="1">
        <f t="shared" si="0"/>
        <v>4.1578845079120086E-4</v>
      </c>
    </row>
    <row r="9" spans="1:9" x14ac:dyDescent="0.35">
      <c r="A9" s="1">
        <v>7</v>
      </c>
      <c r="B9" s="1" t="s">
        <v>16</v>
      </c>
      <c r="C9" s="1">
        <v>3809.8400879999999</v>
      </c>
      <c r="D9" s="1">
        <v>3809.8400879999999</v>
      </c>
      <c r="E9" s="1">
        <v>3820.959961</v>
      </c>
      <c r="F9" s="1">
        <v>3791.5</v>
      </c>
      <c r="G9" s="1">
        <v>3802.2299800000001</v>
      </c>
      <c r="H9" s="1">
        <v>4602510000</v>
      </c>
      <c r="I9" s="1">
        <f t="shared" si="0"/>
        <v>2.2756418737981273E-3</v>
      </c>
    </row>
    <row r="10" spans="1:9" x14ac:dyDescent="0.35">
      <c r="A10" s="1">
        <v>8</v>
      </c>
      <c r="B10" s="1" t="s">
        <v>17</v>
      </c>
      <c r="C10" s="1">
        <v>3795.540039</v>
      </c>
      <c r="D10" s="1">
        <v>3795.540039</v>
      </c>
      <c r="E10" s="1">
        <v>3823.6000979999999</v>
      </c>
      <c r="F10" s="1">
        <v>3792.860107</v>
      </c>
      <c r="G10" s="1">
        <v>3814.9799800000001</v>
      </c>
      <c r="H10" s="1">
        <v>5198480000</v>
      </c>
      <c r="I10" s="1">
        <f t="shared" si="0"/>
        <v>-3.7534512393423963E-3</v>
      </c>
    </row>
    <row r="11" spans="1:9" x14ac:dyDescent="0.35">
      <c r="A11" s="1">
        <v>9</v>
      </c>
      <c r="B11" s="1" t="s">
        <v>18</v>
      </c>
      <c r="C11" s="1">
        <v>3768.25</v>
      </c>
      <c r="D11" s="1">
        <v>3768.25</v>
      </c>
      <c r="E11" s="1">
        <v>3788.7299800000001</v>
      </c>
      <c r="F11" s="1">
        <v>3749.6201169999999</v>
      </c>
      <c r="G11" s="1">
        <v>3788.7299800000001</v>
      </c>
      <c r="H11" s="1">
        <v>5369820000</v>
      </c>
      <c r="I11" s="1">
        <f t="shared" si="0"/>
        <v>-7.1900279590226658E-3</v>
      </c>
    </row>
    <row r="12" spans="1:9" x14ac:dyDescent="0.35">
      <c r="A12" s="1">
        <v>10</v>
      </c>
      <c r="B12" s="1" t="s">
        <v>19</v>
      </c>
      <c r="C12" s="1">
        <v>3798.9099120000001</v>
      </c>
      <c r="D12" s="1">
        <v>3798.9099120000001</v>
      </c>
      <c r="E12" s="1">
        <v>3804.530029</v>
      </c>
      <c r="F12" s="1">
        <v>3780.3701169999999</v>
      </c>
      <c r="G12" s="1">
        <v>3781.8798830000001</v>
      </c>
      <c r="H12" s="1">
        <v>5014440000</v>
      </c>
      <c r="I12" s="1">
        <f t="shared" si="0"/>
        <v>8.1363794864990589E-3</v>
      </c>
    </row>
    <row r="13" spans="1:9" x14ac:dyDescent="0.35">
      <c r="A13" s="1">
        <v>11</v>
      </c>
      <c r="B13" s="1" t="s">
        <v>20</v>
      </c>
      <c r="C13" s="1">
        <v>3851.8500979999999</v>
      </c>
      <c r="D13" s="1">
        <v>3851.8500979999999</v>
      </c>
      <c r="E13" s="1">
        <v>3859.75</v>
      </c>
      <c r="F13" s="1">
        <v>3816.219971</v>
      </c>
      <c r="G13" s="1">
        <v>3816.219971</v>
      </c>
      <c r="H13" s="1">
        <v>4566190000</v>
      </c>
      <c r="I13" s="1">
        <f t="shared" si="0"/>
        <v>1.3935625541625061E-2</v>
      </c>
    </row>
    <row r="14" spans="1:9" x14ac:dyDescent="0.35">
      <c r="A14" s="1">
        <v>12</v>
      </c>
      <c r="B14" s="1" t="s">
        <v>21</v>
      </c>
      <c r="C14" s="1">
        <v>3853.070068</v>
      </c>
      <c r="D14" s="1">
        <v>3853.070068</v>
      </c>
      <c r="E14" s="1">
        <v>3861.4499510000001</v>
      </c>
      <c r="F14" s="1">
        <v>3845.0500489999999</v>
      </c>
      <c r="G14" s="1">
        <v>3857.459961</v>
      </c>
      <c r="H14" s="1">
        <v>4501760000</v>
      </c>
      <c r="I14" s="1">
        <f t="shared" si="0"/>
        <v>3.1672312498182348E-4</v>
      </c>
    </row>
    <row r="15" spans="1:9" x14ac:dyDescent="0.35">
      <c r="A15" s="1">
        <v>13</v>
      </c>
      <c r="B15" s="1" t="s">
        <v>22</v>
      </c>
      <c r="C15" s="1">
        <v>3841.469971</v>
      </c>
      <c r="D15" s="1">
        <v>3841.469971</v>
      </c>
      <c r="E15" s="1">
        <v>3852.3100589999999</v>
      </c>
      <c r="F15" s="1">
        <v>3830.4099120000001</v>
      </c>
      <c r="G15" s="1">
        <v>3844.23999</v>
      </c>
      <c r="H15" s="1">
        <v>5110890000</v>
      </c>
      <c r="I15" s="1">
        <f t="shared" si="0"/>
        <v>-3.010611485199704E-3</v>
      </c>
    </row>
    <row r="16" spans="1:9" x14ac:dyDescent="0.35">
      <c r="A16" s="1">
        <v>14</v>
      </c>
      <c r="B16" s="1" t="s">
        <v>23</v>
      </c>
      <c r="C16" s="1">
        <v>3855.360107</v>
      </c>
      <c r="D16" s="1">
        <v>3855.360107</v>
      </c>
      <c r="E16" s="1">
        <v>3859.2299800000001</v>
      </c>
      <c r="F16" s="1">
        <v>3797.1599120000001</v>
      </c>
      <c r="G16" s="1">
        <v>3851.679932</v>
      </c>
      <c r="H16" s="1">
        <v>7000840000</v>
      </c>
      <c r="I16" s="1">
        <f t="shared" si="0"/>
        <v>3.6158387557001116E-3</v>
      </c>
    </row>
    <row r="17" spans="1:9" x14ac:dyDescent="0.35">
      <c r="A17" s="1">
        <v>15</v>
      </c>
      <c r="B17" s="1" t="s">
        <v>24</v>
      </c>
      <c r="C17" s="1">
        <v>3849.6201169999999</v>
      </c>
      <c r="D17" s="1">
        <v>3849.6201169999999</v>
      </c>
      <c r="E17" s="1">
        <v>3870.8999020000001</v>
      </c>
      <c r="F17" s="1">
        <v>3847.780029</v>
      </c>
      <c r="G17" s="1">
        <v>3862.959961</v>
      </c>
      <c r="H17" s="1">
        <v>6137500000</v>
      </c>
      <c r="I17" s="1">
        <f t="shared" si="0"/>
        <v>-1.4888336862692018E-3</v>
      </c>
    </row>
    <row r="18" spans="1:9" x14ac:dyDescent="0.35">
      <c r="A18" s="1">
        <v>16</v>
      </c>
      <c r="B18" s="1" t="s">
        <v>25</v>
      </c>
      <c r="C18" s="1">
        <v>3750.7700199999999</v>
      </c>
      <c r="D18" s="1">
        <v>3750.7700199999999</v>
      </c>
      <c r="E18" s="1">
        <v>3836.830078</v>
      </c>
      <c r="F18" s="1">
        <v>3732.4799800000001</v>
      </c>
      <c r="G18" s="1">
        <v>3836.830078</v>
      </c>
      <c r="H18" s="1">
        <v>9976520000</v>
      </c>
      <c r="I18" s="1">
        <f t="shared" si="0"/>
        <v>-2.5677883530241332E-2</v>
      </c>
    </row>
    <row r="19" spans="1:9" x14ac:dyDescent="0.35">
      <c r="A19" s="1">
        <v>17</v>
      </c>
      <c r="B19" s="1" t="s">
        <v>26</v>
      </c>
      <c r="C19" s="1">
        <v>3787.3798830000001</v>
      </c>
      <c r="D19" s="1">
        <v>3787.3798830000001</v>
      </c>
      <c r="E19" s="1">
        <v>3830.5</v>
      </c>
      <c r="F19" s="1">
        <v>3755.75</v>
      </c>
      <c r="G19" s="1">
        <v>3755.75</v>
      </c>
      <c r="H19" s="1">
        <v>6992770000</v>
      </c>
      <c r="I19" s="1">
        <f t="shared" si="0"/>
        <v>9.7606258994253486E-3</v>
      </c>
    </row>
    <row r="20" spans="1:9" x14ac:dyDescent="0.35">
      <c r="A20" s="1">
        <v>18</v>
      </c>
      <c r="B20" s="1" t="s">
        <v>27</v>
      </c>
      <c r="C20" s="1">
        <v>3714.23999</v>
      </c>
      <c r="D20" s="1">
        <v>3714.23999</v>
      </c>
      <c r="E20" s="1">
        <v>3778.0500489999999</v>
      </c>
      <c r="F20" s="1">
        <v>3694.1201169999999</v>
      </c>
      <c r="G20" s="1">
        <v>3778.0500489999999</v>
      </c>
      <c r="H20" s="1">
        <v>6643370000</v>
      </c>
      <c r="I20" s="1">
        <f t="shared" si="0"/>
        <v>-1.9311475283558196E-2</v>
      </c>
    </row>
    <row r="21" spans="1:9" x14ac:dyDescent="0.35">
      <c r="A21" s="1">
        <v>19</v>
      </c>
      <c r="B21" s="1" t="s">
        <v>28</v>
      </c>
      <c r="C21" s="1">
        <v>3773.860107</v>
      </c>
      <c r="D21" s="1">
        <v>3773.860107</v>
      </c>
      <c r="E21" s="1">
        <v>3784.320068</v>
      </c>
      <c r="F21" s="1">
        <v>3725.6201169999999</v>
      </c>
      <c r="G21" s="1">
        <v>3731.169922</v>
      </c>
      <c r="H21" s="1">
        <v>5436230000</v>
      </c>
      <c r="I21" s="1">
        <f t="shared" si="0"/>
        <v>1.6051767564970926E-2</v>
      </c>
    </row>
    <row r="22" spans="1:9" x14ac:dyDescent="0.35">
      <c r="A22" s="1">
        <v>20</v>
      </c>
      <c r="B22" s="1" t="s">
        <v>29</v>
      </c>
      <c r="C22" s="1">
        <v>3826.3100589999999</v>
      </c>
      <c r="D22" s="1">
        <v>3826.3100589999999</v>
      </c>
      <c r="E22" s="1">
        <v>3843.0900879999999</v>
      </c>
      <c r="F22" s="1">
        <v>3791.8400879999999</v>
      </c>
      <c r="G22" s="1">
        <v>3791.8400879999999</v>
      </c>
      <c r="H22" s="1">
        <v>5514090000</v>
      </c>
      <c r="I22" s="1">
        <f t="shared" si="0"/>
        <v>1.3898223705407727E-2</v>
      </c>
    </row>
    <row r="23" spans="1:9" x14ac:dyDescent="0.35">
      <c r="A23" s="1">
        <v>21</v>
      </c>
      <c r="B23" s="1" t="s">
        <v>30</v>
      </c>
      <c r="C23" s="1">
        <v>3830.169922</v>
      </c>
      <c r="D23" s="1">
        <v>3830.169922</v>
      </c>
      <c r="E23" s="1">
        <v>3847.51001</v>
      </c>
      <c r="F23" s="1">
        <v>3816.679932</v>
      </c>
      <c r="G23" s="1">
        <v>3840.2700199999999</v>
      </c>
      <c r="H23" s="1">
        <v>4864870000</v>
      </c>
      <c r="I23" s="1">
        <f t="shared" si="0"/>
        <v>1.0087690073419982E-3</v>
      </c>
    </row>
    <row r="24" spans="1:9" x14ac:dyDescent="0.35">
      <c r="A24" s="1">
        <v>22</v>
      </c>
      <c r="B24" s="1" t="s">
        <v>31</v>
      </c>
      <c r="C24" s="1">
        <v>3871.73999</v>
      </c>
      <c r="D24" s="1">
        <v>3871.73999</v>
      </c>
      <c r="E24" s="1">
        <v>3872.419922</v>
      </c>
      <c r="F24" s="1">
        <v>3836.6599120000001</v>
      </c>
      <c r="G24" s="1">
        <v>3836.6599120000001</v>
      </c>
      <c r="H24" s="1">
        <v>4879240000</v>
      </c>
      <c r="I24" s="1">
        <f t="shared" si="0"/>
        <v>1.0853322136239154E-2</v>
      </c>
    </row>
    <row r="25" spans="1:9" x14ac:dyDescent="0.35">
      <c r="A25" s="1">
        <v>23</v>
      </c>
      <c r="B25" s="1" t="s">
        <v>32</v>
      </c>
      <c r="C25" s="1">
        <v>3886.830078</v>
      </c>
      <c r="D25" s="1">
        <v>3886.830078</v>
      </c>
      <c r="E25" s="1">
        <v>3894.5600589999999</v>
      </c>
      <c r="F25" s="1">
        <v>3874.929932</v>
      </c>
      <c r="G25" s="1">
        <v>3878.3000489999999</v>
      </c>
      <c r="H25" s="1">
        <v>4879470000</v>
      </c>
      <c r="I25" s="1">
        <f t="shared" si="0"/>
        <v>3.8974951931108172E-3</v>
      </c>
    </row>
    <row r="26" spans="1:9" x14ac:dyDescent="0.35">
      <c r="A26" s="1">
        <v>24</v>
      </c>
      <c r="B26" s="1" t="s">
        <v>33</v>
      </c>
      <c r="C26" s="1">
        <v>3915.5900879999999</v>
      </c>
      <c r="D26" s="1">
        <v>3915.5900879999999</v>
      </c>
      <c r="E26" s="1">
        <v>3915.7700199999999</v>
      </c>
      <c r="F26" s="1">
        <v>3892.5900879999999</v>
      </c>
      <c r="G26" s="1">
        <v>3892.5900879999999</v>
      </c>
      <c r="H26" s="1">
        <v>4648360000</v>
      </c>
      <c r="I26" s="1">
        <f t="shared" si="0"/>
        <v>7.399348420911331E-3</v>
      </c>
    </row>
    <row r="27" spans="1:9" x14ac:dyDescent="0.35">
      <c r="A27" s="1">
        <v>25</v>
      </c>
      <c r="B27" s="1" t="s">
        <v>34</v>
      </c>
      <c r="C27" s="1">
        <v>3911.2299800000001</v>
      </c>
      <c r="D27" s="1">
        <v>3911.2299800000001</v>
      </c>
      <c r="E27" s="1">
        <v>3918.3500979999999</v>
      </c>
      <c r="F27" s="1">
        <v>3902.639893</v>
      </c>
      <c r="G27" s="1">
        <v>3910.48999</v>
      </c>
      <c r="H27" s="1">
        <v>4568320000</v>
      </c>
      <c r="I27" s="1">
        <f t="shared" si="0"/>
        <v>-1.1135251397642865E-3</v>
      </c>
    </row>
    <row r="28" spans="1:9" x14ac:dyDescent="0.35">
      <c r="A28" s="1">
        <v>26</v>
      </c>
      <c r="B28" s="1" t="s">
        <v>35</v>
      </c>
      <c r="C28" s="1">
        <v>3909.8798830000001</v>
      </c>
      <c r="D28" s="1">
        <v>3909.8798830000001</v>
      </c>
      <c r="E28" s="1">
        <v>3931.5</v>
      </c>
      <c r="F28" s="1">
        <v>3884.9399410000001</v>
      </c>
      <c r="G28" s="1">
        <v>3920.780029</v>
      </c>
      <c r="H28" s="1">
        <v>4837070000</v>
      </c>
      <c r="I28" s="1">
        <f t="shared" si="0"/>
        <v>-3.4518476461463539E-4</v>
      </c>
    </row>
    <row r="29" spans="1:9" x14ac:dyDescent="0.35">
      <c r="A29" s="1">
        <v>27</v>
      </c>
      <c r="B29" s="1" t="s">
        <v>36</v>
      </c>
      <c r="C29" s="1">
        <v>3916.3798830000001</v>
      </c>
      <c r="D29" s="1">
        <v>3916.3798830000001</v>
      </c>
      <c r="E29" s="1">
        <v>3925.98999</v>
      </c>
      <c r="F29" s="1">
        <v>3890.389893</v>
      </c>
      <c r="G29" s="1">
        <v>3916.3999020000001</v>
      </c>
      <c r="H29" s="1">
        <v>4590960000</v>
      </c>
      <c r="I29" s="1">
        <f t="shared" si="0"/>
        <v>1.6624551634595573E-3</v>
      </c>
    </row>
    <row r="30" spans="1:9" x14ac:dyDescent="0.35">
      <c r="A30" s="1">
        <v>28</v>
      </c>
      <c r="B30" s="1" t="s">
        <v>37</v>
      </c>
      <c r="C30" s="1">
        <v>3934.830078</v>
      </c>
      <c r="D30" s="1">
        <v>3934.830078</v>
      </c>
      <c r="E30" s="1">
        <v>3937.2299800000001</v>
      </c>
      <c r="F30" s="1">
        <v>3905.780029</v>
      </c>
      <c r="G30" s="1">
        <v>3911.6499020000001</v>
      </c>
      <c r="H30" s="1">
        <v>4135060000</v>
      </c>
      <c r="I30" s="1">
        <f t="shared" si="0"/>
        <v>4.7110330333600819E-3</v>
      </c>
    </row>
    <row r="31" spans="1:9" x14ac:dyDescent="0.35">
      <c r="A31" s="1">
        <v>29</v>
      </c>
      <c r="B31" s="1" t="s">
        <v>38</v>
      </c>
      <c r="C31" s="1">
        <v>3932.5900879999999</v>
      </c>
      <c r="D31" s="1">
        <v>3932.5900879999999</v>
      </c>
      <c r="E31" s="1">
        <v>3950.429932</v>
      </c>
      <c r="F31" s="1">
        <v>3923.8500979999999</v>
      </c>
      <c r="G31" s="1">
        <v>3939.610107</v>
      </c>
      <c r="H31" s="1">
        <v>5058990000</v>
      </c>
      <c r="I31" s="1">
        <f t="shared" si="0"/>
        <v>-5.6927235880502856E-4</v>
      </c>
    </row>
    <row r="32" spans="1:9" x14ac:dyDescent="0.35">
      <c r="A32" s="1">
        <v>30</v>
      </c>
      <c r="B32" s="1" t="s">
        <v>39</v>
      </c>
      <c r="C32" s="1">
        <v>3931.330078</v>
      </c>
      <c r="D32" s="1">
        <v>3931.330078</v>
      </c>
      <c r="E32" s="1">
        <v>3933.610107</v>
      </c>
      <c r="F32" s="1">
        <v>3900.429932</v>
      </c>
      <c r="G32" s="1">
        <v>3918.5</v>
      </c>
      <c r="H32" s="1">
        <v>4730650000</v>
      </c>
      <c r="I32" s="1">
        <f t="shared" si="0"/>
        <v>-3.2040206881586529E-4</v>
      </c>
    </row>
    <row r="33" spans="1:9" x14ac:dyDescent="0.35">
      <c r="A33" s="1">
        <v>31</v>
      </c>
      <c r="B33" s="1" t="s">
        <v>40</v>
      </c>
      <c r="C33" s="1">
        <v>3913.969971</v>
      </c>
      <c r="D33" s="1">
        <v>3913.969971</v>
      </c>
      <c r="E33" s="1">
        <v>3921.9799800000001</v>
      </c>
      <c r="F33" s="1">
        <v>3885.030029</v>
      </c>
      <c r="G33" s="1">
        <v>3915.860107</v>
      </c>
      <c r="H33" s="1">
        <v>4793650000</v>
      </c>
      <c r="I33" s="1">
        <f t="shared" si="0"/>
        <v>-4.4158355201839583E-3</v>
      </c>
    </row>
    <row r="34" spans="1:9" x14ac:dyDescent="0.35">
      <c r="A34" s="1">
        <v>32</v>
      </c>
      <c r="B34" s="1" t="s">
        <v>41</v>
      </c>
      <c r="C34" s="1">
        <v>3906.709961</v>
      </c>
      <c r="D34" s="1">
        <v>3906.709961</v>
      </c>
      <c r="E34" s="1">
        <v>3930.4099120000001</v>
      </c>
      <c r="F34" s="1">
        <v>3903.070068</v>
      </c>
      <c r="G34" s="1">
        <v>3921.1599120000001</v>
      </c>
      <c r="H34" s="1">
        <v>4845320000</v>
      </c>
      <c r="I34" s="1">
        <f t="shared" si="0"/>
        <v>-1.8548967043160705E-3</v>
      </c>
    </row>
    <row r="35" spans="1:9" x14ac:dyDescent="0.35">
      <c r="A35" s="1">
        <v>33</v>
      </c>
      <c r="B35" s="1" t="s">
        <v>42</v>
      </c>
      <c r="C35" s="1">
        <v>3876.5</v>
      </c>
      <c r="D35" s="1">
        <v>3876.5</v>
      </c>
      <c r="E35" s="1">
        <v>3902.919922</v>
      </c>
      <c r="F35" s="1">
        <v>3874.709961</v>
      </c>
      <c r="G35" s="1">
        <v>3885.5500489999999</v>
      </c>
      <c r="H35" s="1">
        <v>5917100000</v>
      </c>
      <c r="I35" s="1">
        <f t="shared" si="0"/>
        <v>-7.7328394740282134E-3</v>
      </c>
    </row>
    <row r="36" spans="1:9" x14ac:dyDescent="0.35">
      <c r="A36" s="1">
        <v>34</v>
      </c>
      <c r="B36" s="1" t="s">
        <v>43</v>
      </c>
      <c r="C36" s="1">
        <v>3881.3701169999999</v>
      </c>
      <c r="D36" s="1">
        <v>3881.3701169999999</v>
      </c>
      <c r="E36" s="1">
        <v>3895.9799800000001</v>
      </c>
      <c r="F36" s="1">
        <v>3805.5900879999999</v>
      </c>
      <c r="G36" s="1">
        <v>3857.070068</v>
      </c>
      <c r="H36" s="1">
        <v>6296610000</v>
      </c>
      <c r="I36" s="1">
        <f t="shared" si="0"/>
        <v>1.2563180704243354E-3</v>
      </c>
    </row>
    <row r="37" spans="1:9" x14ac:dyDescent="0.35">
      <c r="A37" s="1">
        <v>35</v>
      </c>
      <c r="B37" s="1" t="s">
        <v>44</v>
      </c>
      <c r="C37" s="1">
        <v>3925.429932</v>
      </c>
      <c r="D37" s="1">
        <v>3925.429932</v>
      </c>
      <c r="E37" s="1">
        <v>3928.6499020000001</v>
      </c>
      <c r="F37" s="1">
        <v>3859.6000979999999</v>
      </c>
      <c r="G37" s="1">
        <v>3873.709961</v>
      </c>
      <c r="H37" s="1">
        <v>6012790000</v>
      </c>
      <c r="I37" s="1">
        <f t="shared" si="0"/>
        <v>1.135161390742476E-2</v>
      </c>
    </row>
    <row r="38" spans="1:9" x14ac:dyDescent="0.35">
      <c r="A38" s="1">
        <v>36</v>
      </c>
      <c r="B38" s="1" t="s">
        <v>45</v>
      </c>
      <c r="C38" s="1">
        <v>3829.3400879999999</v>
      </c>
      <c r="D38" s="1">
        <v>3829.3400879999999</v>
      </c>
      <c r="E38" s="1">
        <v>3925.0200199999999</v>
      </c>
      <c r="F38" s="1">
        <v>3814.040039</v>
      </c>
      <c r="G38" s="1">
        <v>3915.8000489999999</v>
      </c>
      <c r="H38" s="1">
        <v>6547470000</v>
      </c>
      <c r="I38" s="1">
        <f t="shared" si="0"/>
        <v>-2.4478807586572428E-2</v>
      </c>
    </row>
    <row r="39" spans="1:9" x14ac:dyDescent="0.35">
      <c r="A39" s="1">
        <v>37</v>
      </c>
      <c r="B39" s="1" t="s">
        <v>46</v>
      </c>
      <c r="C39" s="1">
        <v>3811.1499020000001</v>
      </c>
      <c r="D39" s="1">
        <v>3811.1499020000001</v>
      </c>
      <c r="E39" s="1">
        <v>3861.080078</v>
      </c>
      <c r="F39" s="1">
        <v>3789.540039</v>
      </c>
      <c r="G39" s="1">
        <v>3839.6599120000001</v>
      </c>
      <c r="H39" s="1">
        <v>6526070000</v>
      </c>
      <c r="I39" s="1">
        <f t="shared" si="0"/>
        <v>-4.7502142880968927E-3</v>
      </c>
    </row>
    <row r="40" spans="1:9" x14ac:dyDescent="0.35">
      <c r="A40" s="1">
        <v>38</v>
      </c>
      <c r="B40" s="1" t="s">
        <v>47</v>
      </c>
      <c r="C40" s="1">
        <v>3901.820068</v>
      </c>
      <c r="D40" s="1">
        <v>3901.820068</v>
      </c>
      <c r="E40" s="1">
        <v>3914.5</v>
      </c>
      <c r="F40" s="1">
        <v>3842.51001</v>
      </c>
      <c r="G40" s="1">
        <v>3842.51001</v>
      </c>
      <c r="H40" s="1">
        <v>5114820000</v>
      </c>
      <c r="I40" s="1">
        <f t="shared" si="0"/>
        <v>2.3790763504846227E-2</v>
      </c>
    </row>
    <row r="41" spans="1:9" x14ac:dyDescent="0.35">
      <c r="A41" s="1">
        <v>39</v>
      </c>
      <c r="B41" s="1" t="s">
        <v>48</v>
      </c>
      <c r="C41" s="1">
        <v>3870.290039</v>
      </c>
      <c r="D41" s="1">
        <v>3870.290039</v>
      </c>
      <c r="E41" s="1">
        <v>3906.4099120000001</v>
      </c>
      <c r="F41" s="1">
        <v>3868.570068</v>
      </c>
      <c r="G41" s="1">
        <v>3903.639893</v>
      </c>
      <c r="H41" s="1">
        <v>5536010000</v>
      </c>
      <c r="I41" s="1">
        <f t="shared" si="0"/>
        <v>-8.0808516155286766E-3</v>
      </c>
    </row>
    <row r="42" spans="1:9" x14ac:dyDescent="0.35">
      <c r="A42" s="1">
        <v>40</v>
      </c>
      <c r="B42" s="1" t="s">
        <v>49</v>
      </c>
      <c r="C42" s="1">
        <v>3819.719971</v>
      </c>
      <c r="D42" s="1">
        <v>3819.719971</v>
      </c>
      <c r="E42" s="1">
        <v>3874.469971</v>
      </c>
      <c r="F42" s="1">
        <v>3818.860107</v>
      </c>
      <c r="G42" s="1">
        <v>3863.98999</v>
      </c>
      <c r="H42" s="1">
        <v>6173660000</v>
      </c>
      <c r="I42" s="1">
        <f t="shared" si="0"/>
        <v>-1.306622177935435E-2</v>
      </c>
    </row>
    <row r="43" spans="1:9" x14ac:dyDescent="0.35">
      <c r="A43" s="1">
        <v>41</v>
      </c>
      <c r="B43" s="1" t="s">
        <v>50</v>
      </c>
      <c r="C43" s="1">
        <v>3768.469971</v>
      </c>
      <c r="D43" s="1">
        <v>3768.469971</v>
      </c>
      <c r="E43" s="1">
        <v>3843.669922</v>
      </c>
      <c r="F43" s="1">
        <v>3723.3400879999999</v>
      </c>
      <c r="G43" s="1">
        <v>3818.530029</v>
      </c>
      <c r="H43" s="1">
        <v>7195400000</v>
      </c>
      <c r="I43" s="1">
        <f t="shared" si="0"/>
        <v>-1.3417213929057419E-2</v>
      </c>
    </row>
    <row r="44" spans="1:9" x14ac:dyDescent="0.35">
      <c r="A44" s="1">
        <v>42</v>
      </c>
      <c r="B44" s="1" t="s">
        <v>51</v>
      </c>
      <c r="C44" s="1">
        <v>3841.9399410000001</v>
      </c>
      <c r="D44" s="1">
        <v>3841.9399410000001</v>
      </c>
      <c r="E44" s="1">
        <v>3851.6899410000001</v>
      </c>
      <c r="F44" s="1">
        <v>3730.1899410000001</v>
      </c>
      <c r="G44" s="1">
        <v>3793.580078</v>
      </c>
      <c r="H44" s="1">
        <v>6851070000</v>
      </c>
      <c r="I44" s="1">
        <f t="shared" si="0"/>
        <v>1.9495968009665243E-2</v>
      </c>
    </row>
    <row r="45" spans="1:9" x14ac:dyDescent="0.35">
      <c r="A45" s="1">
        <v>43</v>
      </c>
      <c r="B45" s="1" t="s">
        <v>52</v>
      </c>
      <c r="C45" s="1">
        <v>3821.3500979999999</v>
      </c>
      <c r="D45" s="1">
        <v>3821.3500979999999</v>
      </c>
      <c r="E45" s="1">
        <v>3881.0600589999999</v>
      </c>
      <c r="F45" s="1">
        <v>3819.25</v>
      </c>
      <c r="G45" s="1">
        <v>3844.389893</v>
      </c>
      <c r="H45" s="1">
        <v>5871710000</v>
      </c>
      <c r="I45" s="1">
        <f t="shared" si="0"/>
        <v>-5.3592308355140421E-3</v>
      </c>
    </row>
    <row r="46" spans="1:9" x14ac:dyDescent="0.35">
      <c r="A46" s="1">
        <v>44</v>
      </c>
      <c r="B46" s="1" t="s">
        <v>53</v>
      </c>
      <c r="C46" s="1">
        <v>3875.4399410000001</v>
      </c>
      <c r="D46" s="1">
        <v>3875.4399410000001</v>
      </c>
      <c r="E46" s="1">
        <v>3903.76001</v>
      </c>
      <c r="F46" s="1">
        <v>3851.929932</v>
      </c>
      <c r="G46" s="1">
        <v>3851.929932</v>
      </c>
      <c r="H46" s="1">
        <v>5513560000</v>
      </c>
      <c r="I46" s="1">
        <f t="shared" si="0"/>
        <v>1.4154642106283193E-2</v>
      </c>
    </row>
    <row r="47" spans="1:9" x14ac:dyDescent="0.35">
      <c r="A47" s="1">
        <v>45</v>
      </c>
      <c r="B47" s="1" t="s">
        <v>54</v>
      </c>
      <c r="C47" s="1">
        <v>3898.8100589999999</v>
      </c>
      <c r="D47" s="1">
        <v>3898.8100589999999</v>
      </c>
      <c r="E47" s="1">
        <v>3917.3500979999999</v>
      </c>
      <c r="F47" s="1">
        <v>3885.7299800000001</v>
      </c>
      <c r="G47" s="1">
        <v>3891.98999</v>
      </c>
      <c r="H47" s="1">
        <v>5847380000</v>
      </c>
      <c r="I47" s="1">
        <f t="shared" si="0"/>
        <v>6.0303135529870978E-3</v>
      </c>
    </row>
    <row r="48" spans="1:9" x14ac:dyDescent="0.35">
      <c r="A48" s="1">
        <v>46</v>
      </c>
      <c r="B48" s="1" t="s">
        <v>55</v>
      </c>
      <c r="C48" s="1">
        <v>3939.3400879999999</v>
      </c>
      <c r="D48" s="1">
        <v>3939.3400879999999</v>
      </c>
      <c r="E48" s="1">
        <v>3960.2700199999999</v>
      </c>
      <c r="F48" s="1">
        <v>3915.540039</v>
      </c>
      <c r="G48" s="1">
        <v>3915.540039</v>
      </c>
      <c r="H48" s="1">
        <v>5312880000</v>
      </c>
      <c r="I48" s="1">
        <f t="shared" si="0"/>
        <v>1.0395486927207606E-2</v>
      </c>
    </row>
    <row r="49" spans="1:9" x14ac:dyDescent="0.35">
      <c r="A49" s="1">
        <v>47</v>
      </c>
      <c r="B49" s="1" t="s">
        <v>56</v>
      </c>
      <c r="C49" s="1">
        <v>3943.3400879999999</v>
      </c>
      <c r="D49" s="1">
        <v>3943.3400879999999</v>
      </c>
      <c r="E49" s="1">
        <v>3944.98999</v>
      </c>
      <c r="F49" s="1">
        <v>3915.209961</v>
      </c>
      <c r="G49" s="1">
        <v>3924.5200199999999</v>
      </c>
      <c r="H49" s="1">
        <v>4476280000</v>
      </c>
      <c r="I49" s="1">
        <f t="shared" si="0"/>
        <v>1.0153984958508108E-3</v>
      </c>
    </row>
    <row r="50" spans="1:9" x14ac:dyDescent="0.35">
      <c r="A50" s="1">
        <v>48</v>
      </c>
      <c r="B50" s="1" t="s">
        <v>57</v>
      </c>
      <c r="C50" s="1">
        <v>3968.9399410000001</v>
      </c>
      <c r="D50" s="1">
        <v>3968.9399410000001</v>
      </c>
      <c r="E50" s="1">
        <v>3970.080078</v>
      </c>
      <c r="F50" s="1">
        <v>3923.540039</v>
      </c>
      <c r="G50" s="1">
        <v>3942.959961</v>
      </c>
      <c r="H50" s="1">
        <v>4900100000</v>
      </c>
      <c r="I50" s="1">
        <f t="shared" si="0"/>
        <v>6.4919211705587402E-3</v>
      </c>
    </row>
    <row r="51" spans="1:9" x14ac:dyDescent="0.35">
      <c r="A51" s="1">
        <v>49</v>
      </c>
      <c r="B51" s="1" t="s">
        <v>58</v>
      </c>
      <c r="C51" s="1">
        <v>3962.709961</v>
      </c>
      <c r="D51" s="1">
        <v>3962.709961</v>
      </c>
      <c r="E51" s="1">
        <v>3981.040039</v>
      </c>
      <c r="F51" s="1">
        <v>3953.4399410000001</v>
      </c>
      <c r="G51" s="1">
        <v>3973.5900879999999</v>
      </c>
      <c r="H51" s="1">
        <v>4613080000</v>
      </c>
      <c r="I51" s="1">
        <f t="shared" si="0"/>
        <v>-1.5696836164344641E-3</v>
      </c>
    </row>
    <row r="52" spans="1:9" x14ac:dyDescent="0.35">
      <c r="A52" s="1">
        <v>50</v>
      </c>
      <c r="B52" s="1" t="s">
        <v>59</v>
      </c>
      <c r="C52" s="1">
        <v>3974.1201169999999</v>
      </c>
      <c r="D52" s="1">
        <v>3974.1201169999999</v>
      </c>
      <c r="E52" s="1">
        <v>3983.8701169999999</v>
      </c>
      <c r="F52" s="1">
        <v>3935.73999</v>
      </c>
      <c r="G52" s="1">
        <v>3949.570068</v>
      </c>
      <c r="H52" s="1">
        <v>4561660000</v>
      </c>
      <c r="I52" s="1">
        <f t="shared" si="0"/>
        <v>2.8793820673972651E-3</v>
      </c>
    </row>
    <row r="53" spans="1:9" x14ac:dyDescent="0.35">
      <c r="A53" s="1">
        <v>51</v>
      </c>
      <c r="B53" s="1" t="s">
        <v>60</v>
      </c>
      <c r="C53" s="1">
        <v>3915.459961</v>
      </c>
      <c r="D53" s="1">
        <v>3915.459961</v>
      </c>
      <c r="E53" s="1">
        <v>3969.6201169999999</v>
      </c>
      <c r="F53" s="1">
        <v>3910.860107</v>
      </c>
      <c r="G53" s="1">
        <v>3953.5</v>
      </c>
      <c r="H53" s="1">
        <v>5118590000</v>
      </c>
      <c r="I53" s="1">
        <f t="shared" si="0"/>
        <v>-1.4760539257248604E-2</v>
      </c>
    </row>
    <row r="54" spans="1:9" x14ac:dyDescent="0.35">
      <c r="A54" s="1">
        <v>52</v>
      </c>
      <c r="B54" s="1" t="s">
        <v>61</v>
      </c>
      <c r="C54" s="1">
        <v>3913.1000979999999</v>
      </c>
      <c r="D54" s="1">
        <v>3913.1000979999999</v>
      </c>
      <c r="E54" s="1">
        <v>3930.1201169999999</v>
      </c>
      <c r="F54" s="1">
        <v>3886.75</v>
      </c>
      <c r="G54" s="1">
        <v>3913.139893</v>
      </c>
      <c r="H54" s="1">
        <v>7757420000</v>
      </c>
      <c r="I54" s="1">
        <f t="shared" si="0"/>
        <v>-6.0270390286341435E-4</v>
      </c>
    </row>
    <row r="55" spans="1:9" x14ac:dyDescent="0.35">
      <c r="A55" s="1">
        <v>53</v>
      </c>
      <c r="B55" s="1" t="s">
        <v>62</v>
      </c>
      <c r="C55" s="1">
        <v>3940.5900879999999</v>
      </c>
      <c r="D55" s="1">
        <v>3940.5900879999999</v>
      </c>
      <c r="E55" s="1">
        <v>3955.3100589999999</v>
      </c>
      <c r="F55" s="1">
        <v>3914.1599120000001</v>
      </c>
      <c r="G55" s="1">
        <v>3916.4799800000001</v>
      </c>
      <c r="H55" s="1">
        <v>4316260000</v>
      </c>
      <c r="I55" s="1">
        <f t="shared" si="0"/>
        <v>7.0251180167995881E-3</v>
      </c>
    </row>
    <row r="56" spans="1:9" x14ac:dyDescent="0.35">
      <c r="A56" s="1">
        <v>54</v>
      </c>
      <c r="B56" s="1" t="s">
        <v>63</v>
      </c>
      <c r="C56" s="1">
        <v>3910.5200199999999</v>
      </c>
      <c r="D56" s="1">
        <v>3910.5200199999999</v>
      </c>
      <c r="E56" s="1">
        <v>3949.1298830000001</v>
      </c>
      <c r="F56" s="1">
        <v>3901.570068</v>
      </c>
      <c r="G56" s="1">
        <v>3937.6000979999999</v>
      </c>
      <c r="H56" s="1">
        <v>4669010000</v>
      </c>
      <c r="I56" s="1">
        <f t="shared" si="0"/>
        <v>-7.6308540925305174E-3</v>
      </c>
    </row>
    <row r="57" spans="1:9" x14ac:dyDescent="0.35">
      <c r="A57" s="1">
        <v>55</v>
      </c>
      <c r="B57" s="1" t="s">
        <v>64</v>
      </c>
      <c r="C57" s="1">
        <v>3889.139893</v>
      </c>
      <c r="D57" s="1">
        <v>3889.139893</v>
      </c>
      <c r="E57" s="1">
        <v>3942.080078</v>
      </c>
      <c r="F57" s="1">
        <v>3889.070068</v>
      </c>
      <c r="G57" s="1">
        <v>3919.929932</v>
      </c>
      <c r="H57" s="1">
        <v>4783020000</v>
      </c>
      <c r="I57" s="1">
        <f t="shared" si="0"/>
        <v>-5.4673360296464872E-3</v>
      </c>
    </row>
    <row r="58" spans="1:9" x14ac:dyDescent="0.35">
      <c r="A58" s="1">
        <v>56</v>
      </c>
      <c r="B58" s="1" t="s">
        <v>65</v>
      </c>
      <c r="C58" s="1">
        <v>3909.5200199999999</v>
      </c>
      <c r="D58" s="1">
        <v>3909.5200199999999</v>
      </c>
      <c r="E58" s="1">
        <v>3919.540039</v>
      </c>
      <c r="F58" s="1">
        <v>3853.5</v>
      </c>
      <c r="G58" s="1">
        <v>3879.3400879999999</v>
      </c>
      <c r="H58" s="1">
        <v>4948340000</v>
      </c>
      <c r="I58" s="1">
        <f t="shared" si="0"/>
        <v>5.2402658584438586E-3</v>
      </c>
    </row>
    <row r="59" spans="1:9" x14ac:dyDescent="0.35">
      <c r="A59" s="1">
        <v>57</v>
      </c>
      <c r="B59" s="1" t="s">
        <v>66</v>
      </c>
      <c r="C59" s="1">
        <v>3974.540039</v>
      </c>
      <c r="D59" s="1">
        <v>3974.540039</v>
      </c>
      <c r="E59" s="1">
        <v>3978.1899410000001</v>
      </c>
      <c r="F59" s="1">
        <v>3917.1201169999999</v>
      </c>
      <c r="G59" s="1">
        <v>3917.1201169999999</v>
      </c>
      <c r="H59" s="1">
        <v>5483160000</v>
      </c>
      <c r="I59" s="1">
        <f t="shared" si="0"/>
        <v>1.6631202466639381E-2</v>
      </c>
    </row>
    <row r="60" spans="1:9" x14ac:dyDescent="0.35">
      <c r="A60" s="1">
        <v>58</v>
      </c>
      <c r="B60" s="1" t="s">
        <v>67</v>
      </c>
      <c r="C60" s="1">
        <v>3971.0900879999999</v>
      </c>
      <c r="D60" s="1">
        <v>3971.0900879999999</v>
      </c>
      <c r="E60" s="1">
        <v>3981.830078</v>
      </c>
      <c r="F60" s="1">
        <v>3943.25</v>
      </c>
      <c r="G60" s="1">
        <v>3969.3100589999999</v>
      </c>
      <c r="H60" s="1">
        <v>4628180000</v>
      </c>
      <c r="I60" s="1">
        <f t="shared" si="0"/>
        <v>-8.680126420032413E-4</v>
      </c>
    </row>
    <row r="61" spans="1:9" x14ac:dyDescent="0.35">
      <c r="A61" s="1">
        <v>59</v>
      </c>
      <c r="B61" s="1" t="s">
        <v>68</v>
      </c>
      <c r="C61" s="1">
        <v>3958.5500489999999</v>
      </c>
      <c r="D61" s="1">
        <v>3958.5500489999999</v>
      </c>
      <c r="E61" s="1">
        <v>3968.01001</v>
      </c>
      <c r="F61" s="1">
        <v>3944.3500979999999</v>
      </c>
      <c r="G61" s="1">
        <v>3963.3400879999999</v>
      </c>
      <c r="H61" s="1">
        <v>4121510000</v>
      </c>
      <c r="I61" s="1">
        <f t="shared" si="0"/>
        <v>-3.1578329179420971E-3</v>
      </c>
    </row>
    <row r="62" spans="1:9" x14ac:dyDescent="0.35">
      <c r="A62" s="1">
        <v>60</v>
      </c>
      <c r="B62" s="1" t="s">
        <v>69</v>
      </c>
      <c r="C62" s="1">
        <v>3972.889893</v>
      </c>
      <c r="D62" s="1">
        <v>3972.889893</v>
      </c>
      <c r="E62" s="1">
        <v>3994.4099120000001</v>
      </c>
      <c r="F62" s="1">
        <v>3966.9799800000001</v>
      </c>
      <c r="G62" s="1">
        <v>3967.25</v>
      </c>
      <c r="H62" s="1">
        <v>4578050000</v>
      </c>
      <c r="I62" s="1">
        <f t="shared" si="0"/>
        <v>3.6224991025748388E-3</v>
      </c>
    </row>
    <row r="63" spans="1:9" x14ac:dyDescent="0.35">
      <c r="A63" s="1">
        <v>61</v>
      </c>
      <c r="B63" s="1" t="s">
        <v>70</v>
      </c>
      <c r="C63" s="1">
        <v>4019.8701169999999</v>
      </c>
      <c r="D63" s="1">
        <v>4019.8701169999999</v>
      </c>
      <c r="E63" s="1">
        <v>4020.6298830000001</v>
      </c>
      <c r="F63" s="1">
        <v>3992.780029</v>
      </c>
      <c r="G63" s="1">
        <v>3992.780029</v>
      </c>
      <c r="H63" s="1">
        <v>4162130000</v>
      </c>
      <c r="I63" s="1">
        <f t="shared" si="0"/>
        <v>1.1825201620305743E-2</v>
      </c>
    </row>
    <row r="64" spans="1:9" x14ac:dyDescent="0.35">
      <c r="A64" s="1">
        <v>62</v>
      </c>
      <c r="B64" s="1" t="s">
        <v>71</v>
      </c>
      <c r="C64" s="1">
        <v>4077.9099120000001</v>
      </c>
      <c r="D64" s="1">
        <v>4077.9099120000001</v>
      </c>
      <c r="E64" s="1">
        <v>4083.419922</v>
      </c>
      <c r="F64" s="1">
        <v>4034.4399410000001</v>
      </c>
      <c r="G64" s="1">
        <v>4034.4399410000001</v>
      </c>
      <c r="H64" s="1">
        <v>4005030000</v>
      </c>
      <c r="I64" s="1">
        <f t="shared" si="0"/>
        <v>1.4438226437851883E-2</v>
      </c>
    </row>
    <row r="65" spans="1:9" x14ac:dyDescent="0.35">
      <c r="A65" s="1">
        <v>63</v>
      </c>
      <c r="B65" s="1" t="s">
        <v>72</v>
      </c>
      <c r="C65" s="1">
        <v>4073.9399410000001</v>
      </c>
      <c r="D65" s="1">
        <v>4073.9399410000001</v>
      </c>
      <c r="E65" s="1">
        <v>4086.2299800000001</v>
      </c>
      <c r="F65" s="1">
        <v>4068.139893</v>
      </c>
      <c r="G65" s="1">
        <v>4075.570068</v>
      </c>
      <c r="H65" s="1">
        <v>4081270000</v>
      </c>
      <c r="I65" s="1">
        <f t="shared" si="0"/>
        <v>-9.7353082477806021E-4</v>
      </c>
    </row>
    <row r="66" spans="1:9" x14ac:dyDescent="0.35">
      <c r="A66" s="1">
        <v>64</v>
      </c>
      <c r="B66" s="1" t="s">
        <v>73</v>
      </c>
      <c r="C66" s="1">
        <v>4079.9499510000001</v>
      </c>
      <c r="D66" s="1">
        <v>4079.9499510000001</v>
      </c>
      <c r="E66" s="1">
        <v>4083.1298830000001</v>
      </c>
      <c r="F66" s="1">
        <v>4068.3100589999999</v>
      </c>
      <c r="G66" s="1">
        <v>4074.290039</v>
      </c>
      <c r="H66" s="1">
        <v>4120810000</v>
      </c>
      <c r="I66" s="1">
        <f t="shared" si="0"/>
        <v>1.4752328426630493E-3</v>
      </c>
    </row>
    <row r="67" spans="1:9" x14ac:dyDescent="0.35">
      <c r="A67" s="1">
        <v>65</v>
      </c>
      <c r="B67" s="1" t="s">
        <v>74</v>
      </c>
      <c r="C67" s="1">
        <v>4097.169922</v>
      </c>
      <c r="D67" s="1">
        <v>4097.169922</v>
      </c>
      <c r="E67" s="1">
        <v>4098.1899409999996</v>
      </c>
      <c r="F67" s="1">
        <v>4082.540039</v>
      </c>
      <c r="G67" s="1">
        <v>4089.9499510000001</v>
      </c>
      <c r="H67" s="1">
        <v>3907100000</v>
      </c>
      <c r="I67" s="1">
        <f t="shared" si="0"/>
        <v>4.2206329015823723E-3</v>
      </c>
    </row>
    <row r="68" spans="1:9" x14ac:dyDescent="0.35">
      <c r="A68" s="1">
        <v>66</v>
      </c>
      <c r="B68" s="1" t="s">
        <v>75</v>
      </c>
      <c r="C68" s="1">
        <v>4128.7998049999997</v>
      </c>
      <c r="D68" s="1">
        <v>4128.7998049999997</v>
      </c>
      <c r="E68" s="1">
        <v>4129.4799800000001</v>
      </c>
      <c r="F68" s="1">
        <v>4095.51001</v>
      </c>
      <c r="G68" s="1">
        <v>4096.1098629999997</v>
      </c>
      <c r="H68" s="1">
        <v>3640390000</v>
      </c>
      <c r="I68" s="1">
        <f t="shared" ref="I68:I131" si="1">(C68-C67)/C67</f>
        <v>7.719934394265918E-3</v>
      </c>
    </row>
    <row r="69" spans="1:9" x14ac:dyDescent="0.35">
      <c r="A69" s="1">
        <v>67</v>
      </c>
      <c r="B69" s="1" t="s">
        <v>76</v>
      </c>
      <c r="C69" s="1">
        <v>4127.9902339999999</v>
      </c>
      <c r="D69" s="1">
        <v>4127.9902339999999</v>
      </c>
      <c r="E69" s="1">
        <v>4131.7597660000001</v>
      </c>
      <c r="F69" s="1">
        <v>4114.8198240000002</v>
      </c>
      <c r="G69" s="1">
        <v>4124.7099609999996</v>
      </c>
      <c r="H69" s="1">
        <v>3588900000</v>
      </c>
      <c r="I69" s="1">
        <f t="shared" si="1"/>
        <v>-1.9607901526719291E-4</v>
      </c>
    </row>
    <row r="70" spans="1:9" x14ac:dyDescent="0.35">
      <c r="A70" s="1">
        <v>68</v>
      </c>
      <c r="B70" s="1" t="s">
        <v>77</v>
      </c>
      <c r="C70" s="1">
        <v>4141.5898440000001</v>
      </c>
      <c r="D70" s="1">
        <v>4141.5898440000001</v>
      </c>
      <c r="E70" s="1">
        <v>4148</v>
      </c>
      <c r="F70" s="1">
        <v>4124.4301759999998</v>
      </c>
      <c r="G70" s="1">
        <v>4130.1000979999999</v>
      </c>
      <c r="H70" s="1">
        <v>3734720000</v>
      </c>
      <c r="I70" s="1">
        <f t="shared" si="1"/>
        <v>3.2944869607460926E-3</v>
      </c>
    </row>
    <row r="71" spans="1:9" x14ac:dyDescent="0.35">
      <c r="A71" s="1">
        <v>69</v>
      </c>
      <c r="B71" s="1" t="s">
        <v>78</v>
      </c>
      <c r="C71" s="1">
        <v>4124.6601559999999</v>
      </c>
      <c r="D71" s="1">
        <v>4124.6601559999999</v>
      </c>
      <c r="E71" s="1">
        <v>4151.6899409999996</v>
      </c>
      <c r="F71" s="1">
        <v>4120.8701170000004</v>
      </c>
      <c r="G71" s="1">
        <v>4141.580078</v>
      </c>
      <c r="H71" s="1">
        <v>3985350000</v>
      </c>
      <c r="I71" s="1">
        <f t="shared" si="1"/>
        <v>-4.087726848308393E-3</v>
      </c>
    </row>
    <row r="72" spans="1:9" x14ac:dyDescent="0.35">
      <c r="A72" s="1">
        <v>70</v>
      </c>
      <c r="B72" s="1" t="s">
        <v>79</v>
      </c>
      <c r="C72" s="1">
        <v>4170.419922</v>
      </c>
      <c r="D72" s="1">
        <v>4170.419922</v>
      </c>
      <c r="E72" s="1">
        <v>4173.4902339999999</v>
      </c>
      <c r="F72" s="1">
        <v>4139.7597660000001</v>
      </c>
      <c r="G72" s="1">
        <v>4139.7597660000001</v>
      </c>
      <c r="H72" s="1">
        <v>4033420000</v>
      </c>
      <c r="I72" s="1">
        <f t="shared" si="1"/>
        <v>1.1094190616755416E-2</v>
      </c>
    </row>
    <row r="73" spans="1:9" x14ac:dyDescent="0.35">
      <c r="A73" s="1">
        <v>71</v>
      </c>
      <c r="B73" s="1" t="s">
        <v>80</v>
      </c>
      <c r="C73" s="1">
        <v>4185.4702150000003</v>
      </c>
      <c r="D73" s="1">
        <v>4185.4702150000003</v>
      </c>
      <c r="E73" s="1">
        <v>4191.3100590000004</v>
      </c>
      <c r="F73" s="1">
        <v>4170.75</v>
      </c>
      <c r="G73" s="1">
        <v>4174.1401370000003</v>
      </c>
      <c r="H73" s="1">
        <v>4163820000</v>
      </c>
      <c r="I73" s="1">
        <f t="shared" si="1"/>
        <v>3.6088195628949035E-3</v>
      </c>
    </row>
    <row r="74" spans="1:9" x14ac:dyDescent="0.35">
      <c r="A74" s="1">
        <v>72</v>
      </c>
      <c r="B74" s="1" t="s">
        <v>81</v>
      </c>
      <c r="C74" s="1">
        <v>4163.2597660000001</v>
      </c>
      <c r="D74" s="1">
        <v>4163.2597660000001</v>
      </c>
      <c r="E74" s="1">
        <v>4180.8100590000004</v>
      </c>
      <c r="F74" s="1">
        <v>4150.4702150000003</v>
      </c>
      <c r="G74" s="1">
        <v>4179.7998049999997</v>
      </c>
      <c r="H74" s="1">
        <v>3810290000</v>
      </c>
      <c r="I74" s="1">
        <f t="shared" si="1"/>
        <v>-5.3065600420238931E-3</v>
      </c>
    </row>
    <row r="75" spans="1:9" x14ac:dyDescent="0.35">
      <c r="A75" s="1">
        <v>73</v>
      </c>
      <c r="B75" s="1" t="s">
        <v>82</v>
      </c>
      <c r="C75" s="1">
        <v>4134.9399409999996</v>
      </c>
      <c r="D75" s="1">
        <v>4134.9399409999996</v>
      </c>
      <c r="E75" s="1">
        <v>4159.1801759999998</v>
      </c>
      <c r="F75" s="1">
        <v>4118.3798829999996</v>
      </c>
      <c r="G75" s="1">
        <v>4159.1801759999998</v>
      </c>
      <c r="H75" s="1">
        <v>4342650000</v>
      </c>
      <c r="I75" s="1">
        <f t="shared" si="1"/>
        <v>-6.8023199588167355E-3</v>
      </c>
    </row>
    <row r="76" spans="1:9" x14ac:dyDescent="0.35">
      <c r="A76" s="1">
        <v>74</v>
      </c>
      <c r="B76" s="1" t="s">
        <v>83</v>
      </c>
      <c r="C76" s="1">
        <v>4173.419922</v>
      </c>
      <c r="D76" s="1">
        <v>4173.419922</v>
      </c>
      <c r="E76" s="1">
        <v>4175.0200199999999</v>
      </c>
      <c r="F76" s="1">
        <v>4126.3500979999999</v>
      </c>
      <c r="G76" s="1">
        <v>4128.419922</v>
      </c>
      <c r="H76" s="1">
        <v>3887250000</v>
      </c>
      <c r="I76" s="1">
        <f t="shared" si="1"/>
        <v>9.3060556015462596E-3</v>
      </c>
    </row>
    <row r="77" spans="1:9" x14ac:dyDescent="0.35">
      <c r="A77" s="1">
        <v>75</v>
      </c>
      <c r="B77" s="1" t="s">
        <v>84</v>
      </c>
      <c r="C77" s="1">
        <v>4134.9799800000001</v>
      </c>
      <c r="D77" s="1">
        <v>4134.9799800000001</v>
      </c>
      <c r="E77" s="1">
        <v>4179.5698240000002</v>
      </c>
      <c r="F77" s="1">
        <v>4123.6899409999996</v>
      </c>
      <c r="G77" s="1">
        <v>4170.4599609999996</v>
      </c>
      <c r="H77" s="1">
        <v>4245140000</v>
      </c>
      <c r="I77" s="1">
        <f t="shared" si="1"/>
        <v>-9.2106576185553499E-3</v>
      </c>
    </row>
    <row r="78" spans="1:9" x14ac:dyDescent="0.35">
      <c r="A78" s="1">
        <v>76</v>
      </c>
      <c r="B78" s="1" t="s">
        <v>85</v>
      </c>
      <c r="C78" s="1">
        <v>4180.169922</v>
      </c>
      <c r="D78" s="1">
        <v>4180.169922</v>
      </c>
      <c r="E78" s="1">
        <v>4194.169922</v>
      </c>
      <c r="F78" s="1">
        <v>4138.7797849999997</v>
      </c>
      <c r="G78" s="1">
        <v>4138.7797849999997</v>
      </c>
      <c r="H78" s="1">
        <v>3569880000</v>
      </c>
      <c r="I78" s="1">
        <f t="shared" si="1"/>
        <v>1.0928696685007885E-2</v>
      </c>
    </row>
    <row r="79" spans="1:9" x14ac:dyDescent="0.35">
      <c r="A79" s="1">
        <v>77</v>
      </c>
      <c r="B79" s="1" t="s">
        <v>86</v>
      </c>
      <c r="C79" s="1">
        <v>4187.6201170000004</v>
      </c>
      <c r="D79" s="1">
        <v>4187.6201170000004</v>
      </c>
      <c r="E79" s="1">
        <v>4194.1899409999996</v>
      </c>
      <c r="F79" s="1">
        <v>4182.3598629999997</v>
      </c>
      <c r="G79" s="1">
        <v>4185.0297849999997</v>
      </c>
      <c r="H79" s="1">
        <v>3748320000</v>
      </c>
      <c r="I79" s="1">
        <f t="shared" si="1"/>
        <v>1.7822708499935351E-3</v>
      </c>
    </row>
    <row r="80" spans="1:9" x14ac:dyDescent="0.35">
      <c r="A80" s="1">
        <v>78</v>
      </c>
      <c r="B80" s="1" t="s">
        <v>87</v>
      </c>
      <c r="C80" s="1">
        <v>4186.7202150000003</v>
      </c>
      <c r="D80" s="1">
        <v>4186.7202150000003</v>
      </c>
      <c r="E80" s="1">
        <v>4193.3500979999999</v>
      </c>
      <c r="F80" s="1">
        <v>4176.2202150000003</v>
      </c>
      <c r="G80" s="1">
        <v>4188.25</v>
      </c>
      <c r="H80" s="1">
        <v>3710700000</v>
      </c>
      <c r="I80" s="1">
        <f t="shared" si="1"/>
        <v>-2.1489580593685712E-4</v>
      </c>
    </row>
    <row r="81" spans="1:9" x14ac:dyDescent="0.35">
      <c r="A81" s="1">
        <v>79</v>
      </c>
      <c r="B81" s="1" t="s">
        <v>88</v>
      </c>
      <c r="C81" s="1">
        <v>4183.1801759999998</v>
      </c>
      <c r="D81" s="1">
        <v>4183.1801759999998</v>
      </c>
      <c r="E81" s="1">
        <v>4201.5297849999997</v>
      </c>
      <c r="F81" s="1">
        <v>4181.7797849999997</v>
      </c>
      <c r="G81" s="1">
        <v>4185.1401370000003</v>
      </c>
      <c r="H81" s="1">
        <v>3787360000</v>
      </c>
      <c r="I81" s="1">
        <f t="shared" si="1"/>
        <v>-8.4553990193023522E-4</v>
      </c>
    </row>
    <row r="82" spans="1:9" x14ac:dyDescent="0.35">
      <c r="A82" s="1">
        <v>80</v>
      </c>
      <c r="B82" s="1" t="s">
        <v>89</v>
      </c>
      <c r="C82" s="1">
        <v>4211.4702150000003</v>
      </c>
      <c r="D82" s="1">
        <v>4211.4702150000003</v>
      </c>
      <c r="E82" s="1">
        <v>4218.7797849999997</v>
      </c>
      <c r="F82" s="1">
        <v>4176.8100590000004</v>
      </c>
      <c r="G82" s="1">
        <v>4206.1401370000003</v>
      </c>
      <c r="H82" s="1">
        <v>4298680000</v>
      </c>
      <c r="I82" s="1">
        <f t="shared" si="1"/>
        <v>6.7628067187513932E-3</v>
      </c>
    </row>
    <row r="83" spans="1:9" x14ac:dyDescent="0.35">
      <c r="A83" s="1">
        <v>81</v>
      </c>
      <c r="B83" s="1" t="s">
        <v>90</v>
      </c>
      <c r="C83" s="1">
        <v>4181.169922</v>
      </c>
      <c r="D83" s="1">
        <v>4181.169922</v>
      </c>
      <c r="E83" s="1">
        <v>4198.1000979999999</v>
      </c>
      <c r="F83" s="1">
        <v>4174.8500979999999</v>
      </c>
      <c r="G83" s="1">
        <v>4198.1000979999999</v>
      </c>
      <c r="H83" s="1">
        <v>4300880000</v>
      </c>
      <c r="I83" s="1">
        <f t="shared" si="1"/>
        <v>-7.1947067064797553E-3</v>
      </c>
    </row>
    <row r="84" spans="1:9" x14ac:dyDescent="0.35">
      <c r="A84" s="1">
        <v>82</v>
      </c>
      <c r="B84" s="1" t="s">
        <v>91</v>
      </c>
      <c r="C84" s="1">
        <v>4192.6601559999999</v>
      </c>
      <c r="D84" s="1">
        <v>4192.6601559999999</v>
      </c>
      <c r="E84" s="1">
        <v>4209.3901370000003</v>
      </c>
      <c r="F84" s="1">
        <v>4188.0297849999997</v>
      </c>
      <c r="G84" s="1">
        <v>4191.9799800000001</v>
      </c>
      <c r="H84" s="1">
        <v>4070220000</v>
      </c>
      <c r="I84" s="1">
        <f t="shared" si="1"/>
        <v>2.7480906574836577E-3</v>
      </c>
    </row>
    <row r="85" spans="1:9" x14ac:dyDescent="0.35">
      <c r="A85" s="1">
        <v>83</v>
      </c>
      <c r="B85" s="1" t="s">
        <v>92</v>
      </c>
      <c r="C85" s="1">
        <v>4164.6601559999999</v>
      </c>
      <c r="D85" s="1">
        <v>4164.6601559999999</v>
      </c>
      <c r="E85" s="1">
        <v>4179.0400390000004</v>
      </c>
      <c r="F85" s="1">
        <v>4128.5898440000001</v>
      </c>
      <c r="G85" s="1">
        <v>4179.0400390000004</v>
      </c>
      <c r="H85" s="1">
        <v>4452460000</v>
      </c>
      <c r="I85" s="1">
        <f t="shared" si="1"/>
        <v>-6.6783376086253917E-3</v>
      </c>
    </row>
    <row r="86" spans="1:9" x14ac:dyDescent="0.35">
      <c r="A86" s="1">
        <v>84</v>
      </c>
      <c r="B86" s="1" t="s">
        <v>93</v>
      </c>
      <c r="C86" s="1">
        <v>4167.5898440000001</v>
      </c>
      <c r="D86" s="1">
        <v>4167.5898440000001</v>
      </c>
      <c r="E86" s="1">
        <v>4187.7202150000003</v>
      </c>
      <c r="F86" s="1">
        <v>4160.9399409999996</v>
      </c>
      <c r="G86" s="1">
        <v>4177.0600590000004</v>
      </c>
      <c r="H86" s="1">
        <v>4230920000</v>
      </c>
      <c r="I86" s="1">
        <f t="shared" si="1"/>
        <v>7.0346388186786051E-4</v>
      </c>
    </row>
    <row r="87" spans="1:9" x14ac:dyDescent="0.35">
      <c r="A87" s="1">
        <v>85</v>
      </c>
      <c r="B87" s="1" t="s">
        <v>94</v>
      </c>
      <c r="C87" s="1">
        <v>4201.6201170000004</v>
      </c>
      <c r="D87" s="1">
        <v>4201.6201170000004</v>
      </c>
      <c r="E87" s="1">
        <v>4202.7001950000003</v>
      </c>
      <c r="F87" s="1">
        <v>4147.330078</v>
      </c>
      <c r="G87" s="1">
        <v>4169.1401370000003</v>
      </c>
      <c r="H87" s="1">
        <v>4511000000</v>
      </c>
      <c r="I87" s="1">
        <f t="shared" si="1"/>
        <v>8.1654563605852541E-3</v>
      </c>
    </row>
    <row r="88" spans="1:9" x14ac:dyDescent="0.35">
      <c r="A88" s="1">
        <v>86</v>
      </c>
      <c r="B88" s="1" t="s">
        <v>95</v>
      </c>
      <c r="C88" s="1">
        <v>4232.6000979999999</v>
      </c>
      <c r="D88" s="1">
        <v>4232.6000979999999</v>
      </c>
      <c r="E88" s="1">
        <v>4238.0400390000004</v>
      </c>
      <c r="F88" s="1">
        <v>4201.6401370000003</v>
      </c>
      <c r="G88" s="1">
        <v>4210.3398440000001</v>
      </c>
      <c r="H88" s="1">
        <v>4016080000</v>
      </c>
      <c r="I88" s="1">
        <f t="shared" si="1"/>
        <v>7.3733417437365847E-3</v>
      </c>
    </row>
    <row r="89" spans="1:9" x14ac:dyDescent="0.35">
      <c r="A89" s="1">
        <v>87</v>
      </c>
      <c r="B89" s="1" t="s">
        <v>96</v>
      </c>
      <c r="C89" s="1">
        <v>4188.4301759999998</v>
      </c>
      <c r="D89" s="1">
        <v>4188.4301759999998</v>
      </c>
      <c r="E89" s="1">
        <v>4236.3901370000003</v>
      </c>
      <c r="F89" s="1">
        <v>4188.1298829999996</v>
      </c>
      <c r="G89" s="1">
        <v>4228.2900390000004</v>
      </c>
      <c r="H89" s="1">
        <v>4560700000</v>
      </c>
      <c r="I89" s="1">
        <f t="shared" si="1"/>
        <v>-1.0435647350873364E-2</v>
      </c>
    </row>
    <row r="90" spans="1:9" x14ac:dyDescent="0.35">
      <c r="A90" s="1">
        <v>88</v>
      </c>
      <c r="B90" s="1" t="s">
        <v>97</v>
      </c>
      <c r="C90" s="1">
        <v>4152.1000979999999</v>
      </c>
      <c r="D90" s="1">
        <v>4152.1000979999999</v>
      </c>
      <c r="E90" s="1">
        <v>4162.0400390000004</v>
      </c>
      <c r="F90" s="1">
        <v>4111.5297849999997</v>
      </c>
      <c r="G90" s="1">
        <v>4150.3398440000001</v>
      </c>
      <c r="H90" s="1">
        <v>4870710000</v>
      </c>
      <c r="I90" s="1">
        <f t="shared" si="1"/>
        <v>-8.6739127724210045E-3</v>
      </c>
    </row>
    <row r="91" spans="1:9" x14ac:dyDescent="0.35">
      <c r="A91" s="1">
        <v>89</v>
      </c>
      <c r="B91" s="1" t="s">
        <v>98</v>
      </c>
      <c r="C91" s="1">
        <v>4063.040039</v>
      </c>
      <c r="D91" s="1">
        <v>4063.040039</v>
      </c>
      <c r="E91" s="1">
        <v>4134.7299800000001</v>
      </c>
      <c r="F91" s="1">
        <v>4056.8798830000001</v>
      </c>
      <c r="G91" s="1">
        <v>4130.5498049999997</v>
      </c>
      <c r="H91" s="1">
        <v>4733070000</v>
      </c>
      <c r="I91" s="1">
        <f t="shared" si="1"/>
        <v>-2.1449400760569021E-2</v>
      </c>
    </row>
    <row r="92" spans="1:9" x14ac:dyDescent="0.35">
      <c r="A92" s="1">
        <v>90</v>
      </c>
      <c r="B92" s="1" t="s">
        <v>99</v>
      </c>
      <c r="C92" s="1">
        <v>4112.5</v>
      </c>
      <c r="D92" s="1">
        <v>4112.5</v>
      </c>
      <c r="E92" s="1">
        <v>4131.580078</v>
      </c>
      <c r="F92" s="1">
        <v>4074.98999</v>
      </c>
      <c r="G92" s="1">
        <v>4074.98999</v>
      </c>
      <c r="H92" s="1">
        <v>4779540000</v>
      </c>
      <c r="I92" s="1">
        <f t="shared" si="1"/>
        <v>1.2173141422493381E-2</v>
      </c>
    </row>
    <row r="93" spans="1:9" x14ac:dyDescent="0.35">
      <c r="A93" s="1">
        <v>91</v>
      </c>
      <c r="B93" s="1" t="s">
        <v>100</v>
      </c>
      <c r="C93" s="1">
        <v>4173.8500979999999</v>
      </c>
      <c r="D93" s="1">
        <v>4173.8500979999999</v>
      </c>
      <c r="E93" s="1">
        <v>4183.1298829999996</v>
      </c>
      <c r="F93" s="1">
        <v>4129.580078</v>
      </c>
      <c r="G93" s="1">
        <v>4129.580078</v>
      </c>
      <c r="H93" s="1">
        <v>4008880000</v>
      </c>
      <c r="I93" s="1">
        <f t="shared" si="1"/>
        <v>1.4917956960486296E-2</v>
      </c>
    </row>
    <row r="94" spans="1:9" x14ac:dyDescent="0.35">
      <c r="A94" s="1">
        <v>92</v>
      </c>
      <c r="B94" s="1" t="s">
        <v>101</v>
      </c>
      <c r="C94" s="1">
        <v>4163.2900390000004</v>
      </c>
      <c r="D94" s="1">
        <v>4163.2900390000004</v>
      </c>
      <c r="E94" s="1">
        <v>4171.919922</v>
      </c>
      <c r="F94" s="1">
        <v>4142.6899409999996</v>
      </c>
      <c r="G94" s="1">
        <v>4169.919922</v>
      </c>
      <c r="H94" s="1">
        <v>4125050000</v>
      </c>
      <c r="I94" s="1">
        <f t="shared" si="1"/>
        <v>-2.5300522903444855E-3</v>
      </c>
    </row>
    <row r="95" spans="1:9" x14ac:dyDescent="0.35">
      <c r="A95" s="1">
        <v>93</v>
      </c>
      <c r="B95" s="1" t="s">
        <v>102</v>
      </c>
      <c r="C95" s="1">
        <v>4127.830078</v>
      </c>
      <c r="D95" s="1">
        <v>4127.830078</v>
      </c>
      <c r="E95" s="1">
        <v>4169.1499020000001</v>
      </c>
      <c r="F95" s="1">
        <v>4125.9902339999999</v>
      </c>
      <c r="G95" s="1">
        <v>4165.9399409999996</v>
      </c>
      <c r="H95" s="1">
        <v>4398150000</v>
      </c>
      <c r="I95" s="1">
        <f t="shared" si="1"/>
        <v>-8.5172929745047903E-3</v>
      </c>
    </row>
    <row r="96" spans="1:9" x14ac:dyDescent="0.35">
      <c r="A96" s="1">
        <v>94</v>
      </c>
      <c r="B96" s="1" t="s">
        <v>103</v>
      </c>
      <c r="C96" s="1">
        <v>4115.6801759999998</v>
      </c>
      <c r="D96" s="1">
        <v>4115.6801759999998</v>
      </c>
      <c r="E96" s="1">
        <v>4116.9301759999998</v>
      </c>
      <c r="F96" s="1">
        <v>4061.4099120000001</v>
      </c>
      <c r="G96" s="1">
        <v>4098.4501950000003</v>
      </c>
      <c r="H96" s="1">
        <v>4247450000</v>
      </c>
      <c r="I96" s="1">
        <f t="shared" si="1"/>
        <v>-2.9434113736307027E-3</v>
      </c>
    </row>
    <row r="97" spans="1:9" x14ac:dyDescent="0.35">
      <c r="A97" s="1">
        <v>95</v>
      </c>
      <c r="B97" s="1" t="s">
        <v>104</v>
      </c>
      <c r="C97" s="1">
        <v>4159.1201170000004</v>
      </c>
      <c r="D97" s="1">
        <v>4159.1201170000004</v>
      </c>
      <c r="E97" s="1">
        <v>4172.7998049999997</v>
      </c>
      <c r="F97" s="1">
        <v>4121.9702150000003</v>
      </c>
      <c r="G97" s="1">
        <v>4121.9702150000003</v>
      </c>
      <c r="H97" s="1">
        <v>3978880000</v>
      </c>
      <c r="I97" s="1">
        <f t="shared" si="1"/>
        <v>1.0554741656874688E-2</v>
      </c>
    </row>
    <row r="98" spans="1:9" x14ac:dyDescent="0.35">
      <c r="A98" s="1">
        <v>96</v>
      </c>
      <c r="B98" s="1" t="s">
        <v>105</v>
      </c>
      <c r="C98" s="1">
        <v>4155.8598629999997</v>
      </c>
      <c r="D98" s="1">
        <v>4155.8598629999997</v>
      </c>
      <c r="E98" s="1">
        <v>4188.7202150000003</v>
      </c>
      <c r="F98" s="1">
        <v>4151.7202150000003</v>
      </c>
      <c r="G98" s="1">
        <v>4168.6098629999997</v>
      </c>
      <c r="H98" s="1">
        <v>3995250000</v>
      </c>
      <c r="I98" s="1">
        <f t="shared" si="1"/>
        <v>-7.8388070271756321E-4</v>
      </c>
    </row>
    <row r="99" spans="1:9" x14ac:dyDescent="0.35">
      <c r="A99" s="1">
        <v>97</v>
      </c>
      <c r="B99" s="1" t="s">
        <v>106</v>
      </c>
      <c r="C99" s="1">
        <v>4197.0498049999997</v>
      </c>
      <c r="D99" s="1">
        <v>4197.0498049999997</v>
      </c>
      <c r="E99" s="1">
        <v>4209.5200199999999</v>
      </c>
      <c r="F99" s="1">
        <v>4170.1601559999999</v>
      </c>
      <c r="G99" s="1">
        <v>4170.1601559999999</v>
      </c>
      <c r="H99" s="1">
        <v>3684800000</v>
      </c>
      <c r="I99" s="1">
        <f t="shared" si="1"/>
        <v>9.9112923336799191E-3</v>
      </c>
    </row>
    <row r="100" spans="1:9" x14ac:dyDescent="0.35">
      <c r="A100" s="1">
        <v>98</v>
      </c>
      <c r="B100" s="1" t="s">
        <v>107</v>
      </c>
      <c r="C100" s="1">
        <v>4188.1298829999996</v>
      </c>
      <c r="D100" s="1">
        <v>4188.1298829999996</v>
      </c>
      <c r="E100" s="1">
        <v>4213.419922</v>
      </c>
      <c r="F100" s="1">
        <v>4182.5200199999999</v>
      </c>
      <c r="G100" s="1">
        <v>4205.9399409999996</v>
      </c>
      <c r="H100" s="1">
        <v>4182250000</v>
      </c>
      <c r="I100" s="1">
        <f t="shared" si="1"/>
        <v>-2.1252838099213461E-3</v>
      </c>
    </row>
    <row r="101" spans="1:9" x14ac:dyDescent="0.35">
      <c r="A101" s="1">
        <v>99</v>
      </c>
      <c r="B101" s="1" t="s">
        <v>108</v>
      </c>
      <c r="C101" s="1">
        <v>4195.9902339999999</v>
      </c>
      <c r="D101" s="1">
        <v>4195.9902339999999</v>
      </c>
      <c r="E101" s="1">
        <v>4202.6098629999997</v>
      </c>
      <c r="F101" s="1">
        <v>4184.1098629999997</v>
      </c>
      <c r="G101" s="1">
        <v>4191.5898440000001</v>
      </c>
      <c r="H101" s="1">
        <v>4420890000</v>
      </c>
      <c r="I101" s="1">
        <f t="shared" si="1"/>
        <v>1.8768164358765817E-3</v>
      </c>
    </row>
    <row r="102" spans="1:9" x14ac:dyDescent="0.35">
      <c r="A102" s="1">
        <v>100</v>
      </c>
      <c r="B102" s="1" t="s">
        <v>109</v>
      </c>
      <c r="C102" s="1">
        <v>4200.8798829999996</v>
      </c>
      <c r="D102" s="1">
        <v>4200.8798829999996</v>
      </c>
      <c r="E102" s="1">
        <v>4213.3798829999996</v>
      </c>
      <c r="F102" s="1">
        <v>4197.7797849999997</v>
      </c>
      <c r="G102" s="1">
        <v>4201.9399409999996</v>
      </c>
      <c r="H102" s="1">
        <v>6406310000</v>
      </c>
      <c r="I102" s="1">
        <f t="shared" si="1"/>
        <v>1.1653146759921023E-3</v>
      </c>
    </row>
    <row r="103" spans="1:9" x14ac:dyDescent="0.35">
      <c r="A103" s="1">
        <v>101</v>
      </c>
      <c r="B103" s="1" t="s">
        <v>110</v>
      </c>
      <c r="C103" s="1">
        <v>4204.1098629999997</v>
      </c>
      <c r="D103" s="1">
        <v>4204.1098629999997</v>
      </c>
      <c r="E103" s="1">
        <v>4218.3598629999997</v>
      </c>
      <c r="F103" s="1">
        <v>4203.5698240000002</v>
      </c>
      <c r="G103" s="1">
        <v>4210.7700199999999</v>
      </c>
      <c r="H103" s="1">
        <v>4649250000</v>
      </c>
      <c r="I103" s="1">
        <f t="shared" si="1"/>
        <v>7.6888177952220418E-4</v>
      </c>
    </row>
    <row r="104" spans="1:9" x14ac:dyDescent="0.35">
      <c r="A104" s="1">
        <v>102</v>
      </c>
      <c r="B104" s="1" t="s">
        <v>111</v>
      </c>
      <c r="C104" s="1">
        <v>4202.0400390000004</v>
      </c>
      <c r="D104" s="1">
        <v>4202.0400390000004</v>
      </c>
      <c r="E104" s="1">
        <v>4234.1201170000004</v>
      </c>
      <c r="F104" s="1">
        <v>4197.5898440000001</v>
      </c>
      <c r="G104" s="1">
        <v>4216.5200199999999</v>
      </c>
      <c r="H104" s="1">
        <v>5074670000</v>
      </c>
      <c r="I104" s="1">
        <f t="shared" si="1"/>
        <v>-4.9233347068676351E-4</v>
      </c>
    </row>
    <row r="105" spans="1:9" x14ac:dyDescent="0.35">
      <c r="A105" s="1">
        <v>103</v>
      </c>
      <c r="B105" s="1" t="s">
        <v>112</v>
      </c>
      <c r="C105" s="1">
        <v>4208.1201170000004</v>
      </c>
      <c r="D105" s="1">
        <v>4208.1201170000004</v>
      </c>
      <c r="E105" s="1">
        <v>4217.3701170000004</v>
      </c>
      <c r="F105" s="1">
        <v>4198.2700199999999</v>
      </c>
      <c r="G105" s="1">
        <v>4206.8198240000002</v>
      </c>
      <c r="H105" s="1">
        <v>5833670000</v>
      </c>
      <c r="I105" s="1">
        <f t="shared" si="1"/>
        <v>1.4469348087047004E-3</v>
      </c>
    </row>
    <row r="106" spans="1:9" x14ac:dyDescent="0.35">
      <c r="A106" s="1">
        <v>104</v>
      </c>
      <c r="B106" s="1" t="s">
        <v>113</v>
      </c>
      <c r="C106" s="1">
        <v>4192.8500979999999</v>
      </c>
      <c r="D106" s="1">
        <v>4192.8500979999999</v>
      </c>
      <c r="E106" s="1">
        <v>4204.3901370000003</v>
      </c>
      <c r="F106" s="1">
        <v>4167.9301759999998</v>
      </c>
      <c r="G106" s="1">
        <v>4191.4301759999998</v>
      </c>
      <c r="H106" s="1">
        <v>5587970000</v>
      </c>
      <c r="I106" s="1">
        <f t="shared" si="1"/>
        <v>-3.6287032155552183E-3</v>
      </c>
    </row>
    <row r="107" spans="1:9" x14ac:dyDescent="0.35">
      <c r="A107" s="1">
        <v>105</v>
      </c>
      <c r="B107" s="1" t="s">
        <v>114</v>
      </c>
      <c r="C107" s="1">
        <v>4229.8901370000003</v>
      </c>
      <c r="D107" s="1">
        <v>4229.8901370000003</v>
      </c>
      <c r="E107" s="1">
        <v>4233.4501950000003</v>
      </c>
      <c r="F107" s="1">
        <v>4206.0498049999997</v>
      </c>
      <c r="G107" s="1">
        <v>4206.0498049999997</v>
      </c>
      <c r="H107" s="1">
        <v>4139790000</v>
      </c>
      <c r="I107" s="1">
        <f t="shared" si="1"/>
        <v>8.8340956948755756E-3</v>
      </c>
    </row>
    <row r="108" spans="1:9" x14ac:dyDescent="0.35">
      <c r="A108" s="1">
        <v>106</v>
      </c>
      <c r="B108" s="1" t="s">
        <v>115</v>
      </c>
      <c r="C108" s="1">
        <v>4226.5200199999999</v>
      </c>
      <c r="D108" s="1">
        <v>4226.5200199999999</v>
      </c>
      <c r="E108" s="1">
        <v>4232.3398440000001</v>
      </c>
      <c r="F108" s="1">
        <v>4215.6601559999999</v>
      </c>
      <c r="G108" s="1">
        <v>4229.3398440000001</v>
      </c>
      <c r="H108" s="1">
        <v>4476920000</v>
      </c>
      <c r="I108" s="1">
        <f t="shared" si="1"/>
        <v>-7.9673866007087531E-4</v>
      </c>
    </row>
    <row r="109" spans="1:9" x14ac:dyDescent="0.35">
      <c r="A109" s="1">
        <v>107</v>
      </c>
      <c r="B109" s="1" t="s">
        <v>116</v>
      </c>
      <c r="C109" s="1">
        <v>4227.2597660000001</v>
      </c>
      <c r="D109" s="1">
        <v>4227.2597660000001</v>
      </c>
      <c r="E109" s="1">
        <v>4236.7402339999999</v>
      </c>
      <c r="F109" s="1">
        <v>4208.4101559999999</v>
      </c>
      <c r="G109" s="1">
        <v>4233.8100590000004</v>
      </c>
      <c r="H109" s="1">
        <v>4659620000</v>
      </c>
      <c r="I109" s="1">
        <f t="shared" si="1"/>
        <v>1.7502484230518222E-4</v>
      </c>
    </row>
    <row r="110" spans="1:9" x14ac:dyDescent="0.35">
      <c r="A110" s="1">
        <v>108</v>
      </c>
      <c r="B110" s="1" t="s">
        <v>117</v>
      </c>
      <c r="C110" s="1">
        <v>4219.5498049999997</v>
      </c>
      <c r="D110" s="1">
        <v>4219.5498049999997</v>
      </c>
      <c r="E110" s="1">
        <v>4237.0898440000001</v>
      </c>
      <c r="F110" s="1">
        <v>4218.7402339999999</v>
      </c>
      <c r="G110" s="1">
        <v>4232.9902339999999</v>
      </c>
      <c r="H110" s="1">
        <v>4713260000</v>
      </c>
      <c r="I110" s="1">
        <f t="shared" si="1"/>
        <v>-1.8238673341089576E-3</v>
      </c>
    </row>
    <row r="111" spans="1:9" x14ac:dyDescent="0.35">
      <c r="A111" s="1">
        <v>109</v>
      </c>
      <c r="B111" s="1" t="s">
        <v>118</v>
      </c>
      <c r="C111" s="1">
        <v>4239.1801759999998</v>
      </c>
      <c r="D111" s="1">
        <v>4239.1801759999998</v>
      </c>
      <c r="E111" s="1">
        <v>4249.7402339999999</v>
      </c>
      <c r="F111" s="1">
        <v>4220.3398440000001</v>
      </c>
      <c r="G111" s="1">
        <v>4228.5600590000004</v>
      </c>
      <c r="H111" s="1">
        <v>4408210000</v>
      </c>
      <c r="I111" s="1">
        <f t="shared" si="1"/>
        <v>4.6522429896997501E-3</v>
      </c>
    </row>
    <row r="112" spans="1:9" x14ac:dyDescent="0.35">
      <c r="A112" s="1">
        <v>110</v>
      </c>
      <c r="B112" s="1" t="s">
        <v>119</v>
      </c>
      <c r="C112" s="1">
        <v>4247.4399409999996</v>
      </c>
      <c r="D112" s="1">
        <v>4247.4399409999996</v>
      </c>
      <c r="E112" s="1">
        <v>4248.3798829999996</v>
      </c>
      <c r="F112" s="1">
        <v>4232.25</v>
      </c>
      <c r="G112" s="1">
        <v>4242.8999020000001</v>
      </c>
      <c r="H112" s="1">
        <v>3815010000</v>
      </c>
      <c r="I112" s="1">
        <f t="shared" si="1"/>
        <v>1.9484345220243803E-3</v>
      </c>
    </row>
    <row r="113" spans="1:9" x14ac:dyDescent="0.35">
      <c r="A113" s="1">
        <v>111</v>
      </c>
      <c r="B113" s="1" t="s">
        <v>120</v>
      </c>
      <c r="C113" s="1">
        <v>4255.1499020000001</v>
      </c>
      <c r="D113" s="1">
        <v>4255.1499020000001</v>
      </c>
      <c r="E113" s="1">
        <v>4255.5898440000001</v>
      </c>
      <c r="F113" s="1">
        <v>4234.0698240000002</v>
      </c>
      <c r="G113" s="1">
        <v>4248.3100590000004</v>
      </c>
      <c r="H113" s="1">
        <v>4151200000</v>
      </c>
      <c r="I113" s="1">
        <f t="shared" si="1"/>
        <v>1.8152018879836768E-3</v>
      </c>
    </row>
    <row r="114" spans="1:9" x14ac:dyDescent="0.35">
      <c r="A114" s="1">
        <v>112</v>
      </c>
      <c r="B114" s="1" t="s">
        <v>121</v>
      </c>
      <c r="C114" s="1">
        <v>4246.5898440000001</v>
      </c>
      <c r="D114" s="1">
        <v>4246.5898440000001</v>
      </c>
      <c r="E114" s="1">
        <v>4257.1601559999999</v>
      </c>
      <c r="F114" s="1">
        <v>4238.3500979999999</v>
      </c>
      <c r="G114" s="1">
        <v>4255.2797849999997</v>
      </c>
      <c r="H114" s="1">
        <v>4048940000</v>
      </c>
      <c r="I114" s="1">
        <f t="shared" si="1"/>
        <v>-2.0116936411515465E-3</v>
      </c>
    </row>
    <row r="115" spans="1:9" x14ac:dyDescent="0.35">
      <c r="A115" s="1">
        <v>113</v>
      </c>
      <c r="B115" s="1" t="s">
        <v>122</v>
      </c>
      <c r="C115" s="1">
        <v>4223.7001950000003</v>
      </c>
      <c r="D115" s="1">
        <v>4223.7001950000003</v>
      </c>
      <c r="E115" s="1">
        <v>4251.8901370000003</v>
      </c>
      <c r="F115" s="1">
        <v>4202.4501950000003</v>
      </c>
      <c r="G115" s="1">
        <v>4248.8701170000004</v>
      </c>
      <c r="H115" s="1">
        <v>4538350000</v>
      </c>
      <c r="I115" s="1">
        <f t="shared" si="1"/>
        <v>-5.3901247449975615E-3</v>
      </c>
    </row>
    <row r="116" spans="1:9" x14ac:dyDescent="0.35">
      <c r="A116" s="1">
        <v>114</v>
      </c>
      <c r="B116" s="1" t="s">
        <v>123</v>
      </c>
      <c r="C116" s="1">
        <v>4221.8598629999997</v>
      </c>
      <c r="D116" s="1">
        <v>4221.8598629999997</v>
      </c>
      <c r="E116" s="1">
        <v>4232.2900390000004</v>
      </c>
      <c r="F116" s="1">
        <v>4196.0498049999997</v>
      </c>
      <c r="G116" s="1">
        <v>4220.3701170000004</v>
      </c>
      <c r="H116" s="1">
        <v>5312680000</v>
      </c>
      <c r="I116" s="1">
        <f t="shared" si="1"/>
        <v>-4.3571558468549667E-4</v>
      </c>
    </row>
    <row r="117" spans="1:9" x14ac:dyDescent="0.35">
      <c r="A117" s="1">
        <v>115</v>
      </c>
      <c r="B117" s="1" t="s">
        <v>124</v>
      </c>
      <c r="C117" s="1">
        <v>4166.4501950000003</v>
      </c>
      <c r="D117" s="1">
        <v>4166.4501950000003</v>
      </c>
      <c r="E117" s="1">
        <v>4204.7797849999997</v>
      </c>
      <c r="F117" s="1">
        <v>4164.3999020000001</v>
      </c>
      <c r="G117" s="1">
        <v>4204.7797849999997</v>
      </c>
      <c r="H117" s="1">
        <v>6817010000</v>
      </c>
      <c r="I117" s="1">
        <f t="shared" si="1"/>
        <v>-1.312446878817667E-2</v>
      </c>
    </row>
    <row r="118" spans="1:9" x14ac:dyDescent="0.35">
      <c r="A118" s="1">
        <v>116</v>
      </c>
      <c r="B118" s="1" t="s">
        <v>125</v>
      </c>
      <c r="C118" s="1">
        <v>4224.7900390000004</v>
      </c>
      <c r="D118" s="1">
        <v>4224.7900390000004</v>
      </c>
      <c r="E118" s="1">
        <v>4226.2402339999999</v>
      </c>
      <c r="F118" s="1">
        <v>4173.3999020000001</v>
      </c>
      <c r="G118" s="1">
        <v>4173.3999020000001</v>
      </c>
      <c r="H118" s="1">
        <v>4128950000</v>
      </c>
      <c r="I118" s="1">
        <f t="shared" si="1"/>
        <v>1.4002290023774082E-2</v>
      </c>
    </row>
    <row r="119" spans="1:9" x14ac:dyDescent="0.35">
      <c r="A119" s="1">
        <v>117</v>
      </c>
      <c r="B119" s="1" t="s">
        <v>126</v>
      </c>
      <c r="C119" s="1">
        <v>4246.4399409999996</v>
      </c>
      <c r="D119" s="1">
        <v>4246.4399409999996</v>
      </c>
      <c r="E119" s="1">
        <v>4255.8398440000001</v>
      </c>
      <c r="F119" s="1">
        <v>4217.2700199999999</v>
      </c>
      <c r="G119" s="1">
        <v>4224.6098629999997</v>
      </c>
      <c r="H119" s="1">
        <v>3828390000</v>
      </c>
      <c r="I119" s="1">
        <f t="shared" si="1"/>
        <v>5.124491820929329E-3</v>
      </c>
    </row>
    <row r="120" spans="1:9" x14ac:dyDescent="0.35">
      <c r="A120" s="1">
        <v>118</v>
      </c>
      <c r="B120" s="1" t="s">
        <v>127</v>
      </c>
      <c r="C120" s="1">
        <v>4241.8398440000001</v>
      </c>
      <c r="D120" s="1">
        <v>4241.8398440000001</v>
      </c>
      <c r="E120" s="1">
        <v>4256.6000979999999</v>
      </c>
      <c r="F120" s="1">
        <v>4241.4301759999998</v>
      </c>
      <c r="G120" s="1">
        <v>4249.2700199999999</v>
      </c>
      <c r="H120" s="1">
        <v>3730350000</v>
      </c>
      <c r="I120" s="1">
        <f t="shared" si="1"/>
        <v>-1.0832831887212014E-3</v>
      </c>
    </row>
    <row r="121" spans="1:9" x14ac:dyDescent="0.35">
      <c r="A121" s="1">
        <v>119</v>
      </c>
      <c r="B121" s="1" t="s">
        <v>128</v>
      </c>
      <c r="C121" s="1">
        <v>4266.4902339999999</v>
      </c>
      <c r="D121" s="1">
        <v>4266.4902339999999</v>
      </c>
      <c r="E121" s="1">
        <v>4271.2797849999997</v>
      </c>
      <c r="F121" s="1">
        <v>4256.9702150000003</v>
      </c>
      <c r="G121" s="1">
        <v>4256.9702150000003</v>
      </c>
      <c r="H121" s="1">
        <v>3816660000</v>
      </c>
      <c r="I121" s="1">
        <f t="shared" si="1"/>
        <v>5.8112495772011021E-3</v>
      </c>
    </row>
    <row r="122" spans="1:9" x14ac:dyDescent="0.35">
      <c r="A122" s="1">
        <v>120</v>
      </c>
      <c r="B122" s="1" t="s">
        <v>129</v>
      </c>
      <c r="C122" s="1">
        <v>4280.7001950000003</v>
      </c>
      <c r="D122" s="1">
        <v>4280.7001950000003</v>
      </c>
      <c r="E122" s="1">
        <v>4286.1201170000004</v>
      </c>
      <c r="F122" s="1">
        <v>4271.1601559999999</v>
      </c>
      <c r="G122" s="1">
        <v>4274.4501950000003</v>
      </c>
      <c r="H122" s="1">
        <v>7341450000</v>
      </c>
      <c r="I122" s="1">
        <f t="shared" si="1"/>
        <v>3.3305973342585356E-3</v>
      </c>
    </row>
    <row r="123" spans="1:9" x14ac:dyDescent="0.35">
      <c r="A123" s="1">
        <v>121</v>
      </c>
      <c r="B123" s="1" t="s">
        <v>130</v>
      </c>
      <c r="C123" s="1">
        <v>4290.6098629999997</v>
      </c>
      <c r="D123" s="1">
        <v>4290.6098629999997</v>
      </c>
      <c r="E123" s="1">
        <v>4292.1401370000003</v>
      </c>
      <c r="F123" s="1">
        <v>4274.669922</v>
      </c>
      <c r="G123" s="1">
        <v>4284.8999020000001</v>
      </c>
      <c r="H123" s="1">
        <v>4147890000</v>
      </c>
      <c r="I123" s="1">
        <f t="shared" si="1"/>
        <v>2.3149642695309866E-3</v>
      </c>
    </row>
    <row r="124" spans="1:9" x14ac:dyDescent="0.35">
      <c r="A124" s="1">
        <v>122</v>
      </c>
      <c r="B124" s="1" t="s">
        <v>131</v>
      </c>
      <c r="C124" s="1">
        <v>4291.7998049999997</v>
      </c>
      <c r="D124" s="1">
        <v>4291.7998049999997</v>
      </c>
      <c r="E124" s="1">
        <v>4300.5200199999999</v>
      </c>
      <c r="F124" s="1">
        <v>4287.0400390000004</v>
      </c>
      <c r="G124" s="1">
        <v>4293.2099609999996</v>
      </c>
      <c r="H124" s="1">
        <v>3707150000</v>
      </c>
      <c r="I124" s="1">
        <f t="shared" si="1"/>
        <v>2.7733633166264265E-4</v>
      </c>
    </row>
    <row r="125" spans="1:9" x14ac:dyDescent="0.35">
      <c r="A125" s="1">
        <v>123</v>
      </c>
      <c r="B125" s="1" t="s">
        <v>132</v>
      </c>
      <c r="C125" s="1">
        <v>4297.5</v>
      </c>
      <c r="D125" s="1">
        <v>4297.5</v>
      </c>
      <c r="E125" s="1">
        <v>4302.4301759999998</v>
      </c>
      <c r="F125" s="1">
        <v>4287.9599609999996</v>
      </c>
      <c r="G125" s="1">
        <v>4290.6499020000001</v>
      </c>
      <c r="H125" s="1">
        <v>4266040000</v>
      </c>
      <c r="I125" s="1">
        <f t="shared" si="1"/>
        <v>1.3281595738364944E-3</v>
      </c>
    </row>
    <row r="126" spans="1:9" x14ac:dyDescent="0.35">
      <c r="A126" s="1">
        <v>124</v>
      </c>
      <c r="B126" s="1" t="s">
        <v>133</v>
      </c>
      <c r="C126" s="1">
        <v>4319.9399409999996</v>
      </c>
      <c r="D126" s="1">
        <v>4319.9399409999996</v>
      </c>
      <c r="E126" s="1">
        <v>4320.6601559999999</v>
      </c>
      <c r="F126" s="1">
        <v>4300.7299800000001</v>
      </c>
      <c r="G126" s="1">
        <v>4300.7299800000001</v>
      </c>
      <c r="H126" s="1">
        <v>3788230000</v>
      </c>
      <c r="I126" s="1">
        <f t="shared" si="1"/>
        <v>5.2216267597439527E-3</v>
      </c>
    </row>
    <row r="127" spans="1:9" x14ac:dyDescent="0.35">
      <c r="A127" s="1">
        <v>125</v>
      </c>
      <c r="B127" s="1" t="s">
        <v>134</v>
      </c>
      <c r="C127" s="1">
        <v>4352.3398440000001</v>
      </c>
      <c r="D127" s="1">
        <v>4352.3398440000001</v>
      </c>
      <c r="E127" s="1">
        <v>4355.4301759999998</v>
      </c>
      <c r="F127" s="1">
        <v>4326.6000979999999</v>
      </c>
      <c r="G127" s="1">
        <v>4326.6000979999999</v>
      </c>
      <c r="H127" s="1">
        <v>3225840000</v>
      </c>
      <c r="I127" s="1">
        <f t="shared" si="1"/>
        <v>7.5000818165310811E-3</v>
      </c>
    </row>
    <row r="128" spans="1:9" x14ac:dyDescent="0.35">
      <c r="A128" s="1">
        <v>126</v>
      </c>
      <c r="B128" s="1" t="s">
        <v>135</v>
      </c>
      <c r="C128" s="1">
        <v>4343.5400390000004</v>
      </c>
      <c r="D128" s="1">
        <v>4343.5400390000004</v>
      </c>
      <c r="E128" s="1">
        <v>4356.4599609999996</v>
      </c>
      <c r="F128" s="1">
        <v>4314.3701170000004</v>
      </c>
      <c r="G128" s="1">
        <v>4356.4599609999996</v>
      </c>
      <c r="H128" s="1">
        <v>4309570000</v>
      </c>
      <c r="I128" s="1">
        <f t="shared" si="1"/>
        <v>-2.0218561315083856E-3</v>
      </c>
    </row>
    <row r="129" spans="1:9" x14ac:dyDescent="0.35">
      <c r="A129" s="1">
        <v>127</v>
      </c>
      <c r="B129" s="1" t="s">
        <v>136</v>
      </c>
      <c r="C129" s="1">
        <v>4358.1298829999996</v>
      </c>
      <c r="D129" s="1">
        <v>4358.1298829999996</v>
      </c>
      <c r="E129" s="1">
        <v>4361.8798829999996</v>
      </c>
      <c r="F129" s="1">
        <v>4329.7900390000004</v>
      </c>
      <c r="G129" s="1">
        <v>4351.0097660000001</v>
      </c>
      <c r="H129" s="1">
        <v>4037380000</v>
      </c>
      <c r="I129" s="1">
        <f t="shared" si="1"/>
        <v>3.3589753677873658E-3</v>
      </c>
    </row>
    <row r="130" spans="1:9" x14ac:dyDescent="0.35">
      <c r="A130" s="1">
        <v>128</v>
      </c>
      <c r="B130" s="1" t="s">
        <v>137</v>
      </c>
      <c r="C130" s="1">
        <v>4320.8198240000002</v>
      </c>
      <c r="D130" s="1">
        <v>4320.8198240000002</v>
      </c>
      <c r="E130" s="1">
        <v>4330.8798829999996</v>
      </c>
      <c r="F130" s="1">
        <v>4289.3701170000004</v>
      </c>
      <c r="G130" s="1">
        <v>4321.0698240000002</v>
      </c>
      <c r="H130" s="1">
        <v>4347500000</v>
      </c>
      <c r="I130" s="1">
        <f t="shared" si="1"/>
        <v>-8.5610250271651797E-3</v>
      </c>
    </row>
    <row r="131" spans="1:9" x14ac:dyDescent="0.35">
      <c r="A131" s="1">
        <v>129</v>
      </c>
      <c r="B131" s="1" t="s">
        <v>138</v>
      </c>
      <c r="C131" s="1">
        <v>4369.5498049999997</v>
      </c>
      <c r="D131" s="1">
        <v>4369.5498049999997</v>
      </c>
      <c r="E131" s="1">
        <v>4371.6000979999999</v>
      </c>
      <c r="F131" s="1">
        <v>4329.3798829999996</v>
      </c>
      <c r="G131" s="1">
        <v>4329.3798829999996</v>
      </c>
      <c r="H131" s="1">
        <v>3531120000</v>
      </c>
      <c r="I131" s="1">
        <f t="shared" si="1"/>
        <v>1.1277947932318016E-2</v>
      </c>
    </row>
    <row r="132" spans="1:9" x14ac:dyDescent="0.35">
      <c r="A132" s="1">
        <v>130</v>
      </c>
      <c r="B132" s="1" t="s">
        <v>139</v>
      </c>
      <c r="C132" s="1">
        <v>4384.6298829999996</v>
      </c>
      <c r="D132" s="1">
        <v>4384.6298829999996</v>
      </c>
      <c r="E132" s="1">
        <v>4386.6801759999998</v>
      </c>
      <c r="F132" s="1">
        <v>4364.0297849999997</v>
      </c>
      <c r="G132" s="1">
        <v>4372.4101559999999</v>
      </c>
      <c r="H132" s="1">
        <v>3384460000</v>
      </c>
      <c r="I132" s="1">
        <f t="shared" ref="I132:I195" si="2">(C132-C131)/C131</f>
        <v>3.4511743023832998E-3</v>
      </c>
    </row>
    <row r="133" spans="1:9" x14ac:dyDescent="0.35">
      <c r="A133" s="1">
        <v>131</v>
      </c>
      <c r="B133" s="1" t="s">
        <v>140</v>
      </c>
      <c r="C133" s="1">
        <v>4369.2099609999996</v>
      </c>
      <c r="D133" s="1">
        <v>4369.2099609999996</v>
      </c>
      <c r="E133" s="1">
        <v>4392.3701170000004</v>
      </c>
      <c r="F133" s="1">
        <v>4366.919922</v>
      </c>
      <c r="G133" s="1">
        <v>4381.0698240000002</v>
      </c>
      <c r="H133" s="1">
        <v>3695430000</v>
      </c>
      <c r="I133" s="1">
        <f t="shared" si="2"/>
        <v>-3.5168126869238973E-3</v>
      </c>
    </row>
    <row r="134" spans="1:9" x14ac:dyDescent="0.35">
      <c r="A134" s="1">
        <v>132</v>
      </c>
      <c r="B134" s="1" t="s">
        <v>141</v>
      </c>
      <c r="C134" s="1">
        <v>4374.2998049999997</v>
      </c>
      <c r="D134" s="1">
        <v>4374.2998049999997</v>
      </c>
      <c r="E134" s="1">
        <v>4393.6801759999998</v>
      </c>
      <c r="F134" s="1">
        <v>4362.3598629999997</v>
      </c>
      <c r="G134" s="1">
        <v>4380.1098629999997</v>
      </c>
      <c r="H134" s="1">
        <v>4006370000</v>
      </c>
      <c r="I134" s="1">
        <f t="shared" si="2"/>
        <v>1.1649346324467205E-3</v>
      </c>
    </row>
    <row r="135" spans="1:9" x14ac:dyDescent="0.35">
      <c r="A135" s="1">
        <v>133</v>
      </c>
      <c r="B135" s="1" t="s">
        <v>142</v>
      </c>
      <c r="C135" s="1">
        <v>4360.0297849999997</v>
      </c>
      <c r="D135" s="1">
        <v>4360.0297849999997</v>
      </c>
      <c r="E135" s="1">
        <v>4369.0200199999999</v>
      </c>
      <c r="F135" s="1">
        <v>4340.7001950000003</v>
      </c>
      <c r="G135" s="1">
        <v>4369.0200199999999</v>
      </c>
      <c r="H135" s="1">
        <v>3905230000</v>
      </c>
      <c r="I135" s="1">
        <f t="shared" si="2"/>
        <v>-3.2622409610993577E-3</v>
      </c>
    </row>
    <row r="136" spans="1:9" x14ac:dyDescent="0.35">
      <c r="A136" s="1">
        <v>134</v>
      </c>
      <c r="B136" s="1" t="s">
        <v>143</v>
      </c>
      <c r="C136" s="1">
        <v>4327.1601559999999</v>
      </c>
      <c r="D136" s="1">
        <v>4327.1601559999999</v>
      </c>
      <c r="E136" s="1">
        <v>4375.0898440000001</v>
      </c>
      <c r="F136" s="1">
        <v>4322.5297849999997</v>
      </c>
      <c r="G136" s="1">
        <v>4367.4301759999998</v>
      </c>
      <c r="H136" s="1">
        <v>3985700000</v>
      </c>
      <c r="I136" s="1">
        <f t="shared" si="2"/>
        <v>-7.5388542328501101E-3</v>
      </c>
    </row>
    <row r="137" spans="1:9" x14ac:dyDescent="0.35">
      <c r="A137" s="1">
        <v>135</v>
      </c>
      <c r="B137" s="1" t="s">
        <v>144</v>
      </c>
      <c r="C137" s="1">
        <v>4258.4902339999999</v>
      </c>
      <c r="D137" s="1">
        <v>4258.4902339999999</v>
      </c>
      <c r="E137" s="1">
        <v>4296.3999020000001</v>
      </c>
      <c r="F137" s="1">
        <v>4233.1298829999996</v>
      </c>
      <c r="G137" s="1">
        <v>4296.3999020000001</v>
      </c>
      <c r="H137" s="1">
        <v>5157660000</v>
      </c>
      <c r="I137" s="1">
        <f t="shared" si="2"/>
        <v>-1.586951245721353E-2</v>
      </c>
    </row>
    <row r="138" spans="1:9" x14ac:dyDescent="0.35">
      <c r="A138" s="1">
        <v>136</v>
      </c>
      <c r="B138" s="1" t="s">
        <v>145</v>
      </c>
      <c r="C138" s="1">
        <v>4323.0600590000004</v>
      </c>
      <c r="D138" s="1">
        <v>4323.0600590000004</v>
      </c>
      <c r="E138" s="1">
        <v>4336.8398440000001</v>
      </c>
      <c r="F138" s="1">
        <v>4262.0498049999997</v>
      </c>
      <c r="G138" s="1">
        <v>4265.1098629999997</v>
      </c>
      <c r="H138" s="1">
        <v>4438270000</v>
      </c>
      <c r="I138" s="1">
        <f t="shared" si="2"/>
        <v>1.5162609622647897E-2</v>
      </c>
    </row>
    <row r="139" spans="1:9" x14ac:dyDescent="0.35">
      <c r="A139" s="1">
        <v>137</v>
      </c>
      <c r="B139" s="1" t="s">
        <v>146</v>
      </c>
      <c r="C139" s="1">
        <v>4358.6899409999996</v>
      </c>
      <c r="D139" s="1">
        <v>4358.6899409999996</v>
      </c>
      <c r="E139" s="1">
        <v>4359.7001950000003</v>
      </c>
      <c r="F139" s="1">
        <v>4331.1298829999996</v>
      </c>
      <c r="G139" s="1">
        <v>4331.1298829999996</v>
      </c>
      <c r="H139" s="1">
        <v>3810280000</v>
      </c>
      <c r="I139" s="1">
        <f t="shared" si="2"/>
        <v>8.2418198021151443E-3</v>
      </c>
    </row>
    <row r="140" spans="1:9" x14ac:dyDescent="0.35">
      <c r="A140" s="1">
        <v>138</v>
      </c>
      <c r="B140" s="1" t="s">
        <v>147</v>
      </c>
      <c r="C140" s="1">
        <v>4367.4799800000001</v>
      </c>
      <c r="D140" s="1">
        <v>4367.4799800000001</v>
      </c>
      <c r="E140" s="1">
        <v>4369.8701170000004</v>
      </c>
      <c r="F140" s="1">
        <v>4350.0600590000004</v>
      </c>
      <c r="G140" s="1">
        <v>4361.2700199999999</v>
      </c>
      <c r="H140" s="1">
        <v>3358300000</v>
      </c>
      <c r="I140" s="1">
        <f t="shared" si="2"/>
        <v>2.0166699441767967E-3</v>
      </c>
    </row>
    <row r="141" spans="1:9" x14ac:dyDescent="0.35">
      <c r="A141" s="1">
        <v>139</v>
      </c>
      <c r="B141" s="1" t="s">
        <v>148</v>
      </c>
      <c r="C141" s="1">
        <v>4411.7900390000004</v>
      </c>
      <c r="D141" s="1">
        <v>4411.7900390000004</v>
      </c>
      <c r="E141" s="1">
        <v>4415.1801759999998</v>
      </c>
      <c r="F141" s="1">
        <v>4381.2001950000003</v>
      </c>
      <c r="G141" s="1">
        <v>4381.2001950000003</v>
      </c>
      <c r="H141" s="1">
        <v>4540070000</v>
      </c>
      <c r="I141" s="1">
        <f t="shared" si="2"/>
        <v>1.014545211492884E-2</v>
      </c>
    </row>
    <row r="142" spans="1:9" x14ac:dyDescent="0.35">
      <c r="A142" s="1">
        <v>140</v>
      </c>
      <c r="B142" s="1" t="s">
        <v>149</v>
      </c>
      <c r="C142" s="1">
        <v>4422.2998049999997</v>
      </c>
      <c r="D142" s="1">
        <v>4422.2998049999997</v>
      </c>
      <c r="E142" s="1">
        <v>4422.7299800000001</v>
      </c>
      <c r="F142" s="1">
        <v>4405.4501950000003</v>
      </c>
      <c r="G142" s="1">
        <v>4409.580078</v>
      </c>
      <c r="H142" s="1">
        <v>4275630000</v>
      </c>
      <c r="I142" s="1">
        <f t="shared" si="2"/>
        <v>2.3821999476614751E-3</v>
      </c>
    </row>
    <row r="143" spans="1:9" x14ac:dyDescent="0.35">
      <c r="A143" s="1">
        <v>141</v>
      </c>
      <c r="B143" s="1" t="s">
        <v>150</v>
      </c>
      <c r="C143" s="1">
        <v>4401.4599609999996</v>
      </c>
      <c r="D143" s="1">
        <v>4401.4599609999996</v>
      </c>
      <c r="E143" s="1">
        <v>4416.3798829999996</v>
      </c>
      <c r="F143" s="1">
        <v>4372.5097660000001</v>
      </c>
      <c r="G143" s="1">
        <v>4416.3798829999996</v>
      </c>
      <c r="H143" s="1">
        <v>4241950000</v>
      </c>
      <c r="I143" s="1">
        <f t="shared" si="2"/>
        <v>-4.7124448632898793E-3</v>
      </c>
    </row>
    <row r="144" spans="1:9" x14ac:dyDescent="0.35">
      <c r="A144" s="1">
        <v>142</v>
      </c>
      <c r="B144" s="1" t="s">
        <v>151</v>
      </c>
      <c r="C144" s="1">
        <v>4400.6401370000003</v>
      </c>
      <c r="D144" s="1">
        <v>4400.6401370000003</v>
      </c>
      <c r="E144" s="1">
        <v>4415.4702150000003</v>
      </c>
      <c r="F144" s="1">
        <v>4387.0097660000001</v>
      </c>
      <c r="G144" s="1">
        <v>4402.9501950000003</v>
      </c>
      <c r="H144" s="1">
        <v>4215290000</v>
      </c>
      <c r="I144" s="1">
        <f t="shared" si="2"/>
        <v>-1.8626183295166954E-4</v>
      </c>
    </row>
    <row r="145" spans="1:9" x14ac:dyDescent="0.35">
      <c r="A145" s="1">
        <v>143</v>
      </c>
      <c r="B145" s="1" t="s">
        <v>152</v>
      </c>
      <c r="C145" s="1">
        <v>4419.1499020000001</v>
      </c>
      <c r="D145" s="1">
        <v>4419.1499020000001</v>
      </c>
      <c r="E145" s="1">
        <v>4429.9702150000003</v>
      </c>
      <c r="F145" s="1">
        <v>4403.5898440000001</v>
      </c>
      <c r="G145" s="1">
        <v>4403.5898440000001</v>
      </c>
      <c r="H145" s="1">
        <v>4044600000</v>
      </c>
      <c r="I145" s="1">
        <f t="shared" si="2"/>
        <v>4.206152837713798E-3</v>
      </c>
    </row>
    <row r="146" spans="1:9" x14ac:dyDescent="0.35">
      <c r="A146" s="1">
        <v>144</v>
      </c>
      <c r="B146" s="1" t="s">
        <v>153</v>
      </c>
      <c r="C146" s="1">
        <v>4395.2597660000001</v>
      </c>
      <c r="D146" s="1">
        <v>4395.2597660000001</v>
      </c>
      <c r="E146" s="1">
        <v>4412.25</v>
      </c>
      <c r="F146" s="1">
        <v>4389.6499020000001</v>
      </c>
      <c r="G146" s="1">
        <v>4395.1201170000004</v>
      </c>
      <c r="H146" s="1">
        <v>3956740000</v>
      </c>
      <c r="I146" s="1">
        <f t="shared" si="2"/>
        <v>-5.4060478892530633E-3</v>
      </c>
    </row>
    <row r="147" spans="1:9" x14ac:dyDescent="0.35">
      <c r="A147" s="1">
        <v>145</v>
      </c>
      <c r="B147" s="1" t="s">
        <v>154</v>
      </c>
      <c r="C147" s="1">
        <v>4387.1601559999999</v>
      </c>
      <c r="D147" s="1">
        <v>4387.1601559999999</v>
      </c>
      <c r="E147" s="1">
        <v>4422.1801759999998</v>
      </c>
      <c r="F147" s="1">
        <v>4384.8100590000004</v>
      </c>
      <c r="G147" s="1">
        <v>4406.8598629999997</v>
      </c>
      <c r="H147" s="1">
        <v>3724090000</v>
      </c>
      <c r="I147" s="1">
        <f t="shared" si="2"/>
        <v>-1.8428057569328683E-3</v>
      </c>
    </row>
    <row r="148" spans="1:9" x14ac:dyDescent="0.35">
      <c r="A148" s="1">
        <v>146</v>
      </c>
      <c r="B148" s="1" t="s">
        <v>155</v>
      </c>
      <c r="C148" s="1">
        <v>4423.1499020000001</v>
      </c>
      <c r="D148" s="1">
        <v>4423.1499020000001</v>
      </c>
      <c r="E148" s="1">
        <v>4423.7900390000004</v>
      </c>
      <c r="F148" s="1">
        <v>4373</v>
      </c>
      <c r="G148" s="1">
        <v>4392.7402339999999</v>
      </c>
      <c r="H148" s="1">
        <v>3965190000</v>
      </c>
      <c r="I148" s="1">
        <f t="shared" si="2"/>
        <v>8.2034265265606126E-3</v>
      </c>
    </row>
    <row r="149" spans="1:9" x14ac:dyDescent="0.35">
      <c r="A149" s="1">
        <v>147</v>
      </c>
      <c r="B149" s="1" t="s">
        <v>156</v>
      </c>
      <c r="C149" s="1">
        <v>4402.6601559999999</v>
      </c>
      <c r="D149" s="1">
        <v>4402.6601559999999</v>
      </c>
      <c r="E149" s="1">
        <v>4416.169922</v>
      </c>
      <c r="F149" s="1">
        <v>4400.2299800000001</v>
      </c>
      <c r="G149" s="1">
        <v>4415.9501950000003</v>
      </c>
      <c r="H149" s="1">
        <v>4260760000</v>
      </c>
      <c r="I149" s="1">
        <f t="shared" si="2"/>
        <v>-4.6323878805770114E-3</v>
      </c>
    </row>
    <row r="150" spans="1:9" x14ac:dyDescent="0.35">
      <c r="A150" s="1">
        <v>148</v>
      </c>
      <c r="B150" s="1" t="s">
        <v>157</v>
      </c>
      <c r="C150" s="1">
        <v>4429.1000979999999</v>
      </c>
      <c r="D150" s="1">
        <v>4429.1000979999999</v>
      </c>
      <c r="E150" s="1">
        <v>4429.7597660000001</v>
      </c>
      <c r="F150" s="1">
        <v>4408.8598629999997</v>
      </c>
      <c r="G150" s="1">
        <v>4408.8598629999997</v>
      </c>
      <c r="H150" s="1">
        <v>3769410000</v>
      </c>
      <c r="I150" s="1">
        <f t="shared" si="2"/>
        <v>6.0054469486969806E-3</v>
      </c>
    </row>
    <row r="151" spans="1:9" x14ac:dyDescent="0.35">
      <c r="A151" s="1">
        <v>149</v>
      </c>
      <c r="B151" s="1" t="s">
        <v>158</v>
      </c>
      <c r="C151" s="1">
        <v>4436.5200199999999</v>
      </c>
      <c r="D151" s="1">
        <v>4436.5200199999999</v>
      </c>
      <c r="E151" s="1">
        <v>4440.8198240000002</v>
      </c>
      <c r="F151" s="1">
        <v>4429.0698240000002</v>
      </c>
      <c r="G151" s="1">
        <v>4429.0698240000002</v>
      </c>
      <c r="H151" s="1">
        <v>3451870000</v>
      </c>
      <c r="I151" s="1">
        <f t="shared" si="2"/>
        <v>1.6752662698570698E-3</v>
      </c>
    </row>
    <row r="152" spans="1:9" x14ac:dyDescent="0.35">
      <c r="A152" s="1">
        <v>150</v>
      </c>
      <c r="B152" s="1" t="s">
        <v>159</v>
      </c>
      <c r="C152" s="1">
        <v>4432.3500979999999</v>
      </c>
      <c r="D152" s="1">
        <v>4432.3500979999999</v>
      </c>
      <c r="E152" s="1">
        <v>4439.3901370000003</v>
      </c>
      <c r="F152" s="1">
        <v>4424.7402339999999</v>
      </c>
      <c r="G152" s="1">
        <v>4437.7700199999999</v>
      </c>
      <c r="H152" s="1">
        <v>3449280000</v>
      </c>
      <c r="I152" s="1">
        <f t="shared" si="2"/>
        <v>-9.3990830227337564E-4</v>
      </c>
    </row>
    <row r="153" spans="1:9" x14ac:dyDescent="0.35">
      <c r="A153" s="1">
        <v>151</v>
      </c>
      <c r="B153" s="1" t="s">
        <v>160</v>
      </c>
      <c r="C153" s="1">
        <v>4436.75</v>
      </c>
      <c r="D153" s="1">
        <v>4436.75</v>
      </c>
      <c r="E153" s="1">
        <v>4445.2099609999996</v>
      </c>
      <c r="F153" s="1">
        <v>4430.0297849999997</v>
      </c>
      <c r="G153" s="1">
        <v>4435.7900390000004</v>
      </c>
      <c r="H153" s="1">
        <v>3886610000</v>
      </c>
      <c r="I153" s="1">
        <f t="shared" si="2"/>
        <v>9.9267925653830232E-4</v>
      </c>
    </row>
    <row r="154" spans="1:9" x14ac:dyDescent="0.35">
      <c r="A154" s="1">
        <v>152</v>
      </c>
      <c r="B154" s="1" t="s">
        <v>161</v>
      </c>
      <c r="C154" s="1">
        <v>4442.4101559999999</v>
      </c>
      <c r="D154" s="1">
        <v>4442.4101559999999</v>
      </c>
      <c r="E154" s="1">
        <v>4449.4399409999996</v>
      </c>
      <c r="F154" s="1">
        <v>4436.419922</v>
      </c>
      <c r="G154" s="1">
        <v>4442.1801759999998</v>
      </c>
      <c r="H154" s="1">
        <v>3532560000</v>
      </c>
      <c r="I154" s="1">
        <f t="shared" si="2"/>
        <v>1.2757437313348544E-3</v>
      </c>
    </row>
    <row r="155" spans="1:9" x14ac:dyDescent="0.35">
      <c r="A155" s="1">
        <v>153</v>
      </c>
      <c r="B155" s="1" t="s">
        <v>162</v>
      </c>
      <c r="C155" s="1">
        <v>4460.830078</v>
      </c>
      <c r="D155" s="1">
        <v>4460.830078</v>
      </c>
      <c r="E155" s="1">
        <v>4461.7700199999999</v>
      </c>
      <c r="F155" s="1">
        <v>4435.9599609999996</v>
      </c>
      <c r="G155" s="1">
        <v>4446.080078</v>
      </c>
      <c r="H155" s="1">
        <v>3375310000</v>
      </c>
      <c r="I155" s="1">
        <f t="shared" si="2"/>
        <v>4.1463803100489855E-3</v>
      </c>
    </row>
    <row r="156" spans="1:9" x14ac:dyDescent="0.35">
      <c r="A156" s="1">
        <v>154</v>
      </c>
      <c r="B156" s="1" t="s">
        <v>163</v>
      </c>
      <c r="C156" s="1">
        <v>4468</v>
      </c>
      <c r="D156" s="1">
        <v>4468</v>
      </c>
      <c r="E156" s="1">
        <v>4468.3701170000004</v>
      </c>
      <c r="F156" s="1">
        <v>4460.8198240000002</v>
      </c>
      <c r="G156" s="1">
        <v>4464.8398440000001</v>
      </c>
      <c r="H156" s="1">
        <v>3016470000</v>
      </c>
      <c r="I156" s="1">
        <f t="shared" si="2"/>
        <v>1.6073066838750011E-3</v>
      </c>
    </row>
    <row r="157" spans="1:9" x14ac:dyDescent="0.35">
      <c r="A157" s="1">
        <v>155</v>
      </c>
      <c r="B157" s="1" t="s">
        <v>164</v>
      </c>
      <c r="C157" s="1">
        <v>4479.7099609999996</v>
      </c>
      <c r="D157" s="1">
        <v>4479.7099609999996</v>
      </c>
      <c r="E157" s="1">
        <v>4480.2597660000001</v>
      </c>
      <c r="F157" s="1">
        <v>4437.6601559999999</v>
      </c>
      <c r="G157" s="1">
        <v>4461.6499020000001</v>
      </c>
      <c r="H157" s="1">
        <v>3370640000</v>
      </c>
      <c r="I157" s="1">
        <f t="shared" si="2"/>
        <v>2.6208507162040211E-3</v>
      </c>
    </row>
    <row r="158" spans="1:9" x14ac:dyDescent="0.35">
      <c r="A158" s="1">
        <v>156</v>
      </c>
      <c r="B158" s="1" t="s">
        <v>165</v>
      </c>
      <c r="C158" s="1">
        <v>4448.080078</v>
      </c>
      <c r="D158" s="1">
        <v>4448.080078</v>
      </c>
      <c r="E158" s="1">
        <v>4462.1201170000004</v>
      </c>
      <c r="F158" s="1">
        <v>4417.830078</v>
      </c>
      <c r="G158" s="1">
        <v>4462.1201170000004</v>
      </c>
      <c r="H158" s="1">
        <v>3836960000</v>
      </c>
      <c r="I158" s="1">
        <f t="shared" si="2"/>
        <v>-7.0606988567043106E-3</v>
      </c>
    </row>
    <row r="159" spans="1:9" x14ac:dyDescent="0.35">
      <c r="A159" s="1">
        <v>157</v>
      </c>
      <c r="B159" s="1" t="s">
        <v>166</v>
      </c>
      <c r="C159" s="1">
        <v>4400.2700199999999</v>
      </c>
      <c r="D159" s="1">
        <v>4400.2700199999999</v>
      </c>
      <c r="E159" s="1">
        <v>4454.3198240000002</v>
      </c>
      <c r="F159" s="1">
        <v>4397.5898440000001</v>
      </c>
      <c r="G159" s="1">
        <v>4440.9399409999996</v>
      </c>
      <c r="H159" s="1">
        <v>3755590000</v>
      </c>
      <c r="I159" s="1">
        <f t="shared" si="2"/>
        <v>-1.07484706124034E-2</v>
      </c>
    </row>
    <row r="160" spans="1:9" x14ac:dyDescent="0.35">
      <c r="A160" s="1">
        <v>158</v>
      </c>
      <c r="B160" s="1" t="s">
        <v>167</v>
      </c>
      <c r="C160" s="1">
        <v>4405.7998049999997</v>
      </c>
      <c r="D160" s="1">
        <v>4405.7998049999997</v>
      </c>
      <c r="E160" s="1">
        <v>4418.6098629999997</v>
      </c>
      <c r="F160" s="1">
        <v>4367.7299800000001</v>
      </c>
      <c r="G160" s="1">
        <v>4382.4399409999996</v>
      </c>
      <c r="H160" s="1">
        <v>4398410000</v>
      </c>
      <c r="I160" s="1">
        <f t="shared" si="2"/>
        <v>1.2566921972665031E-3</v>
      </c>
    </row>
    <row r="161" spans="1:9" x14ac:dyDescent="0.35">
      <c r="A161" s="1">
        <v>159</v>
      </c>
      <c r="B161" s="1" t="s">
        <v>168</v>
      </c>
      <c r="C161" s="1">
        <v>4441.669922</v>
      </c>
      <c r="D161" s="1">
        <v>4441.669922</v>
      </c>
      <c r="E161" s="1">
        <v>4444.3500979999999</v>
      </c>
      <c r="F161" s="1">
        <v>4406.7998049999997</v>
      </c>
      <c r="G161" s="1">
        <v>4410.5600590000004</v>
      </c>
      <c r="H161" s="1">
        <v>3652610000</v>
      </c>
      <c r="I161" s="1">
        <f t="shared" si="2"/>
        <v>8.1415676126029499E-3</v>
      </c>
    </row>
    <row r="162" spans="1:9" x14ac:dyDescent="0.35">
      <c r="A162" s="1">
        <v>160</v>
      </c>
      <c r="B162" s="1" t="s">
        <v>169</v>
      </c>
      <c r="C162" s="1">
        <v>4479.5297849999997</v>
      </c>
      <c r="D162" s="1">
        <v>4479.5297849999997</v>
      </c>
      <c r="E162" s="1">
        <v>4489.8798829999996</v>
      </c>
      <c r="F162" s="1">
        <v>4450.2900390000004</v>
      </c>
      <c r="G162" s="1">
        <v>4450.2900390000004</v>
      </c>
      <c r="H162" s="1">
        <v>3576530000</v>
      </c>
      <c r="I162" s="1">
        <f t="shared" si="2"/>
        <v>8.5237903006876517E-3</v>
      </c>
    </row>
    <row r="163" spans="1:9" x14ac:dyDescent="0.35">
      <c r="A163" s="1">
        <v>161</v>
      </c>
      <c r="B163" s="1" t="s">
        <v>170</v>
      </c>
      <c r="C163" s="1">
        <v>4486.2299800000001</v>
      </c>
      <c r="D163" s="1">
        <v>4486.2299800000001</v>
      </c>
      <c r="E163" s="1">
        <v>4492.8100590000004</v>
      </c>
      <c r="F163" s="1">
        <v>4482.2797849999997</v>
      </c>
      <c r="G163" s="1">
        <v>4484.3999020000001</v>
      </c>
      <c r="H163" s="1">
        <v>3979220000</v>
      </c>
      <c r="I163" s="1">
        <f t="shared" si="2"/>
        <v>1.4957362316099321E-3</v>
      </c>
    </row>
    <row r="164" spans="1:9" x14ac:dyDescent="0.35">
      <c r="A164" s="1">
        <v>162</v>
      </c>
      <c r="B164" s="1" t="s">
        <v>171</v>
      </c>
      <c r="C164" s="1">
        <v>4496.1899409999996</v>
      </c>
      <c r="D164" s="1">
        <v>4496.1899409999996</v>
      </c>
      <c r="E164" s="1">
        <v>4501.7099609999996</v>
      </c>
      <c r="F164" s="1">
        <v>4485.6601559999999</v>
      </c>
      <c r="G164" s="1">
        <v>4490.4501950000003</v>
      </c>
      <c r="H164" s="1">
        <v>3444700000</v>
      </c>
      <c r="I164" s="1">
        <f t="shared" si="2"/>
        <v>2.2201182383430923E-3</v>
      </c>
    </row>
    <row r="165" spans="1:9" x14ac:dyDescent="0.35">
      <c r="A165" s="1">
        <v>163</v>
      </c>
      <c r="B165" s="1" t="s">
        <v>172</v>
      </c>
      <c r="C165" s="1">
        <v>4470</v>
      </c>
      <c r="D165" s="1">
        <v>4470</v>
      </c>
      <c r="E165" s="1">
        <v>4495.8999020000001</v>
      </c>
      <c r="F165" s="1">
        <v>4468.9902339999999</v>
      </c>
      <c r="G165" s="1">
        <v>4493.75</v>
      </c>
      <c r="H165" s="1">
        <v>3263980000</v>
      </c>
      <c r="I165" s="1">
        <f t="shared" si="2"/>
        <v>-5.8249187297845159E-3</v>
      </c>
    </row>
    <row r="166" spans="1:9" x14ac:dyDescent="0.35">
      <c r="A166" s="1">
        <v>164</v>
      </c>
      <c r="B166" s="1" t="s">
        <v>173</v>
      </c>
      <c r="C166" s="1">
        <v>4509.3701170000004</v>
      </c>
      <c r="D166" s="1">
        <v>4509.3701170000004</v>
      </c>
      <c r="E166" s="1">
        <v>4513.330078</v>
      </c>
      <c r="F166" s="1">
        <v>4474.1000979999999</v>
      </c>
      <c r="G166" s="1">
        <v>4474.1000979999999</v>
      </c>
      <c r="H166" s="1">
        <v>3331200000</v>
      </c>
      <c r="I166" s="1">
        <f t="shared" si="2"/>
        <v>8.8076324384788341E-3</v>
      </c>
    </row>
    <row r="167" spans="1:9" x14ac:dyDescent="0.35">
      <c r="A167" s="1">
        <v>165</v>
      </c>
      <c r="B167" s="1" t="s">
        <v>174</v>
      </c>
      <c r="C167" s="1">
        <v>4528.7900390000004</v>
      </c>
      <c r="D167" s="1">
        <v>4528.7900390000004</v>
      </c>
      <c r="E167" s="1">
        <v>4537.3598629999997</v>
      </c>
      <c r="F167" s="1">
        <v>4513.7597660000001</v>
      </c>
      <c r="G167" s="1">
        <v>4513.7597660000001</v>
      </c>
      <c r="H167" s="1">
        <v>3168660000</v>
      </c>
      <c r="I167" s="1">
        <f t="shared" si="2"/>
        <v>4.3065708726787218E-3</v>
      </c>
    </row>
    <row r="168" spans="1:9" x14ac:dyDescent="0.35">
      <c r="A168" s="1">
        <v>166</v>
      </c>
      <c r="B168" s="1" t="s">
        <v>175</v>
      </c>
      <c r="C168" s="1">
        <v>4522.6801759999998</v>
      </c>
      <c r="D168" s="1">
        <v>4522.6801759999998</v>
      </c>
      <c r="E168" s="1">
        <v>4531.3901370000003</v>
      </c>
      <c r="F168" s="1">
        <v>4515.7998049999997</v>
      </c>
      <c r="G168" s="1">
        <v>4529.75</v>
      </c>
      <c r="H168" s="1">
        <v>4290710000</v>
      </c>
      <c r="I168" s="1">
        <f t="shared" si="2"/>
        <v>-1.3491159774211353E-3</v>
      </c>
    </row>
    <row r="169" spans="1:9" x14ac:dyDescent="0.35">
      <c r="A169" s="1">
        <v>167</v>
      </c>
      <c r="B169" s="1" t="s">
        <v>176</v>
      </c>
      <c r="C169" s="1">
        <v>4524.0898440000001</v>
      </c>
      <c r="D169" s="1">
        <v>4524.0898440000001</v>
      </c>
      <c r="E169" s="1">
        <v>4537.1098629999997</v>
      </c>
      <c r="F169" s="1">
        <v>4522.0200199999999</v>
      </c>
      <c r="G169" s="1">
        <v>4528.7998049999997</v>
      </c>
      <c r="H169" s="1">
        <v>4057340000</v>
      </c>
      <c r="I169" s="1">
        <f t="shared" si="2"/>
        <v>3.116886326565308E-4</v>
      </c>
    </row>
    <row r="170" spans="1:9" x14ac:dyDescent="0.35">
      <c r="A170" s="1">
        <v>168</v>
      </c>
      <c r="B170" s="1" t="s">
        <v>177</v>
      </c>
      <c r="C170" s="1">
        <v>4536.9501950000003</v>
      </c>
      <c r="D170" s="1">
        <v>4536.9501950000003</v>
      </c>
      <c r="E170" s="1">
        <v>4545.8500979999999</v>
      </c>
      <c r="F170" s="1">
        <v>4524.6601559999999</v>
      </c>
      <c r="G170" s="1">
        <v>4534.4799800000001</v>
      </c>
      <c r="H170" s="1">
        <v>3735990000</v>
      </c>
      <c r="I170" s="1">
        <f t="shared" si="2"/>
        <v>2.8426382860314088E-3</v>
      </c>
    </row>
    <row r="171" spans="1:9" x14ac:dyDescent="0.35">
      <c r="A171" s="1">
        <v>169</v>
      </c>
      <c r="B171" s="1" t="s">
        <v>178</v>
      </c>
      <c r="C171" s="1">
        <v>4535.4301759999998</v>
      </c>
      <c r="D171" s="1">
        <v>4535.4301759999998</v>
      </c>
      <c r="E171" s="1">
        <v>4541.4501950000003</v>
      </c>
      <c r="F171" s="1">
        <v>4521.2998049999997</v>
      </c>
      <c r="G171" s="1">
        <v>4532.419922</v>
      </c>
      <c r="H171" s="1">
        <v>3217530000</v>
      </c>
      <c r="I171" s="1">
        <f t="shared" si="2"/>
        <v>-3.3503100864445398E-4</v>
      </c>
    </row>
    <row r="172" spans="1:9" x14ac:dyDescent="0.35">
      <c r="A172" s="1">
        <v>170</v>
      </c>
      <c r="B172" s="1" t="s">
        <v>179</v>
      </c>
      <c r="C172" s="1">
        <v>4520.0297849999997</v>
      </c>
      <c r="D172" s="1">
        <v>4520.0297849999997</v>
      </c>
      <c r="E172" s="1">
        <v>4535.3798829999996</v>
      </c>
      <c r="F172" s="1">
        <v>4513</v>
      </c>
      <c r="G172" s="1">
        <v>4535.3798829999996</v>
      </c>
      <c r="H172" s="1">
        <v>3822960000</v>
      </c>
      <c r="I172" s="1">
        <f t="shared" si="2"/>
        <v>-3.3955744885003224E-3</v>
      </c>
    </row>
    <row r="173" spans="1:9" x14ac:dyDescent="0.35">
      <c r="A173" s="1">
        <v>171</v>
      </c>
      <c r="B173" s="1" t="s">
        <v>180</v>
      </c>
      <c r="C173" s="1">
        <v>4514.0698240000002</v>
      </c>
      <c r="D173" s="1">
        <v>4514.0698240000002</v>
      </c>
      <c r="E173" s="1">
        <v>4521.7900390000004</v>
      </c>
      <c r="F173" s="1">
        <v>4493.9501950000003</v>
      </c>
      <c r="G173" s="1">
        <v>4518.0898440000001</v>
      </c>
      <c r="H173" s="1">
        <v>3750880000</v>
      </c>
      <c r="I173" s="1">
        <f t="shared" si="2"/>
        <v>-1.3185667536479667E-3</v>
      </c>
    </row>
    <row r="174" spans="1:9" x14ac:dyDescent="0.35">
      <c r="A174" s="1">
        <v>172</v>
      </c>
      <c r="B174" s="1" t="s">
        <v>181</v>
      </c>
      <c r="C174" s="1">
        <v>4493.2797849999997</v>
      </c>
      <c r="D174" s="1">
        <v>4493.2797849999997</v>
      </c>
      <c r="E174" s="1">
        <v>4529.8999020000001</v>
      </c>
      <c r="F174" s="1">
        <v>4492.0698240000002</v>
      </c>
      <c r="G174" s="1">
        <v>4513.0200199999999</v>
      </c>
      <c r="H174" s="1">
        <v>3735390000</v>
      </c>
      <c r="I174" s="1">
        <f t="shared" si="2"/>
        <v>-4.6056086437710432E-3</v>
      </c>
    </row>
    <row r="175" spans="1:9" x14ac:dyDescent="0.35">
      <c r="A175" s="1">
        <v>173</v>
      </c>
      <c r="B175" s="1" t="s">
        <v>182</v>
      </c>
      <c r="C175" s="1">
        <v>4458.580078</v>
      </c>
      <c r="D175" s="1">
        <v>4458.580078</v>
      </c>
      <c r="E175" s="1">
        <v>4520.4702150000003</v>
      </c>
      <c r="F175" s="1">
        <v>4457.6601559999999</v>
      </c>
      <c r="G175" s="1">
        <v>4506.919922</v>
      </c>
      <c r="H175" s="1">
        <v>3623180000</v>
      </c>
      <c r="I175" s="1">
        <f t="shared" si="2"/>
        <v>-7.7225787532391029E-3</v>
      </c>
    </row>
    <row r="176" spans="1:9" x14ac:dyDescent="0.35">
      <c r="A176" s="1">
        <v>174</v>
      </c>
      <c r="B176" s="1" t="s">
        <v>183</v>
      </c>
      <c r="C176" s="1">
        <v>4468.7299800000001</v>
      </c>
      <c r="D176" s="1">
        <v>4468.7299800000001</v>
      </c>
      <c r="E176" s="1">
        <v>4492.9902339999999</v>
      </c>
      <c r="F176" s="1">
        <v>4445.7001950000003</v>
      </c>
      <c r="G176" s="1">
        <v>4474.8100590000004</v>
      </c>
      <c r="H176" s="1">
        <v>3914220000</v>
      </c>
      <c r="I176" s="1">
        <f t="shared" si="2"/>
        <v>2.2764875414221755E-3</v>
      </c>
    </row>
    <row r="177" spans="1:9" x14ac:dyDescent="0.35">
      <c r="A177" s="1">
        <v>175</v>
      </c>
      <c r="B177" s="1" t="s">
        <v>184</v>
      </c>
      <c r="C177" s="1">
        <v>4443.0498049999997</v>
      </c>
      <c r="D177" s="1">
        <v>4443.0498049999997</v>
      </c>
      <c r="E177" s="1">
        <v>4485.6801759999998</v>
      </c>
      <c r="F177" s="1">
        <v>4435.4599609999996</v>
      </c>
      <c r="G177" s="1">
        <v>4479.330078</v>
      </c>
      <c r="H177" s="1">
        <v>3670460000</v>
      </c>
      <c r="I177" s="1">
        <f t="shared" si="2"/>
        <v>-5.7466383323524096E-3</v>
      </c>
    </row>
    <row r="178" spans="1:9" x14ac:dyDescent="0.35">
      <c r="A178" s="1">
        <v>176</v>
      </c>
      <c r="B178" s="1" t="s">
        <v>185</v>
      </c>
      <c r="C178" s="1">
        <v>4480.7001950000003</v>
      </c>
      <c r="D178" s="1">
        <v>4480.7001950000003</v>
      </c>
      <c r="E178" s="1">
        <v>4486.8701170000004</v>
      </c>
      <c r="F178" s="1">
        <v>4438.3701170000004</v>
      </c>
      <c r="G178" s="1">
        <v>4447.4902339999999</v>
      </c>
      <c r="H178" s="1">
        <v>4032020000</v>
      </c>
      <c r="I178" s="1">
        <f t="shared" si="2"/>
        <v>8.4739968383047877E-3</v>
      </c>
    </row>
    <row r="179" spans="1:9" x14ac:dyDescent="0.35">
      <c r="A179" s="1">
        <v>177</v>
      </c>
      <c r="B179" s="1" t="s">
        <v>186</v>
      </c>
      <c r="C179" s="1">
        <v>4473.75</v>
      </c>
      <c r="D179" s="1">
        <v>4473.75</v>
      </c>
      <c r="E179" s="1">
        <v>4485.8701170000004</v>
      </c>
      <c r="F179" s="1">
        <v>4443.7998049999997</v>
      </c>
      <c r="G179" s="1">
        <v>4477.0898440000001</v>
      </c>
      <c r="H179" s="1">
        <v>3984560000</v>
      </c>
      <c r="I179" s="1">
        <f t="shared" si="2"/>
        <v>-1.5511403792996573E-3</v>
      </c>
    </row>
    <row r="180" spans="1:9" x14ac:dyDescent="0.35">
      <c r="A180" s="1">
        <v>178</v>
      </c>
      <c r="B180" s="1" t="s">
        <v>187</v>
      </c>
      <c r="C180" s="1">
        <v>4432.9902339999999</v>
      </c>
      <c r="D180" s="1">
        <v>4432.9902339999999</v>
      </c>
      <c r="E180" s="1">
        <v>4471.5200199999999</v>
      </c>
      <c r="F180" s="1">
        <v>4427.7597660000001</v>
      </c>
      <c r="G180" s="1">
        <v>4469.7402339999999</v>
      </c>
      <c r="H180" s="1">
        <v>7289530000</v>
      </c>
      <c r="I180" s="1">
        <f t="shared" si="2"/>
        <v>-9.1108725342274668E-3</v>
      </c>
    </row>
    <row r="181" spans="1:9" x14ac:dyDescent="0.35">
      <c r="A181" s="1">
        <v>179</v>
      </c>
      <c r="B181" s="1" t="s">
        <v>188</v>
      </c>
      <c r="C181" s="1">
        <v>4357.7299800000001</v>
      </c>
      <c r="D181" s="1">
        <v>4357.7299800000001</v>
      </c>
      <c r="E181" s="1">
        <v>4402.9501950000003</v>
      </c>
      <c r="F181" s="1">
        <v>4305.9101559999999</v>
      </c>
      <c r="G181" s="1">
        <v>4402.9501950000003</v>
      </c>
      <c r="H181" s="1">
        <v>4898070000</v>
      </c>
      <c r="I181" s="1">
        <f t="shared" si="2"/>
        <v>-1.6977311030999174E-2</v>
      </c>
    </row>
    <row r="182" spans="1:9" x14ac:dyDescent="0.35">
      <c r="A182" s="1">
        <v>180</v>
      </c>
      <c r="B182" s="1" t="s">
        <v>189</v>
      </c>
      <c r="C182" s="1">
        <v>4354.1899409999996</v>
      </c>
      <c r="D182" s="1">
        <v>4354.1899409999996</v>
      </c>
      <c r="E182" s="1">
        <v>4394.8701170000004</v>
      </c>
      <c r="F182" s="1">
        <v>4347.9599609999996</v>
      </c>
      <c r="G182" s="1">
        <v>4374.4501950000003</v>
      </c>
      <c r="H182" s="1">
        <v>3920920000</v>
      </c>
      <c r="I182" s="1">
        <f t="shared" si="2"/>
        <v>-8.123585023045493E-4</v>
      </c>
    </row>
    <row r="183" spans="1:9" x14ac:dyDescent="0.35">
      <c r="A183" s="1">
        <v>181</v>
      </c>
      <c r="B183" s="1" t="s">
        <v>190</v>
      </c>
      <c r="C183" s="1">
        <v>4395.6401370000003</v>
      </c>
      <c r="D183" s="1">
        <v>4395.6401370000003</v>
      </c>
      <c r="E183" s="1">
        <v>4416.75</v>
      </c>
      <c r="F183" s="1">
        <v>4367.4301759999998</v>
      </c>
      <c r="G183" s="1">
        <v>4367.4301759999998</v>
      </c>
      <c r="H183" s="1">
        <v>3939170000</v>
      </c>
      <c r="I183" s="1">
        <f t="shared" si="2"/>
        <v>9.5196113540423725E-3</v>
      </c>
    </row>
    <row r="184" spans="1:9" x14ac:dyDescent="0.35">
      <c r="A184" s="1">
        <v>182</v>
      </c>
      <c r="B184" s="1" t="s">
        <v>191</v>
      </c>
      <c r="C184" s="1">
        <v>4448.9799800000001</v>
      </c>
      <c r="D184" s="1">
        <v>4448.9799800000001</v>
      </c>
      <c r="E184" s="1">
        <v>4465.3999020000001</v>
      </c>
      <c r="F184" s="1">
        <v>4406.75</v>
      </c>
      <c r="G184" s="1">
        <v>4406.75</v>
      </c>
      <c r="H184" s="1">
        <v>3916350000</v>
      </c>
      <c r="I184" s="1">
        <f t="shared" si="2"/>
        <v>1.2134715613094727E-2</v>
      </c>
    </row>
    <row r="185" spans="1:9" x14ac:dyDescent="0.35">
      <c r="A185" s="1">
        <v>183</v>
      </c>
      <c r="B185" s="1" t="s">
        <v>192</v>
      </c>
      <c r="C185" s="1">
        <v>4455.4799800000001</v>
      </c>
      <c r="D185" s="1">
        <v>4455.4799800000001</v>
      </c>
      <c r="E185" s="1">
        <v>4463.1201170000004</v>
      </c>
      <c r="F185" s="1">
        <v>4430.2700199999999</v>
      </c>
      <c r="G185" s="1">
        <v>4438.0400390000004</v>
      </c>
      <c r="H185" s="1">
        <v>3384290000</v>
      </c>
      <c r="I185" s="1">
        <f t="shared" si="2"/>
        <v>1.4610090468422381E-3</v>
      </c>
    </row>
    <row r="186" spans="1:9" x14ac:dyDescent="0.35">
      <c r="A186" s="1">
        <v>184</v>
      </c>
      <c r="B186" s="1" t="s">
        <v>193</v>
      </c>
      <c r="C186" s="1">
        <v>4443.1098629999997</v>
      </c>
      <c r="D186" s="1">
        <v>4443.1098629999997</v>
      </c>
      <c r="E186" s="1">
        <v>4457.2998049999997</v>
      </c>
      <c r="F186" s="1">
        <v>4436.1899409999996</v>
      </c>
      <c r="G186" s="1">
        <v>4442.1201170000004</v>
      </c>
      <c r="H186" s="1">
        <v>4058650000</v>
      </c>
      <c r="I186" s="1">
        <f t="shared" si="2"/>
        <v>-2.77638257954879E-3</v>
      </c>
    </row>
    <row r="187" spans="1:9" x14ac:dyDescent="0.35">
      <c r="A187" s="1">
        <v>185</v>
      </c>
      <c r="B187" s="1" t="s">
        <v>194</v>
      </c>
      <c r="C187" s="1">
        <v>4352.6298829999996</v>
      </c>
      <c r="D187" s="1">
        <v>4352.6298829999996</v>
      </c>
      <c r="E187" s="1">
        <v>4419.5400390000004</v>
      </c>
      <c r="F187" s="1">
        <v>4346.330078</v>
      </c>
      <c r="G187" s="1">
        <v>4419.5400390000004</v>
      </c>
      <c r="H187" s="1">
        <v>4416550000</v>
      </c>
      <c r="I187" s="1">
        <f t="shared" si="2"/>
        <v>-2.0364110451886901E-2</v>
      </c>
    </row>
    <row r="188" spans="1:9" x14ac:dyDescent="0.35">
      <c r="A188" s="1">
        <v>186</v>
      </c>
      <c r="B188" s="1" t="s">
        <v>195</v>
      </c>
      <c r="C188" s="1">
        <v>4359.4599609999996</v>
      </c>
      <c r="D188" s="1">
        <v>4359.4599609999996</v>
      </c>
      <c r="E188" s="1">
        <v>4385.5698240000002</v>
      </c>
      <c r="F188" s="1">
        <v>4355.080078</v>
      </c>
      <c r="G188" s="1">
        <v>4362.4101559999999</v>
      </c>
      <c r="H188" s="1">
        <v>3712660000</v>
      </c>
      <c r="I188" s="1">
        <f t="shared" si="2"/>
        <v>1.5691841906145269E-3</v>
      </c>
    </row>
    <row r="189" spans="1:9" x14ac:dyDescent="0.35">
      <c r="A189" s="1">
        <v>187</v>
      </c>
      <c r="B189" s="1" t="s">
        <v>196</v>
      </c>
      <c r="C189" s="1">
        <v>4307.5400390000004</v>
      </c>
      <c r="D189" s="1">
        <v>4307.5400390000004</v>
      </c>
      <c r="E189" s="1">
        <v>4382.5498049999997</v>
      </c>
      <c r="F189" s="1">
        <v>4306.2402339999999</v>
      </c>
      <c r="G189" s="1">
        <v>4370.669922</v>
      </c>
      <c r="H189" s="1">
        <v>4448140000</v>
      </c>
      <c r="I189" s="1">
        <f t="shared" si="2"/>
        <v>-1.1909714153697473E-2</v>
      </c>
    </row>
    <row r="190" spans="1:9" x14ac:dyDescent="0.35">
      <c r="A190" s="1">
        <v>188</v>
      </c>
      <c r="B190" s="1" t="s">
        <v>197</v>
      </c>
      <c r="C190" s="1">
        <v>4357.0400390000004</v>
      </c>
      <c r="D190" s="1">
        <v>4357.0400390000004</v>
      </c>
      <c r="E190" s="1">
        <v>4375.1899409999996</v>
      </c>
      <c r="F190" s="1">
        <v>4288.5200199999999</v>
      </c>
      <c r="G190" s="1">
        <v>4317.1601559999999</v>
      </c>
      <c r="H190" s="1">
        <v>4010370000</v>
      </c>
      <c r="I190" s="1">
        <f t="shared" si="2"/>
        <v>1.149147763034873E-2</v>
      </c>
    </row>
    <row r="191" spans="1:9" x14ac:dyDescent="0.35">
      <c r="A191" s="1">
        <v>189</v>
      </c>
      <c r="B191" s="1" t="s">
        <v>198</v>
      </c>
      <c r="C191" s="1">
        <v>4300.4599609999996</v>
      </c>
      <c r="D191" s="1">
        <v>4300.4599609999996</v>
      </c>
      <c r="E191" s="1">
        <v>4355.5097660000001</v>
      </c>
      <c r="F191" s="1">
        <v>4278.9399409999996</v>
      </c>
      <c r="G191" s="1">
        <v>4348.8398440000001</v>
      </c>
      <c r="H191" s="1">
        <v>4307870000</v>
      </c>
      <c r="I191" s="1">
        <f t="shared" si="2"/>
        <v>-1.2985898108245698E-2</v>
      </c>
    </row>
    <row r="192" spans="1:9" x14ac:dyDescent="0.35">
      <c r="A192" s="1">
        <v>190</v>
      </c>
      <c r="B192" s="1" t="s">
        <v>199</v>
      </c>
      <c r="C192" s="1">
        <v>4345.7202150000003</v>
      </c>
      <c r="D192" s="1">
        <v>4345.7202150000003</v>
      </c>
      <c r="E192" s="1">
        <v>4369.2299800000001</v>
      </c>
      <c r="F192" s="1">
        <v>4309.8701170000004</v>
      </c>
      <c r="G192" s="1">
        <v>4309.8701170000004</v>
      </c>
      <c r="H192" s="1">
        <v>3902890000</v>
      </c>
      <c r="I192" s="1">
        <f t="shared" si="2"/>
        <v>1.05245146822565E-2</v>
      </c>
    </row>
    <row r="193" spans="1:9" x14ac:dyDescent="0.35">
      <c r="A193" s="1">
        <v>191</v>
      </c>
      <c r="B193" s="1" t="s">
        <v>200</v>
      </c>
      <c r="C193" s="1">
        <v>4363.5498049999997</v>
      </c>
      <c r="D193" s="1">
        <v>4363.5498049999997</v>
      </c>
      <c r="E193" s="1">
        <v>4365.5698240000002</v>
      </c>
      <c r="F193" s="1">
        <v>4290.4902339999999</v>
      </c>
      <c r="G193" s="1">
        <v>4319.5698240000002</v>
      </c>
      <c r="H193" s="1">
        <v>4009630000</v>
      </c>
      <c r="I193" s="1">
        <f t="shared" si="2"/>
        <v>4.1027928899926586E-3</v>
      </c>
    </row>
    <row r="194" spans="1:9" x14ac:dyDescent="0.35">
      <c r="A194" s="1">
        <v>192</v>
      </c>
      <c r="B194" s="1" t="s">
        <v>201</v>
      </c>
      <c r="C194" s="1">
        <v>4399.7597660000001</v>
      </c>
      <c r="D194" s="1">
        <v>4399.7597660000001</v>
      </c>
      <c r="E194" s="1">
        <v>4429.9702150000003</v>
      </c>
      <c r="F194" s="1">
        <v>4383.7299800000001</v>
      </c>
      <c r="G194" s="1">
        <v>4383.7299800000001</v>
      </c>
      <c r="H194" s="1">
        <v>3843740000</v>
      </c>
      <c r="I194" s="1">
        <f t="shared" si="2"/>
        <v>8.2982806701344565E-3</v>
      </c>
    </row>
    <row r="195" spans="1:9" x14ac:dyDescent="0.35">
      <c r="A195" s="1">
        <v>193</v>
      </c>
      <c r="B195" s="1" t="s">
        <v>202</v>
      </c>
      <c r="C195" s="1">
        <v>4391.3398440000001</v>
      </c>
      <c r="D195" s="1">
        <v>4391.3398440000001</v>
      </c>
      <c r="E195" s="1">
        <v>4412.0200199999999</v>
      </c>
      <c r="F195" s="1">
        <v>4386.2202150000003</v>
      </c>
      <c r="G195" s="1">
        <v>4406.5097660000001</v>
      </c>
      <c r="H195" s="1">
        <v>3280160000</v>
      </c>
      <c r="I195" s="1">
        <f t="shared" si="2"/>
        <v>-1.9137231230365412E-3</v>
      </c>
    </row>
    <row r="196" spans="1:9" x14ac:dyDescent="0.35">
      <c r="A196" s="1">
        <v>194</v>
      </c>
      <c r="B196" s="1" t="s">
        <v>203</v>
      </c>
      <c r="C196" s="1">
        <v>4361.1899409999996</v>
      </c>
      <c r="D196" s="1">
        <v>4361.1899409999996</v>
      </c>
      <c r="E196" s="1">
        <v>4415.8798829999996</v>
      </c>
      <c r="F196" s="1">
        <v>4360.5898440000001</v>
      </c>
      <c r="G196" s="1">
        <v>4385.4399409999996</v>
      </c>
      <c r="H196" s="1">
        <v>3281970000</v>
      </c>
      <c r="I196" s="1">
        <f t="shared" ref="I196:I259" si="3">(C196-C195)/C195</f>
        <v>-6.8657639971078602E-3</v>
      </c>
    </row>
    <row r="197" spans="1:9" x14ac:dyDescent="0.35">
      <c r="A197" s="1">
        <v>195</v>
      </c>
      <c r="B197" s="1" t="s">
        <v>204</v>
      </c>
      <c r="C197" s="1">
        <v>4350.6499020000001</v>
      </c>
      <c r="D197" s="1">
        <v>4350.6499020000001</v>
      </c>
      <c r="E197" s="1">
        <v>4374.8901370000003</v>
      </c>
      <c r="F197" s="1">
        <v>4342.0898440000001</v>
      </c>
      <c r="G197" s="1">
        <v>4368.3100590000004</v>
      </c>
      <c r="H197" s="1">
        <v>3558450000</v>
      </c>
      <c r="I197" s="1">
        <f t="shared" si="3"/>
        <v>-2.4167805444361692E-3</v>
      </c>
    </row>
    <row r="198" spans="1:9" x14ac:dyDescent="0.35">
      <c r="A198" s="1">
        <v>196</v>
      </c>
      <c r="B198" s="1" t="s">
        <v>205</v>
      </c>
      <c r="C198" s="1">
        <v>4363.7998049999997</v>
      </c>
      <c r="D198" s="1">
        <v>4363.7998049999997</v>
      </c>
      <c r="E198" s="1">
        <v>4372.8701170000004</v>
      </c>
      <c r="F198" s="1">
        <v>4329.919922</v>
      </c>
      <c r="G198" s="1">
        <v>4358.0097660000001</v>
      </c>
      <c r="H198" s="1">
        <v>3620070000</v>
      </c>
      <c r="I198" s="1">
        <f t="shared" si="3"/>
        <v>3.0225146348720248E-3</v>
      </c>
    </row>
    <row r="199" spans="1:9" x14ac:dyDescent="0.35">
      <c r="A199" s="1">
        <v>197</v>
      </c>
      <c r="B199" s="1" t="s">
        <v>206</v>
      </c>
      <c r="C199" s="1">
        <v>4438.2597660000001</v>
      </c>
      <c r="D199" s="1">
        <v>4438.2597660000001</v>
      </c>
      <c r="E199" s="1">
        <v>4439.7299800000001</v>
      </c>
      <c r="F199" s="1">
        <v>4386.75</v>
      </c>
      <c r="G199" s="1">
        <v>4386.75</v>
      </c>
      <c r="H199" s="1">
        <v>3598280000</v>
      </c>
      <c r="I199" s="1">
        <f t="shared" si="3"/>
        <v>1.7063101958684029E-2</v>
      </c>
    </row>
    <row r="200" spans="1:9" x14ac:dyDescent="0.35">
      <c r="A200" s="1">
        <v>198</v>
      </c>
      <c r="B200" s="1" t="s">
        <v>207</v>
      </c>
      <c r="C200" s="1">
        <v>4471.3701170000004</v>
      </c>
      <c r="D200" s="1">
        <v>4471.3701170000004</v>
      </c>
      <c r="E200" s="1">
        <v>4475.8198240000002</v>
      </c>
      <c r="F200" s="1">
        <v>4447.6899409999996</v>
      </c>
      <c r="G200" s="1">
        <v>4447.6899409999996</v>
      </c>
      <c r="H200" s="1">
        <v>3819380000</v>
      </c>
      <c r="I200" s="1">
        <f t="shared" si="3"/>
        <v>7.4602102503434822E-3</v>
      </c>
    </row>
    <row r="201" spans="1:9" x14ac:dyDescent="0.35">
      <c r="A201" s="1">
        <v>199</v>
      </c>
      <c r="B201" s="1" t="s">
        <v>208</v>
      </c>
      <c r="C201" s="1">
        <v>4486.4599609999996</v>
      </c>
      <c r="D201" s="1">
        <v>4486.4599609999996</v>
      </c>
      <c r="E201" s="1">
        <v>4488.75</v>
      </c>
      <c r="F201" s="1">
        <v>4447.4702150000003</v>
      </c>
      <c r="G201" s="1">
        <v>4463.7202150000003</v>
      </c>
      <c r="H201" s="1">
        <v>3662010000</v>
      </c>
      <c r="I201" s="1">
        <f t="shared" si="3"/>
        <v>3.3747696131501371E-3</v>
      </c>
    </row>
    <row r="202" spans="1:9" x14ac:dyDescent="0.35">
      <c r="A202" s="1">
        <v>200</v>
      </c>
      <c r="B202" s="1" t="s">
        <v>209</v>
      </c>
      <c r="C202" s="1">
        <v>4519.6298829999996</v>
      </c>
      <c r="D202" s="1">
        <v>4519.6298829999996</v>
      </c>
      <c r="E202" s="1">
        <v>4520.3999020000001</v>
      </c>
      <c r="F202" s="1">
        <v>4496.4101559999999</v>
      </c>
      <c r="G202" s="1">
        <v>4497.3398440000001</v>
      </c>
      <c r="H202" s="1">
        <v>3459130000</v>
      </c>
      <c r="I202" s="1">
        <f t="shared" si="3"/>
        <v>7.3933395791649292E-3</v>
      </c>
    </row>
    <row r="203" spans="1:9" x14ac:dyDescent="0.35">
      <c r="A203" s="1">
        <v>201</v>
      </c>
      <c r="B203" s="1" t="s">
        <v>210</v>
      </c>
      <c r="C203" s="1">
        <v>4536.1899409999996</v>
      </c>
      <c r="D203" s="1">
        <v>4536.1899409999996</v>
      </c>
      <c r="E203" s="1">
        <v>4540.8701170000004</v>
      </c>
      <c r="F203" s="1">
        <v>4524.3999020000001</v>
      </c>
      <c r="G203" s="1">
        <v>4524.419922</v>
      </c>
      <c r="H203" s="1">
        <v>3670760000</v>
      </c>
      <c r="I203" s="1">
        <f t="shared" si="3"/>
        <v>3.6640296724934343E-3</v>
      </c>
    </row>
    <row r="204" spans="1:9" x14ac:dyDescent="0.35">
      <c r="A204" s="1">
        <v>202</v>
      </c>
      <c r="B204" s="1" t="s">
        <v>211</v>
      </c>
      <c r="C204" s="1">
        <v>4549.7797849999997</v>
      </c>
      <c r="D204" s="1">
        <v>4549.7797849999997</v>
      </c>
      <c r="E204" s="1">
        <v>4551.4399409999996</v>
      </c>
      <c r="F204" s="1">
        <v>4526.8901370000003</v>
      </c>
      <c r="G204" s="1">
        <v>4532.2402339999999</v>
      </c>
      <c r="H204" s="1">
        <v>3822330000</v>
      </c>
      <c r="I204" s="1">
        <f t="shared" si="3"/>
        <v>2.9958719050032136E-3</v>
      </c>
    </row>
    <row r="205" spans="1:9" x14ac:dyDescent="0.35">
      <c r="A205" s="1">
        <v>203</v>
      </c>
      <c r="B205" s="1" t="s">
        <v>212</v>
      </c>
      <c r="C205" s="1">
        <v>4544.8999020000001</v>
      </c>
      <c r="D205" s="1">
        <v>4544.8999020000001</v>
      </c>
      <c r="E205" s="1">
        <v>4559.669922</v>
      </c>
      <c r="F205" s="1">
        <v>4524</v>
      </c>
      <c r="G205" s="1">
        <v>4546.1201170000004</v>
      </c>
      <c r="H205" s="1">
        <v>3758220000</v>
      </c>
      <c r="I205" s="1">
        <f t="shared" si="3"/>
        <v>-1.0725536686606051E-3</v>
      </c>
    </row>
    <row r="206" spans="1:9" x14ac:dyDescent="0.35">
      <c r="A206" s="1">
        <v>204</v>
      </c>
      <c r="B206" s="1" t="s">
        <v>213</v>
      </c>
      <c r="C206" s="1">
        <v>4566.4799800000001</v>
      </c>
      <c r="D206" s="1">
        <v>4566.4799800000001</v>
      </c>
      <c r="E206" s="1">
        <v>4572.6201170000004</v>
      </c>
      <c r="F206" s="1">
        <v>4537.3598629999997</v>
      </c>
      <c r="G206" s="1">
        <v>4553.6899409999996</v>
      </c>
      <c r="H206" s="1">
        <v>3899400000</v>
      </c>
      <c r="I206" s="1">
        <f t="shared" si="3"/>
        <v>4.7481965423492745E-3</v>
      </c>
    </row>
    <row r="207" spans="1:9" x14ac:dyDescent="0.35">
      <c r="A207" s="1">
        <v>205</v>
      </c>
      <c r="B207" s="1" t="s">
        <v>214</v>
      </c>
      <c r="C207" s="1">
        <v>4574.7900390000004</v>
      </c>
      <c r="D207" s="1">
        <v>4574.7900390000004</v>
      </c>
      <c r="E207" s="1">
        <v>4598.5297849999997</v>
      </c>
      <c r="F207" s="1">
        <v>4569.169922</v>
      </c>
      <c r="G207" s="1">
        <v>4578.6899409999996</v>
      </c>
      <c r="H207" s="1">
        <v>3879740000</v>
      </c>
      <c r="I207" s="1">
        <f t="shared" si="3"/>
        <v>1.8197953426701248E-3</v>
      </c>
    </row>
    <row r="208" spans="1:9" x14ac:dyDescent="0.35">
      <c r="A208" s="1">
        <v>206</v>
      </c>
      <c r="B208" s="1" t="s">
        <v>215</v>
      </c>
      <c r="C208" s="1">
        <v>4551.6801759999998</v>
      </c>
      <c r="D208" s="1">
        <v>4551.6801759999998</v>
      </c>
      <c r="E208" s="1">
        <v>4584.5698240000002</v>
      </c>
      <c r="F208" s="1">
        <v>4551.6601559999999</v>
      </c>
      <c r="G208" s="1">
        <v>4580.2202150000003</v>
      </c>
      <c r="H208" s="1">
        <v>4226050000</v>
      </c>
      <c r="I208" s="1">
        <f t="shared" si="3"/>
        <v>-5.0515680070537519E-3</v>
      </c>
    </row>
    <row r="209" spans="1:9" x14ac:dyDescent="0.35">
      <c r="A209" s="1">
        <v>207</v>
      </c>
      <c r="B209" s="1" t="s">
        <v>216</v>
      </c>
      <c r="C209" s="1">
        <v>4596.419922</v>
      </c>
      <c r="D209" s="1">
        <v>4596.419922</v>
      </c>
      <c r="E209" s="1">
        <v>4597.5498049999997</v>
      </c>
      <c r="F209" s="1">
        <v>4562.8398440000001</v>
      </c>
      <c r="G209" s="1">
        <v>4562.8398440000001</v>
      </c>
      <c r="H209" s="1">
        <v>4132950000</v>
      </c>
      <c r="I209" s="1">
        <f t="shared" si="3"/>
        <v>9.8292815553919968E-3</v>
      </c>
    </row>
    <row r="210" spans="1:9" x14ac:dyDescent="0.35">
      <c r="A210" s="1">
        <v>208</v>
      </c>
      <c r="B210" s="1" t="s">
        <v>217</v>
      </c>
      <c r="C210" s="1">
        <v>4605.3798829999996</v>
      </c>
      <c r="D210" s="1">
        <v>4605.3798829999996</v>
      </c>
      <c r="E210" s="1">
        <v>4608.080078</v>
      </c>
      <c r="F210" s="1">
        <v>4567.5898440000001</v>
      </c>
      <c r="G210" s="1">
        <v>4572.8701170000004</v>
      </c>
      <c r="H210" s="1">
        <v>4510200000</v>
      </c>
      <c r="I210" s="1">
        <f t="shared" si="3"/>
        <v>1.9493347326936345E-3</v>
      </c>
    </row>
    <row r="211" spans="1:9" x14ac:dyDescent="0.35">
      <c r="A211" s="1">
        <v>209</v>
      </c>
      <c r="B211" s="1" t="s">
        <v>218</v>
      </c>
      <c r="C211" s="1">
        <v>4613.669922</v>
      </c>
      <c r="D211" s="1">
        <v>4613.669922</v>
      </c>
      <c r="E211" s="1">
        <v>4620.3398440000001</v>
      </c>
      <c r="F211" s="1">
        <v>4595.0600590000004</v>
      </c>
      <c r="G211" s="1">
        <v>4610.6201170000004</v>
      </c>
      <c r="H211" s="1">
        <v>3971540000</v>
      </c>
      <c r="I211" s="1">
        <f t="shared" si="3"/>
        <v>1.8000771294897399E-3</v>
      </c>
    </row>
    <row r="212" spans="1:9" x14ac:dyDescent="0.35">
      <c r="A212" s="1">
        <v>210</v>
      </c>
      <c r="B212" s="1" t="s">
        <v>219</v>
      </c>
      <c r="C212" s="1">
        <v>4630.6499020000001</v>
      </c>
      <c r="D212" s="1">
        <v>4630.6499020000001</v>
      </c>
      <c r="E212" s="1">
        <v>4635.1499020000001</v>
      </c>
      <c r="F212" s="1">
        <v>4613.3398440000001</v>
      </c>
      <c r="G212" s="1">
        <v>4613.3398440000001</v>
      </c>
      <c r="H212" s="1">
        <v>3975250000</v>
      </c>
      <c r="I212" s="1">
        <f t="shared" si="3"/>
        <v>3.6803629837132653E-3</v>
      </c>
    </row>
    <row r="213" spans="1:9" x14ac:dyDescent="0.35">
      <c r="A213" s="1">
        <v>211</v>
      </c>
      <c r="B213" s="1" t="s">
        <v>220</v>
      </c>
      <c r="C213" s="1">
        <v>4660.5698240000002</v>
      </c>
      <c r="D213" s="1">
        <v>4660.5698240000002</v>
      </c>
      <c r="E213" s="1">
        <v>4663.4599609999996</v>
      </c>
      <c r="F213" s="1">
        <v>4621.1899409999996</v>
      </c>
      <c r="G213" s="1">
        <v>4630.6499020000001</v>
      </c>
      <c r="H213" s="1">
        <v>4319660000</v>
      </c>
      <c r="I213" s="1">
        <f t="shared" si="3"/>
        <v>6.4612792228316554E-3</v>
      </c>
    </row>
    <row r="214" spans="1:9" x14ac:dyDescent="0.35">
      <c r="A214" s="1">
        <v>212</v>
      </c>
      <c r="B214" s="1" t="s">
        <v>221</v>
      </c>
      <c r="C214" s="1">
        <v>4680.0600590000004</v>
      </c>
      <c r="D214" s="1">
        <v>4680.0600590000004</v>
      </c>
      <c r="E214" s="1">
        <v>4683</v>
      </c>
      <c r="F214" s="1">
        <v>4662.5898440000001</v>
      </c>
      <c r="G214" s="1">
        <v>4662.9301759999998</v>
      </c>
      <c r="H214" s="1">
        <v>4462300000</v>
      </c>
      <c r="I214" s="1">
        <f t="shared" si="3"/>
        <v>4.1819424954505757E-3</v>
      </c>
    </row>
    <row r="215" spans="1:9" x14ac:dyDescent="0.35">
      <c r="A215" s="1">
        <v>213</v>
      </c>
      <c r="B215" s="1" t="s">
        <v>222</v>
      </c>
      <c r="C215" s="1">
        <v>4697.5297849999997</v>
      </c>
      <c r="D215" s="1">
        <v>4697.5297849999997</v>
      </c>
      <c r="E215" s="1">
        <v>4718.5</v>
      </c>
      <c r="F215" s="1">
        <v>4681.3198240000002</v>
      </c>
      <c r="G215" s="1">
        <v>4699.2597660000001</v>
      </c>
      <c r="H215" s="1">
        <v>4467180000</v>
      </c>
      <c r="I215" s="1">
        <f t="shared" si="3"/>
        <v>3.7327995324342384E-3</v>
      </c>
    </row>
    <row r="216" spans="1:9" x14ac:dyDescent="0.35">
      <c r="A216" s="1">
        <v>214</v>
      </c>
      <c r="B216" s="1" t="s">
        <v>223</v>
      </c>
      <c r="C216" s="1">
        <v>4701.7001950000003</v>
      </c>
      <c r="D216" s="1">
        <v>4701.7001950000003</v>
      </c>
      <c r="E216" s="1">
        <v>4714.919922</v>
      </c>
      <c r="F216" s="1">
        <v>4694.3901370000003</v>
      </c>
      <c r="G216" s="1">
        <v>4701.4799800000001</v>
      </c>
      <c r="H216" s="1">
        <v>4269710000</v>
      </c>
      <c r="I216" s="1">
        <f t="shared" si="3"/>
        <v>8.8778787807103376E-4</v>
      </c>
    </row>
    <row r="217" spans="1:9" x14ac:dyDescent="0.35">
      <c r="A217" s="1">
        <v>215</v>
      </c>
      <c r="B217" s="1" t="s">
        <v>224</v>
      </c>
      <c r="C217" s="1">
        <v>4685.25</v>
      </c>
      <c r="D217" s="1">
        <v>4685.25</v>
      </c>
      <c r="E217" s="1">
        <v>4708.5297849999997</v>
      </c>
      <c r="F217" s="1">
        <v>4670.8701170000004</v>
      </c>
      <c r="G217" s="1">
        <v>4707.25</v>
      </c>
      <c r="H217" s="1">
        <v>4117080000</v>
      </c>
      <c r="I217" s="1">
        <f t="shared" si="3"/>
        <v>-3.4987758295380524E-3</v>
      </c>
    </row>
    <row r="218" spans="1:9" x14ac:dyDescent="0.35">
      <c r="A218" s="1">
        <v>216</v>
      </c>
      <c r="B218" s="1" t="s">
        <v>225</v>
      </c>
      <c r="C218" s="1">
        <v>4646.7099609999996</v>
      </c>
      <c r="D218" s="1">
        <v>4646.7099609999996</v>
      </c>
      <c r="E218" s="1">
        <v>4684.8500979999999</v>
      </c>
      <c r="F218" s="1">
        <v>4630.8598629999997</v>
      </c>
      <c r="G218" s="1">
        <v>4670.2597660000001</v>
      </c>
      <c r="H218" s="1">
        <v>4503720000</v>
      </c>
      <c r="I218" s="1">
        <f t="shared" si="3"/>
        <v>-8.2258233818900666E-3</v>
      </c>
    </row>
    <row r="219" spans="1:9" x14ac:dyDescent="0.35">
      <c r="A219" s="1">
        <v>217</v>
      </c>
      <c r="B219" s="1" t="s">
        <v>226</v>
      </c>
      <c r="C219" s="1">
        <v>4649.2700199999999</v>
      </c>
      <c r="D219" s="1">
        <v>4649.2700199999999</v>
      </c>
      <c r="E219" s="1">
        <v>4664.5498049999997</v>
      </c>
      <c r="F219" s="1">
        <v>4648.3100590000004</v>
      </c>
      <c r="G219" s="1">
        <v>4659.3901370000003</v>
      </c>
      <c r="H219" s="1">
        <v>3926870000</v>
      </c>
      <c r="I219" s="1">
        <f t="shared" si="3"/>
        <v>5.5094013215523032E-4</v>
      </c>
    </row>
    <row r="220" spans="1:9" x14ac:dyDescent="0.35">
      <c r="A220" s="1">
        <v>218</v>
      </c>
      <c r="B220" s="1" t="s">
        <v>227</v>
      </c>
      <c r="C220" s="1">
        <v>4682.8500979999999</v>
      </c>
      <c r="D220" s="1">
        <v>4682.8500979999999</v>
      </c>
      <c r="E220" s="1">
        <v>4688.4702150000003</v>
      </c>
      <c r="F220" s="1">
        <v>4650.7700199999999</v>
      </c>
      <c r="G220" s="1">
        <v>4655.2402339999999</v>
      </c>
      <c r="H220" s="1">
        <v>3728600000</v>
      </c>
      <c r="I220" s="1">
        <f t="shared" si="3"/>
        <v>7.2226559988012827E-3</v>
      </c>
    </row>
    <row r="221" spans="1:9" x14ac:dyDescent="0.35">
      <c r="A221" s="1">
        <v>219</v>
      </c>
      <c r="B221" s="1" t="s">
        <v>228</v>
      </c>
      <c r="C221" s="1">
        <v>4682.7998049999997</v>
      </c>
      <c r="D221" s="1">
        <v>4682.7998049999997</v>
      </c>
      <c r="E221" s="1">
        <v>4697.419922</v>
      </c>
      <c r="F221" s="1">
        <v>4672.8598629999997</v>
      </c>
      <c r="G221" s="1">
        <v>4689.2998049999997</v>
      </c>
      <c r="H221" s="1">
        <v>3488410000</v>
      </c>
      <c r="I221" s="1">
        <f t="shared" si="3"/>
        <v>-1.0739827017251226E-5</v>
      </c>
    </row>
    <row r="222" spans="1:9" x14ac:dyDescent="0.35">
      <c r="A222" s="1">
        <v>220</v>
      </c>
      <c r="B222" s="1" t="s">
        <v>229</v>
      </c>
      <c r="C222" s="1">
        <v>4700.8999020000001</v>
      </c>
      <c r="D222" s="1">
        <v>4700.8999020000001</v>
      </c>
      <c r="E222" s="1">
        <v>4714.9501950000003</v>
      </c>
      <c r="F222" s="1">
        <v>4679.419922</v>
      </c>
      <c r="G222" s="1">
        <v>4679.419922</v>
      </c>
      <c r="H222" s="1">
        <v>3972640000</v>
      </c>
      <c r="I222" s="1">
        <f t="shared" si="3"/>
        <v>3.8652297244640508E-3</v>
      </c>
    </row>
    <row r="223" spans="1:9" x14ac:dyDescent="0.35">
      <c r="A223" s="1">
        <v>221</v>
      </c>
      <c r="B223" s="1" t="s">
        <v>230</v>
      </c>
      <c r="C223" s="1">
        <v>4688.669922</v>
      </c>
      <c r="D223" s="1">
        <v>4688.669922</v>
      </c>
      <c r="E223" s="1">
        <v>4701.5</v>
      </c>
      <c r="F223" s="1">
        <v>4684.4101559999999</v>
      </c>
      <c r="G223" s="1">
        <v>4701.5</v>
      </c>
      <c r="H223" s="1">
        <v>3969070000</v>
      </c>
      <c r="I223" s="1">
        <f t="shared" si="3"/>
        <v>-2.6016252749387022E-3</v>
      </c>
    </row>
    <row r="224" spans="1:9" x14ac:dyDescent="0.35">
      <c r="A224" s="1">
        <v>222</v>
      </c>
      <c r="B224" s="1" t="s">
        <v>231</v>
      </c>
      <c r="C224" s="1">
        <v>4704.5400390000004</v>
      </c>
      <c r="D224" s="1">
        <v>4704.5400390000004</v>
      </c>
      <c r="E224" s="1">
        <v>4708.7998049999997</v>
      </c>
      <c r="F224" s="1">
        <v>4672.7797849999997</v>
      </c>
      <c r="G224" s="1">
        <v>4700.7202150000003</v>
      </c>
      <c r="H224" s="1">
        <v>4226410000</v>
      </c>
      <c r="I224" s="1">
        <f t="shared" si="3"/>
        <v>3.3847801751910977E-3</v>
      </c>
    </row>
    <row r="225" spans="1:9" x14ac:dyDescent="0.35">
      <c r="A225" s="1">
        <v>223</v>
      </c>
      <c r="B225" s="1" t="s">
        <v>232</v>
      </c>
      <c r="C225" s="1">
        <v>4697.9599609999996</v>
      </c>
      <c r="D225" s="1">
        <v>4697.9599609999996</v>
      </c>
      <c r="E225" s="1">
        <v>4717.75</v>
      </c>
      <c r="F225" s="1">
        <v>4694.2202150000003</v>
      </c>
      <c r="G225" s="1">
        <v>4708.4399409999996</v>
      </c>
      <c r="H225" s="1">
        <v>4253180000</v>
      </c>
      <c r="I225" s="1">
        <f t="shared" si="3"/>
        <v>-1.3986655327519611E-3</v>
      </c>
    </row>
    <row r="226" spans="1:9" x14ac:dyDescent="0.35">
      <c r="A226" s="1">
        <v>224</v>
      </c>
      <c r="B226" s="1" t="s">
        <v>233</v>
      </c>
      <c r="C226" s="1">
        <v>4682.9399409999996</v>
      </c>
      <c r="D226" s="1">
        <v>4682.9399409999996</v>
      </c>
      <c r="E226" s="1">
        <v>4743.830078</v>
      </c>
      <c r="F226" s="1">
        <v>4682.169922</v>
      </c>
      <c r="G226" s="1">
        <v>4712</v>
      </c>
      <c r="H226" s="1">
        <v>4441100000</v>
      </c>
      <c r="I226" s="1">
        <f t="shared" si="3"/>
        <v>-3.1971366560567273E-3</v>
      </c>
    </row>
    <row r="227" spans="1:9" x14ac:dyDescent="0.35">
      <c r="A227" s="1">
        <v>225</v>
      </c>
      <c r="B227" s="1" t="s">
        <v>234</v>
      </c>
      <c r="C227" s="1">
        <v>4690.7001950000003</v>
      </c>
      <c r="D227" s="1">
        <v>4690.7001950000003</v>
      </c>
      <c r="E227" s="1">
        <v>4699.3901370000003</v>
      </c>
      <c r="F227" s="1">
        <v>4652.6601559999999</v>
      </c>
      <c r="G227" s="1">
        <v>4678.4799800000001</v>
      </c>
      <c r="H227" s="1">
        <v>4277590000</v>
      </c>
      <c r="I227" s="1">
        <f t="shared" si="3"/>
        <v>1.6571329331085936E-3</v>
      </c>
    </row>
    <row r="228" spans="1:9" x14ac:dyDescent="0.35">
      <c r="A228" s="1">
        <v>226</v>
      </c>
      <c r="B228" s="1" t="s">
        <v>235</v>
      </c>
      <c r="C228" s="1">
        <v>4701.4599609999996</v>
      </c>
      <c r="D228" s="1">
        <v>4701.4599609999996</v>
      </c>
      <c r="E228" s="1">
        <v>4702.8701170000004</v>
      </c>
      <c r="F228" s="1">
        <v>4659.8901370000003</v>
      </c>
      <c r="G228" s="1">
        <v>4675.7797849999997</v>
      </c>
      <c r="H228" s="1">
        <v>3418430000</v>
      </c>
      <c r="I228" s="1">
        <f t="shared" si="3"/>
        <v>2.2938507158203098E-3</v>
      </c>
    </row>
    <row r="229" spans="1:9" x14ac:dyDescent="0.35">
      <c r="A229" s="1">
        <v>227</v>
      </c>
      <c r="B229" s="1" t="s">
        <v>236</v>
      </c>
      <c r="C229" s="1">
        <v>4594.6201170000004</v>
      </c>
      <c r="D229" s="1">
        <v>4594.6201170000004</v>
      </c>
      <c r="E229" s="1">
        <v>4664.6298829999996</v>
      </c>
      <c r="F229" s="1">
        <v>4585.4301759999998</v>
      </c>
      <c r="G229" s="1">
        <v>4664.6298829999996</v>
      </c>
      <c r="H229" s="1">
        <v>3517700000</v>
      </c>
      <c r="I229" s="1">
        <f t="shared" si="3"/>
        <v>-2.272482269045515E-2</v>
      </c>
    </row>
    <row r="230" spans="1:9" x14ac:dyDescent="0.35">
      <c r="A230" s="1">
        <v>228</v>
      </c>
      <c r="B230" s="1" t="s">
        <v>237</v>
      </c>
      <c r="C230" s="1">
        <v>4655.2700199999999</v>
      </c>
      <c r="D230" s="1">
        <v>4655.2700199999999</v>
      </c>
      <c r="E230" s="1">
        <v>4672.9501950000003</v>
      </c>
      <c r="F230" s="1">
        <v>4625.2597660000001</v>
      </c>
      <c r="G230" s="1">
        <v>4628.75</v>
      </c>
      <c r="H230" s="1">
        <v>4336410000</v>
      </c>
      <c r="I230" s="1">
        <f t="shared" si="3"/>
        <v>1.3200199680403641E-2</v>
      </c>
    </row>
    <row r="231" spans="1:9" x14ac:dyDescent="0.35">
      <c r="A231" s="1">
        <v>229</v>
      </c>
      <c r="B231" s="1" t="s">
        <v>238</v>
      </c>
      <c r="C231" s="1">
        <v>4567</v>
      </c>
      <c r="D231" s="1">
        <v>4567</v>
      </c>
      <c r="E231" s="1">
        <v>4646.0200199999999</v>
      </c>
      <c r="F231" s="1">
        <v>4560</v>
      </c>
      <c r="G231" s="1">
        <v>4640.25</v>
      </c>
      <c r="H231" s="1">
        <v>6625990000</v>
      </c>
      <c r="I231" s="1">
        <f t="shared" si="3"/>
        <v>-1.8961310433288237E-2</v>
      </c>
    </row>
    <row r="232" spans="1:9" x14ac:dyDescent="0.35">
      <c r="A232" s="1">
        <v>230</v>
      </c>
      <c r="B232" s="1" t="s">
        <v>239</v>
      </c>
      <c r="C232" s="1">
        <v>4513.0400390000004</v>
      </c>
      <c r="D232" s="1">
        <v>4513.0400390000004</v>
      </c>
      <c r="E232" s="1">
        <v>4652.9399409999996</v>
      </c>
      <c r="F232" s="1">
        <v>4510.2700199999999</v>
      </c>
      <c r="G232" s="1">
        <v>4602.8198240000002</v>
      </c>
      <c r="H232" s="1">
        <v>5366730000</v>
      </c>
      <c r="I232" s="1">
        <f t="shared" si="3"/>
        <v>-1.1815187431574243E-2</v>
      </c>
    </row>
    <row r="233" spans="1:9" x14ac:dyDescent="0.35">
      <c r="A233" s="1">
        <v>231</v>
      </c>
      <c r="B233" s="1" t="s">
        <v>240</v>
      </c>
      <c r="C233" s="1">
        <v>4577.1000979999999</v>
      </c>
      <c r="D233" s="1">
        <v>4577.1000979999999</v>
      </c>
      <c r="E233" s="1">
        <v>4595.4599609999996</v>
      </c>
      <c r="F233" s="1">
        <v>4504.7299800000001</v>
      </c>
      <c r="G233" s="1">
        <v>4504.7299800000001</v>
      </c>
      <c r="H233" s="1">
        <v>5077180000</v>
      </c>
      <c r="I233" s="1">
        <f t="shared" si="3"/>
        <v>1.419443622179649E-2</v>
      </c>
    </row>
    <row r="234" spans="1:9" x14ac:dyDescent="0.35">
      <c r="A234" s="1">
        <v>232</v>
      </c>
      <c r="B234" s="1" t="s">
        <v>241</v>
      </c>
      <c r="C234" s="1">
        <v>4538.4301759999998</v>
      </c>
      <c r="D234" s="1">
        <v>4538.4301759999998</v>
      </c>
      <c r="E234" s="1">
        <v>4608.0297849999997</v>
      </c>
      <c r="F234" s="1">
        <v>4495.1201170000004</v>
      </c>
      <c r="G234" s="1">
        <v>4589.4902339999999</v>
      </c>
      <c r="H234" s="1">
        <v>5240070000</v>
      </c>
      <c r="I234" s="1">
        <f t="shared" si="3"/>
        <v>-8.4485637569729297E-3</v>
      </c>
    </row>
    <row r="235" spans="1:9" x14ac:dyDescent="0.35">
      <c r="A235" s="1">
        <v>233</v>
      </c>
      <c r="B235" s="1" t="s">
        <v>242</v>
      </c>
      <c r="C235" s="1">
        <v>4591.669922</v>
      </c>
      <c r="D235" s="1">
        <v>4591.669922</v>
      </c>
      <c r="E235" s="1">
        <v>4612.6000979999999</v>
      </c>
      <c r="F235" s="1">
        <v>4540.5097660000001</v>
      </c>
      <c r="G235" s="1">
        <v>4548.3701170000004</v>
      </c>
      <c r="H235" s="1">
        <v>4770800000</v>
      </c>
      <c r="I235" s="1">
        <f t="shared" si="3"/>
        <v>1.1730872556229054E-2</v>
      </c>
    </row>
    <row r="236" spans="1:9" x14ac:dyDescent="0.35">
      <c r="A236" s="1">
        <v>234</v>
      </c>
      <c r="B236" s="1" t="s">
        <v>243</v>
      </c>
      <c r="C236" s="1">
        <v>4686.75</v>
      </c>
      <c r="D236" s="1">
        <v>4686.75</v>
      </c>
      <c r="E236" s="1">
        <v>4694.0400390000004</v>
      </c>
      <c r="F236" s="1">
        <v>4631.9702150000003</v>
      </c>
      <c r="G236" s="1">
        <v>4631.9702150000003</v>
      </c>
      <c r="H236" s="1">
        <v>4492400000</v>
      </c>
      <c r="I236" s="1">
        <f t="shared" si="3"/>
        <v>2.0707080346617293E-2</v>
      </c>
    </row>
    <row r="237" spans="1:9" x14ac:dyDescent="0.35">
      <c r="A237" s="1">
        <v>235</v>
      </c>
      <c r="B237" s="1" t="s">
        <v>244</v>
      </c>
      <c r="C237" s="1">
        <v>4701.2099609999996</v>
      </c>
      <c r="D237" s="1">
        <v>4701.2099609999996</v>
      </c>
      <c r="E237" s="1">
        <v>4705.0600590000004</v>
      </c>
      <c r="F237" s="1">
        <v>4674.5200199999999</v>
      </c>
      <c r="G237" s="1">
        <v>4690.8598629999997</v>
      </c>
      <c r="H237" s="1">
        <v>4234600000</v>
      </c>
      <c r="I237" s="1">
        <f t="shared" si="3"/>
        <v>3.085285325652012E-3</v>
      </c>
    </row>
    <row r="238" spans="1:9" x14ac:dyDescent="0.35">
      <c r="A238" s="1">
        <v>236</v>
      </c>
      <c r="B238" s="1" t="s">
        <v>245</v>
      </c>
      <c r="C238" s="1">
        <v>4667.4501950000003</v>
      </c>
      <c r="D238" s="1">
        <v>4667.4501950000003</v>
      </c>
      <c r="E238" s="1">
        <v>4695.2597660000001</v>
      </c>
      <c r="F238" s="1">
        <v>4665.9799800000001</v>
      </c>
      <c r="G238" s="1">
        <v>4691</v>
      </c>
      <c r="H238" s="1">
        <v>3903840000</v>
      </c>
      <c r="I238" s="1">
        <f t="shared" si="3"/>
        <v>-7.1810802495658249E-3</v>
      </c>
    </row>
    <row r="239" spans="1:9" x14ac:dyDescent="0.35">
      <c r="A239" s="1">
        <v>237</v>
      </c>
      <c r="B239" s="1" t="s">
        <v>246</v>
      </c>
      <c r="C239" s="1">
        <v>4712.0200199999999</v>
      </c>
      <c r="D239" s="1">
        <v>4712.0200199999999</v>
      </c>
      <c r="E239" s="1">
        <v>4713.5698240000002</v>
      </c>
      <c r="F239" s="1">
        <v>4670.2402339999999</v>
      </c>
      <c r="G239" s="1">
        <v>4687.6401370000003</v>
      </c>
      <c r="H239" s="1">
        <v>3870110000</v>
      </c>
      <c r="I239" s="1">
        <f t="shared" si="3"/>
        <v>9.5490735065036029E-3</v>
      </c>
    </row>
    <row r="240" spans="1:9" x14ac:dyDescent="0.35">
      <c r="A240" s="1">
        <v>238</v>
      </c>
      <c r="B240" s="1" t="s">
        <v>247</v>
      </c>
      <c r="C240" s="1">
        <v>4668.9702150000003</v>
      </c>
      <c r="D240" s="1">
        <v>4668.9702150000003</v>
      </c>
      <c r="E240" s="1">
        <v>4710.2998049999997</v>
      </c>
      <c r="F240" s="1">
        <v>4667.6000979999999</v>
      </c>
      <c r="G240" s="1">
        <v>4710.2998049999997</v>
      </c>
      <c r="H240" s="1">
        <v>4397230000</v>
      </c>
      <c r="I240" s="1">
        <f t="shared" si="3"/>
        <v>-9.1361676769785138E-3</v>
      </c>
    </row>
    <row r="241" spans="1:9" x14ac:dyDescent="0.35">
      <c r="A241" s="1">
        <v>239</v>
      </c>
      <c r="B241" s="1" t="s">
        <v>248</v>
      </c>
      <c r="C241" s="1">
        <v>4634.0898440000001</v>
      </c>
      <c r="D241" s="1">
        <v>4634.0898440000001</v>
      </c>
      <c r="E241" s="1">
        <v>4660.4702150000003</v>
      </c>
      <c r="F241" s="1">
        <v>4606.5200199999999</v>
      </c>
      <c r="G241" s="1">
        <v>4642.9902339999999</v>
      </c>
      <c r="H241" s="1">
        <v>4485430000</v>
      </c>
      <c r="I241" s="1">
        <f t="shared" si="3"/>
        <v>-7.4706775571067108E-3</v>
      </c>
    </row>
    <row r="242" spans="1:9" x14ac:dyDescent="0.35">
      <c r="A242" s="1">
        <v>240</v>
      </c>
      <c r="B242" s="1" t="s">
        <v>249</v>
      </c>
      <c r="C242" s="1">
        <v>4709.8500979999999</v>
      </c>
      <c r="D242" s="1">
        <v>4709.8500979999999</v>
      </c>
      <c r="E242" s="1">
        <v>4712.6000979999999</v>
      </c>
      <c r="F242" s="1">
        <v>4611.2202150000003</v>
      </c>
      <c r="G242" s="1">
        <v>4636.4599609999996</v>
      </c>
      <c r="H242" s="1">
        <v>4910130000</v>
      </c>
      <c r="I242" s="1">
        <f t="shared" si="3"/>
        <v>1.6348464650095335E-2</v>
      </c>
    </row>
    <row r="243" spans="1:9" x14ac:dyDescent="0.35">
      <c r="A243" s="1">
        <v>241</v>
      </c>
      <c r="B243" s="1" t="s">
        <v>250</v>
      </c>
      <c r="C243" s="1">
        <v>4668.669922</v>
      </c>
      <c r="D243" s="1">
        <v>4668.669922</v>
      </c>
      <c r="E243" s="1">
        <v>4731.9902339999999</v>
      </c>
      <c r="F243" s="1">
        <v>4651.8901370000003</v>
      </c>
      <c r="G243" s="1">
        <v>4719.1298829999996</v>
      </c>
      <c r="H243" s="1">
        <v>4829500000</v>
      </c>
      <c r="I243" s="1">
        <f t="shared" si="3"/>
        <v>-8.7434154257874739E-3</v>
      </c>
    </row>
    <row r="244" spans="1:9" x14ac:dyDescent="0.35">
      <c r="A244" s="1">
        <v>242</v>
      </c>
      <c r="B244" s="1" t="s">
        <v>251</v>
      </c>
      <c r="C244" s="1">
        <v>4620.6401370000003</v>
      </c>
      <c r="D244" s="1">
        <v>4620.6401370000003</v>
      </c>
      <c r="E244" s="1">
        <v>4666.7001950000003</v>
      </c>
      <c r="F244" s="1">
        <v>4600.2202150000003</v>
      </c>
      <c r="G244" s="1">
        <v>4652.5</v>
      </c>
      <c r="H244" s="1">
        <v>7987090000</v>
      </c>
      <c r="I244" s="1">
        <f t="shared" si="3"/>
        <v>-1.0287680603349307E-2</v>
      </c>
    </row>
    <row r="245" spans="1:9" x14ac:dyDescent="0.35">
      <c r="A245" s="1">
        <v>243</v>
      </c>
      <c r="B245" s="1" t="s">
        <v>252</v>
      </c>
      <c r="C245" s="1">
        <v>4568.0200199999999</v>
      </c>
      <c r="D245" s="1">
        <v>4568.0200199999999</v>
      </c>
      <c r="E245" s="1">
        <v>4587.8999020000001</v>
      </c>
      <c r="F245" s="1">
        <v>4531.1000979999999</v>
      </c>
      <c r="G245" s="1">
        <v>4587.8999020000001</v>
      </c>
      <c r="H245" s="1">
        <v>4635700000</v>
      </c>
      <c r="I245" s="1">
        <f t="shared" si="3"/>
        <v>-1.138805781013809E-2</v>
      </c>
    </row>
    <row r="246" spans="1:9" x14ac:dyDescent="0.35">
      <c r="A246" s="1">
        <v>244</v>
      </c>
      <c r="B246" s="1" t="s">
        <v>253</v>
      </c>
      <c r="C246" s="1">
        <v>4649.2299800000001</v>
      </c>
      <c r="D246" s="1">
        <v>4649.2299800000001</v>
      </c>
      <c r="E246" s="1">
        <v>4651.1401370000003</v>
      </c>
      <c r="F246" s="1">
        <v>4583.1601559999999</v>
      </c>
      <c r="G246" s="1">
        <v>4594.9599609999996</v>
      </c>
      <c r="H246" s="1">
        <v>4072430000</v>
      </c>
      <c r="I246" s="1">
        <f t="shared" si="3"/>
        <v>1.7777934344517198E-2</v>
      </c>
    </row>
    <row r="247" spans="1:9" x14ac:dyDescent="0.35">
      <c r="A247" s="1">
        <v>245</v>
      </c>
      <c r="B247" s="1" t="s">
        <v>254</v>
      </c>
      <c r="C247" s="1">
        <v>4696.5600590000004</v>
      </c>
      <c r="D247" s="1">
        <v>4696.5600590000004</v>
      </c>
      <c r="E247" s="1">
        <v>4697.669922</v>
      </c>
      <c r="F247" s="1">
        <v>4645.5297849999997</v>
      </c>
      <c r="G247" s="1">
        <v>4650.3598629999997</v>
      </c>
      <c r="H247" s="1">
        <v>3319610000</v>
      </c>
      <c r="I247" s="1">
        <f t="shared" si="3"/>
        <v>1.0180197409808559E-2</v>
      </c>
    </row>
    <row r="248" spans="1:9" x14ac:dyDescent="0.35">
      <c r="A248" s="1">
        <v>246</v>
      </c>
      <c r="B248" s="1" t="s">
        <v>255</v>
      </c>
      <c r="C248" s="1">
        <v>4725.7900390000004</v>
      </c>
      <c r="D248" s="1">
        <v>4725.7900390000004</v>
      </c>
      <c r="E248" s="1">
        <v>4740.7402339999999</v>
      </c>
      <c r="F248" s="1">
        <v>4703.9599609999996</v>
      </c>
      <c r="G248" s="1">
        <v>4703.9599609999996</v>
      </c>
      <c r="H248" s="1">
        <v>2913040000</v>
      </c>
      <c r="I248" s="1">
        <f t="shared" si="3"/>
        <v>6.2236998213164056E-3</v>
      </c>
    </row>
    <row r="249" spans="1:9" x14ac:dyDescent="0.35">
      <c r="A249" s="1">
        <v>247</v>
      </c>
      <c r="B249" s="1" t="s">
        <v>256</v>
      </c>
      <c r="C249" s="1">
        <v>4791.1899409999996</v>
      </c>
      <c r="D249" s="1">
        <v>4791.1899409999996</v>
      </c>
      <c r="E249" s="1">
        <v>4791.4902339999999</v>
      </c>
      <c r="F249" s="1">
        <v>4733.9902339999999</v>
      </c>
      <c r="G249" s="1">
        <v>4733.9902339999999</v>
      </c>
      <c r="H249" s="1">
        <v>2770290000</v>
      </c>
      <c r="I249" s="1">
        <f t="shared" si="3"/>
        <v>1.3838935174919055E-2</v>
      </c>
    </row>
    <row r="250" spans="1:9" x14ac:dyDescent="0.35">
      <c r="A250" s="1">
        <v>248</v>
      </c>
      <c r="B250" s="1" t="s">
        <v>257</v>
      </c>
      <c r="C250" s="1">
        <v>4786.3500979999999</v>
      </c>
      <c r="D250" s="1">
        <v>4786.3500979999999</v>
      </c>
      <c r="E250" s="1">
        <v>4807.0200199999999</v>
      </c>
      <c r="F250" s="1">
        <v>4780.0400390000004</v>
      </c>
      <c r="G250" s="1">
        <v>4795.4902339999999</v>
      </c>
      <c r="H250" s="1">
        <v>2707920000</v>
      </c>
      <c r="I250" s="1">
        <f t="shared" si="3"/>
        <v>-1.0101546921743602E-3</v>
      </c>
    </row>
    <row r="251" spans="1:9" x14ac:dyDescent="0.35">
      <c r="A251" s="1">
        <v>249</v>
      </c>
      <c r="B251" s="1" t="s">
        <v>258</v>
      </c>
      <c r="C251" s="1">
        <v>4793.0600590000004</v>
      </c>
      <c r="D251" s="1">
        <v>4793.0600590000004</v>
      </c>
      <c r="E251" s="1">
        <v>4804.0600590000004</v>
      </c>
      <c r="F251" s="1">
        <v>4778.080078</v>
      </c>
      <c r="G251" s="1">
        <v>4788.6401370000003</v>
      </c>
      <c r="H251" s="1">
        <v>2963310000</v>
      </c>
      <c r="I251" s="1">
        <f t="shared" si="3"/>
        <v>1.4018951523843328E-3</v>
      </c>
    </row>
    <row r="252" spans="1:9" x14ac:dyDescent="0.35">
      <c r="A252" s="1">
        <v>250</v>
      </c>
      <c r="B252" s="1" t="s">
        <v>259</v>
      </c>
      <c r="C252" s="1">
        <v>4778.7299800000001</v>
      </c>
      <c r="D252" s="1">
        <v>4778.7299800000001</v>
      </c>
      <c r="E252" s="1">
        <v>4808.9301759999998</v>
      </c>
      <c r="F252" s="1">
        <v>4775.330078</v>
      </c>
      <c r="G252" s="1">
        <v>4794.2299800000001</v>
      </c>
      <c r="H252" s="1">
        <v>3124950000</v>
      </c>
      <c r="I252" s="1">
        <f t="shared" si="3"/>
        <v>-2.98975577681162E-3</v>
      </c>
    </row>
    <row r="253" spans="1:9" x14ac:dyDescent="0.35">
      <c r="A253" s="1">
        <v>251</v>
      </c>
      <c r="B253" s="1" t="s">
        <v>260</v>
      </c>
      <c r="C253" s="1">
        <v>4766.1801759999998</v>
      </c>
      <c r="D253" s="1">
        <v>4766.1801759999998</v>
      </c>
      <c r="E253" s="1">
        <v>4786.830078</v>
      </c>
      <c r="F253" s="1">
        <v>4765.75</v>
      </c>
      <c r="G253" s="1">
        <v>4775.2099609999996</v>
      </c>
      <c r="H253" s="1">
        <v>2677820000</v>
      </c>
      <c r="I253" s="1">
        <f t="shared" si="3"/>
        <v>-2.6261797700484891E-3</v>
      </c>
    </row>
    <row r="254" spans="1:9" x14ac:dyDescent="0.35">
      <c r="A254" s="1">
        <v>252</v>
      </c>
      <c r="B254" s="1" t="s">
        <v>261</v>
      </c>
      <c r="C254" s="1">
        <v>4796.5600590000004</v>
      </c>
      <c r="D254" s="1">
        <v>4796.5600590000004</v>
      </c>
      <c r="E254" s="1">
        <v>4796.6401370000003</v>
      </c>
      <c r="F254" s="1">
        <v>4758.169922</v>
      </c>
      <c r="G254" s="1">
        <v>4778.1401370000003</v>
      </c>
      <c r="H254" s="1">
        <v>3831020000</v>
      </c>
      <c r="I254" s="1">
        <f t="shared" si="3"/>
        <v>6.3740525700177637E-3</v>
      </c>
    </row>
    <row r="255" spans="1:9" x14ac:dyDescent="0.35">
      <c r="A255" s="1">
        <v>253</v>
      </c>
      <c r="B255" s="1" t="s">
        <v>262</v>
      </c>
      <c r="C255" s="1">
        <v>4793.5400390000004</v>
      </c>
      <c r="D255" s="1">
        <v>4793.5400390000004</v>
      </c>
      <c r="E255" s="1">
        <v>4818.6201170000004</v>
      </c>
      <c r="F255" s="1">
        <v>4774.2700199999999</v>
      </c>
      <c r="G255" s="1">
        <v>4804.5097660000001</v>
      </c>
      <c r="H255" s="1">
        <v>4683170000</v>
      </c>
      <c r="I255" s="1">
        <f t="shared" si="3"/>
        <v>-6.2962205473344015E-4</v>
      </c>
    </row>
    <row r="256" spans="1:9" x14ac:dyDescent="0.35">
      <c r="A256" s="1">
        <v>254</v>
      </c>
      <c r="B256" s="1" t="s">
        <v>263</v>
      </c>
      <c r="C256" s="1">
        <v>4700.580078</v>
      </c>
      <c r="D256" s="1">
        <v>4700.580078</v>
      </c>
      <c r="E256" s="1">
        <v>4797.7001950000003</v>
      </c>
      <c r="F256" s="1">
        <v>4699.4399409999996</v>
      </c>
      <c r="G256" s="1">
        <v>4787.9902339999999</v>
      </c>
      <c r="H256" s="1">
        <v>4887960000</v>
      </c>
      <c r="I256" s="1">
        <f t="shared" si="3"/>
        <v>-1.939275780397846E-2</v>
      </c>
    </row>
    <row r="257" spans="1:9" x14ac:dyDescent="0.35">
      <c r="A257" s="1">
        <v>255</v>
      </c>
      <c r="B257" s="1" t="s">
        <v>264</v>
      </c>
      <c r="C257" s="1">
        <v>4696.0498049999997</v>
      </c>
      <c r="D257" s="1">
        <v>4696.0498049999997</v>
      </c>
      <c r="E257" s="1">
        <v>4725.0097660000001</v>
      </c>
      <c r="F257" s="1">
        <v>4671.2597660000001</v>
      </c>
      <c r="G257" s="1">
        <v>4693.3901370000003</v>
      </c>
      <c r="H257" s="1">
        <v>4295280000</v>
      </c>
      <c r="I257" s="1">
        <f t="shared" si="3"/>
        <v>-9.6376892315976558E-4</v>
      </c>
    </row>
    <row r="258" spans="1:9" x14ac:dyDescent="0.35">
      <c r="A258" s="1">
        <v>256</v>
      </c>
      <c r="B258" s="1" t="s">
        <v>265</v>
      </c>
      <c r="C258" s="1">
        <v>4677.0297849999997</v>
      </c>
      <c r="D258" s="1">
        <v>4677.0297849999997</v>
      </c>
      <c r="E258" s="1">
        <v>4707.9501950000003</v>
      </c>
      <c r="F258" s="1">
        <v>4662.7402339999999</v>
      </c>
      <c r="G258" s="1">
        <v>4697.6601559999999</v>
      </c>
      <c r="H258" s="1">
        <v>4181510000</v>
      </c>
      <c r="I258" s="1">
        <f t="shared" si="3"/>
        <v>-4.0502168396401696E-3</v>
      </c>
    </row>
    <row r="259" spans="1:9" x14ac:dyDescent="0.35">
      <c r="A259" s="1">
        <v>257</v>
      </c>
      <c r="B259" s="1" t="s">
        <v>266</v>
      </c>
      <c r="C259" s="1">
        <v>4670.2900390000004</v>
      </c>
      <c r="D259" s="1">
        <v>4670.2900390000004</v>
      </c>
      <c r="E259" s="1">
        <v>4673.0200199999999</v>
      </c>
      <c r="F259" s="1">
        <v>4582.2402339999999</v>
      </c>
      <c r="G259" s="1">
        <v>4655.3398440000001</v>
      </c>
      <c r="H259" s="1">
        <v>4511810000</v>
      </c>
      <c r="I259" s="1">
        <f t="shared" si="3"/>
        <v>-1.4410312334581993E-3</v>
      </c>
    </row>
    <row r="260" spans="1:9" x14ac:dyDescent="0.35">
      <c r="A260" s="1">
        <v>258</v>
      </c>
      <c r="B260" s="1" t="s">
        <v>267</v>
      </c>
      <c r="C260" s="1">
        <v>4713.0698240000002</v>
      </c>
      <c r="D260" s="1">
        <v>4713.0698240000002</v>
      </c>
      <c r="E260" s="1">
        <v>4714.1298829999996</v>
      </c>
      <c r="F260" s="1">
        <v>4638.2700199999999</v>
      </c>
      <c r="G260" s="1">
        <v>4669.1401370000003</v>
      </c>
      <c r="H260" s="1">
        <v>4101590000</v>
      </c>
      <c r="I260" s="1">
        <f t="shared" ref="I260:I323" si="4">(C260-C259)/C259</f>
        <v>9.1599846353781697E-3</v>
      </c>
    </row>
    <row r="261" spans="1:9" x14ac:dyDescent="0.35">
      <c r="A261" s="1">
        <v>259</v>
      </c>
      <c r="B261" s="1" t="s">
        <v>268</v>
      </c>
      <c r="C261" s="1">
        <v>4726.3500979999999</v>
      </c>
      <c r="D261" s="1">
        <v>4726.3500979999999</v>
      </c>
      <c r="E261" s="1">
        <v>4748.830078</v>
      </c>
      <c r="F261" s="1">
        <v>4706.7099609999996</v>
      </c>
      <c r="G261" s="1">
        <v>4728.5898440000001</v>
      </c>
      <c r="H261" s="1">
        <v>4048220000</v>
      </c>
      <c r="I261" s="1">
        <f t="shared" si="4"/>
        <v>2.8177545625090519E-3</v>
      </c>
    </row>
    <row r="262" spans="1:9" x14ac:dyDescent="0.35">
      <c r="A262" s="1">
        <v>260</v>
      </c>
      <c r="B262" s="1" t="s">
        <v>269</v>
      </c>
      <c r="C262" s="1">
        <v>4659.0297849999997</v>
      </c>
      <c r="D262" s="1">
        <v>4659.0297849999997</v>
      </c>
      <c r="E262" s="1">
        <v>4744.1298829999996</v>
      </c>
      <c r="F262" s="1">
        <v>4650.2900390000004</v>
      </c>
      <c r="G262" s="1">
        <v>4733.5600590000004</v>
      </c>
      <c r="H262" s="1">
        <v>4251730000</v>
      </c>
      <c r="I262" s="1">
        <f t="shared" si="4"/>
        <v>-1.4243615391184712E-2</v>
      </c>
    </row>
    <row r="263" spans="1:9" x14ac:dyDescent="0.35">
      <c r="A263" s="1">
        <v>261</v>
      </c>
      <c r="B263" s="1" t="s">
        <v>270</v>
      </c>
      <c r="C263" s="1">
        <v>4662.8500979999999</v>
      </c>
      <c r="D263" s="1">
        <v>4662.8500979999999</v>
      </c>
      <c r="E263" s="1">
        <v>4665.1298829999996</v>
      </c>
      <c r="F263" s="1">
        <v>4614.75</v>
      </c>
      <c r="G263" s="1">
        <v>4637.9902339999999</v>
      </c>
      <c r="H263" s="1">
        <v>4338490000</v>
      </c>
      <c r="I263" s="1">
        <f t="shared" si="4"/>
        <v>8.1998037709479234E-4</v>
      </c>
    </row>
    <row r="264" spans="1:9" x14ac:dyDescent="0.35">
      <c r="A264" s="1">
        <v>262</v>
      </c>
      <c r="B264" s="1" t="s">
        <v>271</v>
      </c>
      <c r="C264" s="1">
        <v>4577.1098629999997</v>
      </c>
      <c r="D264" s="1">
        <v>4577.1098629999997</v>
      </c>
      <c r="E264" s="1">
        <v>4632.2402339999999</v>
      </c>
      <c r="F264" s="1">
        <v>4568.7001950000003</v>
      </c>
      <c r="G264" s="1">
        <v>4632.2402339999999</v>
      </c>
      <c r="H264" s="1">
        <v>4748700000</v>
      </c>
      <c r="I264" s="1">
        <f t="shared" si="4"/>
        <v>-1.8387945826690011E-2</v>
      </c>
    </row>
    <row r="265" spans="1:9" x14ac:dyDescent="0.35">
      <c r="A265" s="1">
        <v>263</v>
      </c>
      <c r="B265" s="1" t="s">
        <v>272</v>
      </c>
      <c r="C265" s="1">
        <v>4532.7597660000001</v>
      </c>
      <c r="D265" s="1">
        <v>4532.7597660000001</v>
      </c>
      <c r="E265" s="1">
        <v>4611.5498049999997</v>
      </c>
      <c r="F265" s="1">
        <v>4530.2001950000003</v>
      </c>
      <c r="G265" s="1">
        <v>4588.0297849999997</v>
      </c>
      <c r="H265" s="1">
        <v>4465740000</v>
      </c>
      <c r="I265" s="1">
        <f t="shared" si="4"/>
        <v>-9.6895417255575614E-3</v>
      </c>
    </row>
    <row r="266" spans="1:9" x14ac:dyDescent="0.35">
      <c r="A266" s="1">
        <v>264</v>
      </c>
      <c r="B266" s="1" t="s">
        <v>273</v>
      </c>
      <c r="C266" s="1">
        <v>4482.7299800000001</v>
      </c>
      <c r="D266" s="1">
        <v>4482.7299800000001</v>
      </c>
      <c r="E266" s="1">
        <v>4602.1098629999997</v>
      </c>
      <c r="F266" s="1">
        <v>4477.9501950000003</v>
      </c>
      <c r="G266" s="1">
        <v>4547.3500979999999</v>
      </c>
      <c r="H266" s="1">
        <v>4640870000</v>
      </c>
      <c r="I266" s="1">
        <f t="shared" si="4"/>
        <v>-1.1037378679380039E-2</v>
      </c>
    </row>
    <row r="267" spans="1:9" x14ac:dyDescent="0.35">
      <c r="A267" s="1">
        <v>265</v>
      </c>
      <c r="B267" s="1" t="s">
        <v>274</v>
      </c>
      <c r="C267" s="1">
        <v>4397.9399409999996</v>
      </c>
      <c r="D267" s="1">
        <v>4397.9399409999996</v>
      </c>
      <c r="E267" s="1">
        <v>4494.5200199999999</v>
      </c>
      <c r="F267" s="1">
        <v>4395.3398440000001</v>
      </c>
      <c r="G267" s="1">
        <v>4471.3798829999996</v>
      </c>
      <c r="H267" s="1">
        <v>5589100000</v>
      </c>
      <c r="I267" s="1">
        <f t="shared" si="4"/>
        <v>-1.8914821855944227E-2</v>
      </c>
    </row>
    <row r="268" spans="1:9" x14ac:dyDescent="0.35">
      <c r="A268" s="1">
        <v>266</v>
      </c>
      <c r="B268" s="1" t="s">
        <v>275</v>
      </c>
      <c r="C268" s="1">
        <v>4410.1298829999996</v>
      </c>
      <c r="D268" s="1">
        <v>4410.1298829999996</v>
      </c>
      <c r="E268" s="1">
        <v>4417.3500979999999</v>
      </c>
      <c r="F268" s="1">
        <v>4222.6201170000004</v>
      </c>
      <c r="G268" s="1">
        <v>4356.3198240000002</v>
      </c>
      <c r="H268" s="1">
        <v>6928110000</v>
      </c>
      <c r="I268" s="1">
        <f t="shared" si="4"/>
        <v>2.7717390786442244E-3</v>
      </c>
    </row>
    <row r="269" spans="1:9" x14ac:dyDescent="0.35">
      <c r="A269" s="1">
        <v>267</v>
      </c>
      <c r="B269" s="1" t="s">
        <v>276</v>
      </c>
      <c r="C269" s="1">
        <v>4356.4501950000003</v>
      </c>
      <c r="D269" s="1">
        <v>4356.4501950000003</v>
      </c>
      <c r="E269" s="1">
        <v>4411.0097660000001</v>
      </c>
      <c r="F269" s="1">
        <v>4287.1098629999997</v>
      </c>
      <c r="G269" s="1">
        <v>4366.6401370000003</v>
      </c>
      <c r="H269" s="1">
        <v>5145050000</v>
      </c>
      <c r="I269" s="1">
        <f t="shared" si="4"/>
        <v>-1.2171906366504458E-2</v>
      </c>
    </row>
    <row r="270" spans="1:9" x14ac:dyDescent="0.35">
      <c r="A270" s="1">
        <v>268</v>
      </c>
      <c r="B270" s="1" t="s">
        <v>277</v>
      </c>
      <c r="C270" s="1">
        <v>4349.9301759999998</v>
      </c>
      <c r="D270" s="1">
        <v>4349.9301759999998</v>
      </c>
      <c r="E270" s="1">
        <v>4453.2299800000001</v>
      </c>
      <c r="F270" s="1">
        <v>4304.7998049999997</v>
      </c>
      <c r="G270" s="1">
        <v>4408.4301759999998</v>
      </c>
      <c r="H270" s="1">
        <v>5570640000</v>
      </c>
      <c r="I270" s="1">
        <f t="shared" si="4"/>
        <v>-1.4966357259136535E-3</v>
      </c>
    </row>
    <row r="271" spans="1:9" x14ac:dyDescent="0.35">
      <c r="A271" s="1">
        <v>269</v>
      </c>
      <c r="B271" s="1" t="s">
        <v>278</v>
      </c>
      <c r="C271" s="1">
        <v>4326.5097660000001</v>
      </c>
      <c r="D271" s="1">
        <v>4326.5097660000001</v>
      </c>
      <c r="E271" s="1">
        <v>4428.7402339999999</v>
      </c>
      <c r="F271" s="1">
        <v>4309.5</v>
      </c>
      <c r="G271" s="1">
        <v>4380.580078</v>
      </c>
      <c r="H271" s="1">
        <v>5214200000</v>
      </c>
      <c r="I271" s="1">
        <f t="shared" si="4"/>
        <v>-5.3840887215196812E-3</v>
      </c>
    </row>
    <row r="272" spans="1:9" x14ac:dyDescent="0.35">
      <c r="A272" s="1">
        <v>270</v>
      </c>
      <c r="B272" s="1" t="s">
        <v>279</v>
      </c>
      <c r="C272" s="1">
        <v>4431.8500979999999</v>
      </c>
      <c r="D272" s="1">
        <v>4431.8500979999999</v>
      </c>
      <c r="E272" s="1">
        <v>4432.7202150000003</v>
      </c>
      <c r="F272" s="1">
        <v>4292.4599609999996</v>
      </c>
      <c r="G272" s="1">
        <v>4336.1899409999996</v>
      </c>
      <c r="H272" s="1">
        <v>5031090000</v>
      </c>
      <c r="I272" s="1">
        <f t="shared" si="4"/>
        <v>2.4347646878742711E-2</v>
      </c>
    </row>
    <row r="273" spans="1:9" x14ac:dyDescent="0.35">
      <c r="A273" s="1">
        <v>271</v>
      </c>
      <c r="B273" s="1" t="s">
        <v>280</v>
      </c>
      <c r="C273" s="1">
        <v>4515.5498049999997</v>
      </c>
      <c r="D273" s="1">
        <v>4515.5498049999997</v>
      </c>
      <c r="E273" s="1">
        <v>4516.8901370000003</v>
      </c>
      <c r="F273" s="1">
        <v>4414.0200199999999</v>
      </c>
      <c r="G273" s="1">
        <v>4431.7900390000004</v>
      </c>
      <c r="H273" s="1">
        <v>5098610000</v>
      </c>
      <c r="I273" s="1">
        <f t="shared" si="4"/>
        <v>1.8885951724263342E-2</v>
      </c>
    </row>
    <row r="274" spans="1:9" x14ac:dyDescent="0.35">
      <c r="A274" s="1">
        <v>272</v>
      </c>
      <c r="B274" s="1" t="s">
        <v>281</v>
      </c>
      <c r="C274" s="1">
        <v>4546.5400390000004</v>
      </c>
      <c r="D274" s="1">
        <v>4546.5400390000004</v>
      </c>
      <c r="E274" s="1">
        <v>4550.4902339999999</v>
      </c>
      <c r="F274" s="1">
        <v>4483.5297849999997</v>
      </c>
      <c r="G274" s="1">
        <v>4519.5698240000002</v>
      </c>
      <c r="H274" s="1">
        <v>4816830000</v>
      </c>
      <c r="I274" s="1">
        <f t="shared" si="4"/>
        <v>6.8630034742803115E-3</v>
      </c>
    </row>
    <row r="275" spans="1:9" x14ac:dyDescent="0.35">
      <c r="A275" s="1">
        <v>273</v>
      </c>
      <c r="B275" s="1" t="s">
        <v>282</v>
      </c>
      <c r="C275" s="1">
        <v>4589.3798829999996</v>
      </c>
      <c r="D275" s="1">
        <v>4589.3798829999996</v>
      </c>
      <c r="E275" s="1">
        <v>4595.3100590000004</v>
      </c>
      <c r="F275" s="1">
        <v>4544.3198240000002</v>
      </c>
      <c r="G275" s="1">
        <v>4566.3901370000003</v>
      </c>
      <c r="H275" s="1">
        <v>4481580000</v>
      </c>
      <c r="I275" s="1">
        <f t="shared" si="4"/>
        <v>9.4225155024526483E-3</v>
      </c>
    </row>
    <row r="276" spans="1:9" x14ac:dyDescent="0.35">
      <c r="A276" s="1">
        <v>274</v>
      </c>
      <c r="B276" s="1" t="s">
        <v>283</v>
      </c>
      <c r="C276" s="1">
        <v>4477.4399409999996</v>
      </c>
      <c r="D276" s="1">
        <v>4477.4399409999996</v>
      </c>
      <c r="E276" s="1">
        <v>4542.8798829999996</v>
      </c>
      <c r="F276" s="1">
        <v>4470.3901370000003</v>
      </c>
      <c r="G276" s="1">
        <v>4535.4101559999999</v>
      </c>
      <c r="H276" s="1">
        <v>4401970000</v>
      </c>
      <c r="I276" s="1">
        <f t="shared" si="4"/>
        <v>-2.4391082205822267E-2</v>
      </c>
    </row>
    <row r="277" spans="1:9" x14ac:dyDescent="0.35">
      <c r="A277" s="1">
        <v>275</v>
      </c>
      <c r="B277" s="1" t="s">
        <v>284</v>
      </c>
      <c r="C277" s="1">
        <v>4500.5297849999997</v>
      </c>
      <c r="D277" s="1">
        <v>4500.5297849999997</v>
      </c>
      <c r="E277" s="1">
        <v>4539.6601559999999</v>
      </c>
      <c r="F277" s="1">
        <v>4451.5</v>
      </c>
      <c r="G277" s="1">
        <v>4482.7900390000004</v>
      </c>
      <c r="H277" s="1">
        <v>4706290000</v>
      </c>
      <c r="I277" s="1">
        <f t="shared" si="4"/>
        <v>5.1569299207267884E-3</v>
      </c>
    </row>
    <row r="278" spans="1:9" x14ac:dyDescent="0.35">
      <c r="A278" s="1">
        <v>276</v>
      </c>
      <c r="B278" s="1" t="s">
        <v>285</v>
      </c>
      <c r="C278" s="1">
        <v>4483.8701170000004</v>
      </c>
      <c r="D278" s="1">
        <v>4483.8701170000004</v>
      </c>
      <c r="E278" s="1">
        <v>4521.8598629999997</v>
      </c>
      <c r="F278" s="1">
        <v>4471.4702150000003</v>
      </c>
      <c r="G278" s="1">
        <v>4505.75</v>
      </c>
      <c r="H278" s="1">
        <v>4228480000</v>
      </c>
      <c r="I278" s="1">
        <f t="shared" si="4"/>
        <v>-3.7017126418149747E-3</v>
      </c>
    </row>
    <row r="279" spans="1:9" x14ac:dyDescent="0.35">
      <c r="A279" s="1">
        <v>277</v>
      </c>
      <c r="B279" s="1" t="s">
        <v>286</v>
      </c>
      <c r="C279" s="1">
        <v>4521.5400390000004</v>
      </c>
      <c r="D279" s="1">
        <v>4521.5400390000004</v>
      </c>
      <c r="E279" s="1">
        <v>4531.3198240000002</v>
      </c>
      <c r="F279" s="1">
        <v>4465.3999020000001</v>
      </c>
      <c r="G279" s="1">
        <v>4480.0200199999999</v>
      </c>
      <c r="H279" s="1">
        <v>4459620000</v>
      </c>
      <c r="I279" s="1">
        <f t="shared" si="4"/>
        <v>8.401207219892369E-3</v>
      </c>
    </row>
    <row r="280" spans="1:9" x14ac:dyDescent="0.35">
      <c r="A280" s="1">
        <v>278</v>
      </c>
      <c r="B280" s="1" t="s">
        <v>287</v>
      </c>
      <c r="C280" s="1">
        <v>4587.1801759999998</v>
      </c>
      <c r="D280" s="1">
        <v>4587.1801759999998</v>
      </c>
      <c r="E280" s="1">
        <v>4590.0297849999997</v>
      </c>
      <c r="F280" s="1">
        <v>4547</v>
      </c>
      <c r="G280" s="1">
        <v>4547</v>
      </c>
      <c r="H280" s="1">
        <v>4524350000</v>
      </c>
      <c r="I280" s="1">
        <f t="shared" si="4"/>
        <v>1.4517207949908283E-2</v>
      </c>
    </row>
    <row r="281" spans="1:9" x14ac:dyDescent="0.35">
      <c r="A281" s="1">
        <v>279</v>
      </c>
      <c r="B281" s="1" t="s">
        <v>288</v>
      </c>
      <c r="C281" s="1">
        <v>4504.080078</v>
      </c>
      <c r="D281" s="1">
        <v>4504.080078</v>
      </c>
      <c r="E281" s="1">
        <v>4588.919922</v>
      </c>
      <c r="F281" s="1">
        <v>4484.3100590000004</v>
      </c>
      <c r="G281" s="1">
        <v>4553.2402339999999</v>
      </c>
      <c r="H281" s="1">
        <v>5314860000</v>
      </c>
      <c r="I281" s="1">
        <f t="shared" si="4"/>
        <v>-1.811572574253292E-2</v>
      </c>
    </row>
    <row r="282" spans="1:9" x14ac:dyDescent="0.35">
      <c r="A282" s="1">
        <v>280</v>
      </c>
      <c r="B282" s="1" t="s">
        <v>289</v>
      </c>
      <c r="C282" s="1">
        <v>4418.6401370000003</v>
      </c>
      <c r="D282" s="1">
        <v>4418.6401370000003</v>
      </c>
      <c r="E282" s="1">
        <v>4526.330078</v>
      </c>
      <c r="F282" s="1">
        <v>4401.4101559999999</v>
      </c>
      <c r="G282" s="1">
        <v>4506.2700199999999</v>
      </c>
      <c r="H282" s="1">
        <v>5251500000</v>
      </c>
      <c r="I282" s="1">
        <f t="shared" si="4"/>
        <v>-1.8969454254893832E-2</v>
      </c>
    </row>
    <row r="283" spans="1:9" x14ac:dyDescent="0.35">
      <c r="A283" s="1">
        <v>281</v>
      </c>
      <c r="B283" s="1" t="s">
        <v>290</v>
      </c>
      <c r="C283" s="1">
        <v>4401.669922</v>
      </c>
      <c r="D283" s="1">
        <v>4401.669922</v>
      </c>
      <c r="E283" s="1">
        <v>4426.2202150000003</v>
      </c>
      <c r="F283" s="1">
        <v>4364.8398440000001</v>
      </c>
      <c r="G283" s="1">
        <v>4412.6098629999997</v>
      </c>
      <c r="H283" s="1">
        <v>4600390000</v>
      </c>
      <c r="I283" s="1">
        <f t="shared" si="4"/>
        <v>-3.8405967614104164E-3</v>
      </c>
    </row>
    <row r="284" spans="1:9" x14ac:dyDescent="0.35">
      <c r="A284" s="1">
        <v>282</v>
      </c>
      <c r="B284" s="1" t="s">
        <v>291</v>
      </c>
      <c r="C284" s="1">
        <v>4471.0698240000002</v>
      </c>
      <c r="D284" s="1">
        <v>4471.0698240000002</v>
      </c>
      <c r="E284" s="1">
        <v>4472.7700199999999</v>
      </c>
      <c r="F284" s="1">
        <v>4429.2797849999997</v>
      </c>
      <c r="G284" s="1">
        <v>4429.2797849999997</v>
      </c>
      <c r="H284" s="1">
        <v>4430830000</v>
      </c>
      <c r="I284" s="1">
        <f t="shared" si="4"/>
        <v>1.5766721092177367E-2</v>
      </c>
    </row>
    <row r="285" spans="1:9" x14ac:dyDescent="0.35">
      <c r="A285" s="1">
        <v>283</v>
      </c>
      <c r="B285" s="1" t="s">
        <v>292</v>
      </c>
      <c r="C285" s="1">
        <v>4475.0097660000001</v>
      </c>
      <c r="D285" s="1">
        <v>4475.0097660000001</v>
      </c>
      <c r="E285" s="1">
        <v>4489.5498049999997</v>
      </c>
      <c r="F285" s="1">
        <v>4429.6801759999998</v>
      </c>
      <c r="G285" s="1">
        <v>4455.75</v>
      </c>
      <c r="H285" s="1">
        <v>4283640000</v>
      </c>
      <c r="I285" s="1">
        <f t="shared" si="4"/>
        <v>8.8120788873637893E-4</v>
      </c>
    </row>
    <row r="286" spans="1:9" x14ac:dyDescent="0.35">
      <c r="A286" s="1">
        <v>284</v>
      </c>
      <c r="B286" s="1" t="s">
        <v>293</v>
      </c>
      <c r="C286" s="1">
        <v>4380.2597660000001</v>
      </c>
      <c r="D286" s="1">
        <v>4380.2597660000001</v>
      </c>
      <c r="E286" s="1">
        <v>4456.0600590000004</v>
      </c>
      <c r="F286" s="1">
        <v>4373.8100590000004</v>
      </c>
      <c r="G286" s="1">
        <v>4456.0600590000004</v>
      </c>
      <c r="H286" s="1">
        <v>4539420000</v>
      </c>
      <c r="I286" s="1">
        <f t="shared" si="4"/>
        <v>-2.1173138150420743E-2</v>
      </c>
    </row>
    <row r="287" spans="1:9" x14ac:dyDescent="0.35">
      <c r="A287" s="1">
        <v>285</v>
      </c>
      <c r="B287" s="1" t="s">
        <v>294</v>
      </c>
      <c r="C287" s="1">
        <v>4348.8701170000004</v>
      </c>
      <c r="D287" s="1">
        <v>4348.8701170000004</v>
      </c>
      <c r="E287" s="1">
        <v>4394.6000979999999</v>
      </c>
      <c r="F287" s="1">
        <v>4327.2202150000003</v>
      </c>
      <c r="G287" s="1">
        <v>4384.5698240000002</v>
      </c>
      <c r="H287" s="1">
        <v>4708060000</v>
      </c>
      <c r="I287" s="1">
        <f t="shared" si="4"/>
        <v>-7.1661615239464165E-3</v>
      </c>
    </row>
    <row r="288" spans="1:9" x14ac:dyDescent="0.35">
      <c r="A288" s="1">
        <v>286</v>
      </c>
      <c r="B288" s="1" t="s">
        <v>295</v>
      </c>
      <c r="C288" s="1">
        <v>4304.7597660000001</v>
      </c>
      <c r="D288" s="1">
        <v>4304.7597660000001</v>
      </c>
      <c r="E288" s="1">
        <v>4362.1201170000004</v>
      </c>
      <c r="F288" s="1">
        <v>4267.1098629999997</v>
      </c>
      <c r="G288" s="1">
        <v>4332.7402339999999</v>
      </c>
      <c r="H288" s="1">
        <v>5121900000</v>
      </c>
      <c r="I288" s="1">
        <f t="shared" si="4"/>
        <v>-1.0142945135926271E-2</v>
      </c>
    </row>
    <row r="289" spans="1:9" x14ac:dyDescent="0.35">
      <c r="A289" s="1">
        <v>287</v>
      </c>
      <c r="B289" s="1" t="s">
        <v>296</v>
      </c>
      <c r="C289" s="1">
        <v>4225.5</v>
      </c>
      <c r="D289" s="1">
        <v>4225.5</v>
      </c>
      <c r="E289" s="1">
        <v>4341.5097660000001</v>
      </c>
      <c r="F289" s="1">
        <v>4221.5097660000001</v>
      </c>
      <c r="G289" s="1">
        <v>4324.9301759999998</v>
      </c>
      <c r="H289" s="1">
        <v>4797430000</v>
      </c>
      <c r="I289" s="1">
        <f t="shared" si="4"/>
        <v>-1.8412122930996592E-2</v>
      </c>
    </row>
    <row r="290" spans="1:9" x14ac:dyDescent="0.35">
      <c r="A290" s="1">
        <v>288</v>
      </c>
      <c r="B290" s="1" t="s">
        <v>297</v>
      </c>
      <c r="C290" s="1">
        <v>4288.7001950000003</v>
      </c>
      <c r="D290" s="1">
        <v>4288.7001950000003</v>
      </c>
      <c r="E290" s="1">
        <v>4294.7299800000001</v>
      </c>
      <c r="F290" s="1">
        <v>4114.6499020000001</v>
      </c>
      <c r="G290" s="1">
        <v>4155.7700199999999</v>
      </c>
      <c r="H290" s="1">
        <v>6752130000</v>
      </c>
      <c r="I290" s="1">
        <f t="shared" si="4"/>
        <v>1.4956855993373647E-2</v>
      </c>
    </row>
    <row r="291" spans="1:9" x14ac:dyDescent="0.35">
      <c r="A291" s="1">
        <v>289</v>
      </c>
      <c r="B291" s="1" t="s">
        <v>298</v>
      </c>
      <c r="C291" s="1">
        <v>4384.6499020000001</v>
      </c>
      <c r="D291" s="1">
        <v>4384.6499020000001</v>
      </c>
      <c r="E291" s="1">
        <v>4385.3398440000001</v>
      </c>
      <c r="F291" s="1">
        <v>4286.830078</v>
      </c>
      <c r="G291" s="1">
        <v>4298.3798829999996</v>
      </c>
      <c r="H291" s="1">
        <v>5177060000</v>
      </c>
      <c r="I291" s="1">
        <f t="shared" si="4"/>
        <v>2.2372677649946979E-2</v>
      </c>
    </row>
    <row r="292" spans="1:9" x14ac:dyDescent="0.35">
      <c r="A292" s="1">
        <v>290</v>
      </c>
      <c r="B292" s="1" t="s">
        <v>299</v>
      </c>
      <c r="C292" s="1">
        <v>4373.9399409999996</v>
      </c>
      <c r="D292" s="1">
        <v>4373.9399409999996</v>
      </c>
      <c r="E292" s="1">
        <v>4388.8398440000001</v>
      </c>
      <c r="F292" s="1">
        <v>4315.1201170000004</v>
      </c>
      <c r="G292" s="1">
        <v>4354.169922</v>
      </c>
      <c r="H292" s="1">
        <v>6071370000</v>
      </c>
      <c r="I292" s="1">
        <f t="shared" si="4"/>
        <v>-2.442603455093477E-3</v>
      </c>
    </row>
    <row r="293" spans="1:9" x14ac:dyDescent="0.35">
      <c r="A293" s="1">
        <v>291</v>
      </c>
      <c r="B293" s="1" t="s">
        <v>300</v>
      </c>
      <c r="C293" s="1">
        <v>4306.2597660000001</v>
      </c>
      <c r="D293" s="1">
        <v>4306.2597660000001</v>
      </c>
      <c r="E293" s="1">
        <v>4378.4501950000003</v>
      </c>
      <c r="F293" s="1">
        <v>4279.5400390000004</v>
      </c>
      <c r="G293" s="1">
        <v>4363.1401370000003</v>
      </c>
      <c r="H293" s="1">
        <v>5846230000</v>
      </c>
      <c r="I293" s="1">
        <f t="shared" si="4"/>
        <v>-1.5473503503234206E-2</v>
      </c>
    </row>
    <row r="294" spans="1:9" x14ac:dyDescent="0.35">
      <c r="A294" s="1">
        <v>292</v>
      </c>
      <c r="B294" s="1" t="s">
        <v>301</v>
      </c>
      <c r="C294" s="1">
        <v>4386.5400390000004</v>
      </c>
      <c r="D294" s="1">
        <v>4386.5400390000004</v>
      </c>
      <c r="E294" s="1">
        <v>4401.4799800000001</v>
      </c>
      <c r="F294" s="1">
        <v>4322.5600590000004</v>
      </c>
      <c r="G294" s="1">
        <v>4322.5600590000004</v>
      </c>
      <c r="H294" s="1">
        <v>5337870000</v>
      </c>
      <c r="I294" s="1">
        <f t="shared" si="4"/>
        <v>1.8642691654101273E-2</v>
      </c>
    </row>
    <row r="295" spans="1:9" x14ac:dyDescent="0.35">
      <c r="A295" s="1">
        <v>293</v>
      </c>
      <c r="B295" s="1" t="s">
        <v>302</v>
      </c>
      <c r="C295" s="1">
        <v>4363.4902339999999</v>
      </c>
      <c r="D295" s="1">
        <v>4363.4902339999999</v>
      </c>
      <c r="E295" s="1">
        <v>4416.7797849999997</v>
      </c>
      <c r="F295" s="1">
        <v>4345.5600590000004</v>
      </c>
      <c r="G295" s="1">
        <v>4401.3100590000004</v>
      </c>
      <c r="H295" s="1">
        <v>5039890000</v>
      </c>
      <c r="I295" s="1">
        <f t="shared" si="4"/>
        <v>-5.2546665014039685E-3</v>
      </c>
    </row>
    <row r="296" spans="1:9" x14ac:dyDescent="0.35">
      <c r="A296" s="1">
        <v>294</v>
      </c>
      <c r="B296" s="1" t="s">
        <v>303</v>
      </c>
      <c r="C296" s="1">
        <v>4328.8701170000004</v>
      </c>
      <c r="D296" s="1">
        <v>4328.8701170000004</v>
      </c>
      <c r="E296" s="1">
        <v>4342.1201170000004</v>
      </c>
      <c r="F296" s="1">
        <v>4284.9799800000001</v>
      </c>
      <c r="G296" s="1">
        <v>4342.1201170000004</v>
      </c>
      <c r="H296" s="1">
        <v>5797380000</v>
      </c>
      <c r="I296" s="1">
        <f t="shared" si="4"/>
        <v>-7.9340425080459756E-3</v>
      </c>
    </row>
    <row r="297" spans="1:9" x14ac:dyDescent="0.35">
      <c r="A297" s="1">
        <v>295</v>
      </c>
      <c r="B297" s="1" t="s">
        <v>304</v>
      </c>
      <c r="C297" s="1">
        <v>4201.0898440000001</v>
      </c>
      <c r="D297" s="1">
        <v>4201.0898440000001</v>
      </c>
      <c r="E297" s="1">
        <v>4327.0097660000001</v>
      </c>
      <c r="F297" s="1">
        <v>4199.8500979999999</v>
      </c>
      <c r="G297" s="1">
        <v>4327.0097660000001</v>
      </c>
      <c r="H297" s="1">
        <v>6940470000</v>
      </c>
      <c r="I297" s="1">
        <f t="shared" si="4"/>
        <v>-2.9518158213662177E-2</v>
      </c>
    </row>
    <row r="298" spans="1:9" x14ac:dyDescent="0.35">
      <c r="A298" s="1">
        <v>296</v>
      </c>
      <c r="B298" s="1" t="s">
        <v>305</v>
      </c>
      <c r="C298" s="1">
        <v>4170.7001950000003</v>
      </c>
      <c r="D298" s="1">
        <v>4170.7001950000003</v>
      </c>
      <c r="E298" s="1">
        <v>4276.9399409999996</v>
      </c>
      <c r="F298" s="1">
        <v>4157.8701170000004</v>
      </c>
      <c r="G298" s="1">
        <v>4202.6601559999999</v>
      </c>
      <c r="H298" s="1">
        <v>7243120000</v>
      </c>
      <c r="I298" s="1">
        <f t="shared" si="4"/>
        <v>-7.2337536516630932E-3</v>
      </c>
    </row>
    <row r="299" spans="1:9" x14ac:dyDescent="0.35">
      <c r="A299" s="1">
        <v>297</v>
      </c>
      <c r="B299" s="1" t="s">
        <v>306</v>
      </c>
      <c r="C299" s="1">
        <v>4277.8798829999996</v>
      </c>
      <c r="D299" s="1">
        <v>4277.8798829999996</v>
      </c>
      <c r="E299" s="1">
        <v>4299.3999020000001</v>
      </c>
      <c r="F299" s="1">
        <v>4223.1000979999999</v>
      </c>
      <c r="G299" s="1">
        <v>4223.1000979999999</v>
      </c>
      <c r="H299" s="1">
        <v>5662670000</v>
      </c>
      <c r="I299" s="1">
        <f t="shared" si="4"/>
        <v>2.5698248013244992E-2</v>
      </c>
    </row>
    <row r="300" spans="1:9" x14ac:dyDescent="0.35">
      <c r="A300" s="1">
        <v>298</v>
      </c>
      <c r="B300" s="1" t="s">
        <v>307</v>
      </c>
      <c r="C300" s="1">
        <v>4259.5200199999999</v>
      </c>
      <c r="D300" s="1">
        <v>4259.5200199999999</v>
      </c>
      <c r="E300" s="1">
        <v>4268.2797849999997</v>
      </c>
      <c r="F300" s="1">
        <v>4209.7998049999997</v>
      </c>
      <c r="G300" s="1">
        <v>4252.5498049999997</v>
      </c>
      <c r="H300" s="1">
        <v>4980830000</v>
      </c>
      <c r="I300" s="1">
        <f t="shared" si="4"/>
        <v>-4.2918135857344924E-3</v>
      </c>
    </row>
    <row r="301" spans="1:9" x14ac:dyDescent="0.35">
      <c r="A301" s="1">
        <v>299</v>
      </c>
      <c r="B301" s="1" t="s">
        <v>308</v>
      </c>
      <c r="C301" s="1">
        <v>4204.3100590000004</v>
      </c>
      <c r="D301" s="1">
        <v>4204.3100590000004</v>
      </c>
      <c r="E301" s="1">
        <v>4291.0097660000001</v>
      </c>
      <c r="F301" s="1">
        <v>4200.4902339999999</v>
      </c>
      <c r="G301" s="1">
        <v>4279.5</v>
      </c>
      <c r="H301" s="1">
        <v>4938640000</v>
      </c>
      <c r="I301" s="1">
        <f t="shared" si="4"/>
        <v>-1.2961545136721665E-2</v>
      </c>
    </row>
    <row r="302" spans="1:9" x14ac:dyDescent="0.35">
      <c r="A302" s="1">
        <v>300</v>
      </c>
      <c r="B302" s="1" t="s">
        <v>309</v>
      </c>
      <c r="C302" s="1">
        <v>4173.1098629999997</v>
      </c>
      <c r="D302" s="1">
        <v>4173.1098629999997</v>
      </c>
      <c r="E302" s="1">
        <v>4247.5698240000002</v>
      </c>
      <c r="F302" s="1">
        <v>4161.7202150000003</v>
      </c>
      <c r="G302" s="1">
        <v>4202.75</v>
      </c>
      <c r="H302" s="1">
        <v>5574920000</v>
      </c>
      <c r="I302" s="1">
        <f t="shared" si="4"/>
        <v>-7.4210026287694127E-3</v>
      </c>
    </row>
    <row r="303" spans="1:9" x14ac:dyDescent="0.35">
      <c r="A303" s="1">
        <v>301</v>
      </c>
      <c r="B303" s="1" t="s">
        <v>310</v>
      </c>
      <c r="C303" s="1">
        <v>4262.4501950000003</v>
      </c>
      <c r="D303" s="1">
        <v>4262.4501950000003</v>
      </c>
      <c r="E303" s="1">
        <v>4271.0498049999997</v>
      </c>
      <c r="F303" s="1">
        <v>4187.8999020000001</v>
      </c>
      <c r="G303" s="1">
        <v>4188.8198240000002</v>
      </c>
      <c r="H303" s="1">
        <v>5392470000</v>
      </c>
      <c r="I303" s="1">
        <f t="shared" si="4"/>
        <v>2.1408574164825594E-2</v>
      </c>
    </row>
    <row r="304" spans="1:9" x14ac:dyDescent="0.35">
      <c r="A304" s="1">
        <v>302</v>
      </c>
      <c r="B304" s="1" t="s">
        <v>311</v>
      </c>
      <c r="C304" s="1">
        <v>4357.8598629999997</v>
      </c>
      <c r="D304" s="1">
        <v>4357.8598629999997</v>
      </c>
      <c r="E304" s="1">
        <v>4358.8999020000001</v>
      </c>
      <c r="F304" s="1">
        <v>4251.9902339999999</v>
      </c>
      <c r="G304" s="1">
        <v>4288.1401370000003</v>
      </c>
      <c r="H304" s="1">
        <v>6309750000</v>
      </c>
      <c r="I304" s="1">
        <f t="shared" si="4"/>
        <v>2.2383761366154643E-2</v>
      </c>
    </row>
    <row r="305" spans="1:9" x14ac:dyDescent="0.35">
      <c r="A305" s="1">
        <v>303</v>
      </c>
      <c r="B305" s="1" t="s">
        <v>312</v>
      </c>
      <c r="C305" s="1">
        <v>4411.669922</v>
      </c>
      <c r="D305" s="1">
        <v>4411.669922</v>
      </c>
      <c r="E305" s="1">
        <v>4412.669922</v>
      </c>
      <c r="F305" s="1">
        <v>4335.6499020000001</v>
      </c>
      <c r="G305" s="1">
        <v>4345.1098629999997</v>
      </c>
      <c r="H305" s="1">
        <v>4985090000</v>
      </c>
      <c r="I305" s="1">
        <f t="shared" si="4"/>
        <v>1.2347817665471444E-2</v>
      </c>
    </row>
    <row r="306" spans="1:9" x14ac:dyDescent="0.35">
      <c r="A306" s="1">
        <v>304</v>
      </c>
      <c r="B306" s="1" t="s">
        <v>313</v>
      </c>
      <c r="C306" s="1">
        <v>4463.1201170000004</v>
      </c>
      <c r="D306" s="1">
        <v>4463.1201170000004</v>
      </c>
      <c r="E306" s="1">
        <v>4465.3999020000001</v>
      </c>
      <c r="F306" s="1">
        <v>4390.5698240000002</v>
      </c>
      <c r="G306" s="1">
        <v>4407.3398440000001</v>
      </c>
      <c r="H306" s="1">
        <v>8278430000</v>
      </c>
      <c r="I306" s="1">
        <f t="shared" si="4"/>
        <v>1.1662294756783563E-2</v>
      </c>
    </row>
    <row r="307" spans="1:9" x14ac:dyDescent="0.35">
      <c r="A307" s="1">
        <v>305</v>
      </c>
      <c r="B307" s="1" t="s">
        <v>314</v>
      </c>
      <c r="C307" s="1">
        <v>4461.1801759999998</v>
      </c>
      <c r="D307" s="1">
        <v>4461.1801759999998</v>
      </c>
      <c r="E307" s="1">
        <v>4481.75</v>
      </c>
      <c r="F307" s="1">
        <v>4424.2998049999997</v>
      </c>
      <c r="G307" s="1">
        <v>4462.3999020000001</v>
      </c>
      <c r="H307" s="1">
        <v>4869820000</v>
      </c>
      <c r="I307" s="1">
        <f t="shared" si="4"/>
        <v>-4.346602710985348E-4</v>
      </c>
    </row>
    <row r="308" spans="1:9" x14ac:dyDescent="0.35">
      <c r="A308" s="1">
        <v>306</v>
      </c>
      <c r="B308" s="1" t="s">
        <v>315</v>
      </c>
      <c r="C308" s="1">
        <v>4511.6098629999997</v>
      </c>
      <c r="D308" s="1">
        <v>4511.6098629999997</v>
      </c>
      <c r="E308" s="1">
        <v>4522</v>
      </c>
      <c r="F308" s="1">
        <v>4469.1000979999999</v>
      </c>
      <c r="G308" s="1">
        <v>4469.1000979999999</v>
      </c>
      <c r="H308" s="1">
        <v>4754840000</v>
      </c>
      <c r="I308" s="1">
        <f t="shared" si="4"/>
        <v>1.1304113488017936E-2</v>
      </c>
    </row>
    <row r="309" spans="1:9" x14ac:dyDescent="0.35">
      <c r="A309" s="1">
        <v>307</v>
      </c>
      <c r="B309" s="1" t="s">
        <v>316</v>
      </c>
      <c r="C309" s="1">
        <v>4456.2402339999999</v>
      </c>
      <c r="D309" s="1">
        <v>4456.2402339999999</v>
      </c>
      <c r="E309" s="1">
        <v>4501.0698240000002</v>
      </c>
      <c r="F309" s="1">
        <v>4455.8100590000004</v>
      </c>
      <c r="G309" s="1">
        <v>4493.1000979999999</v>
      </c>
      <c r="H309" s="1">
        <v>4550670000</v>
      </c>
      <c r="I309" s="1">
        <f t="shared" si="4"/>
        <v>-1.2272698810703839E-2</v>
      </c>
    </row>
    <row r="310" spans="1:9" x14ac:dyDescent="0.35">
      <c r="A310" s="1">
        <v>308</v>
      </c>
      <c r="B310" s="1" t="s">
        <v>317</v>
      </c>
      <c r="C310" s="1">
        <v>4520.1601559999999</v>
      </c>
      <c r="D310" s="1">
        <v>4520.1601559999999</v>
      </c>
      <c r="E310" s="1">
        <v>4520.580078</v>
      </c>
      <c r="F310" s="1">
        <v>4465.169922</v>
      </c>
      <c r="G310" s="1">
        <v>4469.9799800000001</v>
      </c>
      <c r="H310" s="1">
        <v>4131390000</v>
      </c>
      <c r="I310" s="1">
        <f t="shared" si="4"/>
        <v>1.4343912949824161E-2</v>
      </c>
    </row>
    <row r="311" spans="1:9" x14ac:dyDescent="0.35">
      <c r="A311" s="1">
        <v>309</v>
      </c>
      <c r="B311" s="1" t="s">
        <v>318</v>
      </c>
      <c r="C311" s="1">
        <v>4543.0600590000004</v>
      </c>
      <c r="D311" s="1">
        <v>4543.0600590000004</v>
      </c>
      <c r="E311" s="1">
        <v>4546.0297849999997</v>
      </c>
      <c r="F311" s="1">
        <v>4501.0698240000002</v>
      </c>
      <c r="G311" s="1">
        <v>4522.9101559999999</v>
      </c>
      <c r="H311" s="1">
        <v>4305020000</v>
      </c>
      <c r="I311" s="1">
        <f t="shared" si="4"/>
        <v>5.0661707129123351E-3</v>
      </c>
    </row>
    <row r="312" spans="1:9" x14ac:dyDescent="0.35">
      <c r="A312" s="1">
        <v>310</v>
      </c>
      <c r="B312" s="1" t="s">
        <v>319</v>
      </c>
      <c r="C312" s="1">
        <v>4575.5200199999999</v>
      </c>
      <c r="D312" s="1">
        <v>4575.5200199999999</v>
      </c>
      <c r="E312" s="1">
        <v>4575.6499020000001</v>
      </c>
      <c r="F312" s="1">
        <v>4517.6899409999996</v>
      </c>
      <c r="G312" s="1">
        <v>4541.0898440000001</v>
      </c>
      <c r="H312" s="1">
        <v>4312260000</v>
      </c>
      <c r="I312" s="1">
        <f t="shared" si="4"/>
        <v>7.144955289705001E-3</v>
      </c>
    </row>
    <row r="313" spans="1:9" x14ac:dyDescent="0.35">
      <c r="A313" s="1">
        <v>311</v>
      </c>
      <c r="B313" s="1" t="s">
        <v>320</v>
      </c>
      <c r="C313" s="1">
        <v>4631.6000979999999</v>
      </c>
      <c r="D313" s="1">
        <v>4631.6000979999999</v>
      </c>
      <c r="E313" s="1">
        <v>4637.2998049999997</v>
      </c>
      <c r="F313" s="1">
        <v>4589.6601559999999</v>
      </c>
      <c r="G313" s="1">
        <v>4602.8598629999997</v>
      </c>
      <c r="H313" s="1">
        <v>5085910000</v>
      </c>
      <c r="I313" s="1">
        <f t="shared" si="4"/>
        <v>1.2256547398955531E-2</v>
      </c>
    </row>
    <row r="314" spans="1:9" x14ac:dyDescent="0.35">
      <c r="A314" s="1">
        <v>312</v>
      </c>
      <c r="B314" s="1" t="s">
        <v>321</v>
      </c>
      <c r="C314" s="1">
        <v>4602.4501950000003</v>
      </c>
      <c r="D314" s="1">
        <v>4602.4501950000003</v>
      </c>
      <c r="E314" s="1">
        <v>4627.7700199999999</v>
      </c>
      <c r="F314" s="1">
        <v>4581.3198240000002</v>
      </c>
      <c r="G314" s="1">
        <v>4624.2001950000003</v>
      </c>
      <c r="H314" s="1">
        <v>4385570000</v>
      </c>
      <c r="I314" s="1">
        <f t="shared" si="4"/>
        <v>-6.2937003159203968E-3</v>
      </c>
    </row>
    <row r="315" spans="1:9" x14ac:dyDescent="0.35">
      <c r="A315" s="1">
        <v>313</v>
      </c>
      <c r="B315" s="1" t="s">
        <v>322</v>
      </c>
      <c r="C315" s="1">
        <v>4530.4101559999999</v>
      </c>
      <c r="D315" s="1">
        <v>4530.4101559999999</v>
      </c>
      <c r="E315" s="1">
        <v>4603.0698240000002</v>
      </c>
      <c r="F315" s="1">
        <v>4530.4101559999999</v>
      </c>
      <c r="G315" s="1">
        <v>4599.0200199999999</v>
      </c>
      <c r="H315" s="1">
        <v>4823020000</v>
      </c>
      <c r="I315" s="1">
        <f t="shared" si="4"/>
        <v>-1.5652540700660515E-2</v>
      </c>
    </row>
    <row r="316" spans="1:9" x14ac:dyDescent="0.35">
      <c r="A316" s="1">
        <v>314</v>
      </c>
      <c r="B316" s="1" t="s">
        <v>323</v>
      </c>
      <c r="C316" s="1">
        <v>4545.8598629999997</v>
      </c>
      <c r="D316" s="1">
        <v>4545.8598629999997</v>
      </c>
      <c r="E316" s="1">
        <v>4548.7001950000003</v>
      </c>
      <c r="F316" s="1">
        <v>4507.5698240000002</v>
      </c>
      <c r="G316" s="1">
        <v>4540.3198240000002</v>
      </c>
      <c r="H316" s="1">
        <v>4562940000</v>
      </c>
      <c r="I316" s="1">
        <f t="shared" si="4"/>
        <v>3.41022257764861E-3</v>
      </c>
    </row>
    <row r="317" spans="1:9" x14ac:dyDescent="0.35">
      <c r="A317" s="1">
        <v>315</v>
      </c>
      <c r="B317" s="1" t="s">
        <v>324</v>
      </c>
      <c r="C317" s="1">
        <v>4582.6401370000003</v>
      </c>
      <c r="D317" s="1">
        <v>4582.6401370000003</v>
      </c>
      <c r="E317" s="1">
        <v>4583.5</v>
      </c>
      <c r="F317" s="1">
        <v>4539.2099609999996</v>
      </c>
      <c r="G317" s="1">
        <v>4547.9702150000003</v>
      </c>
      <c r="H317" s="1">
        <v>4547350000</v>
      </c>
      <c r="I317" s="1">
        <f t="shared" si="4"/>
        <v>8.0909388121189977E-3</v>
      </c>
    </row>
    <row r="318" spans="1:9" x14ac:dyDescent="0.35">
      <c r="A318" s="1">
        <v>316</v>
      </c>
      <c r="B318" s="1" t="s">
        <v>325</v>
      </c>
      <c r="C318" s="1">
        <v>4525.1201170000004</v>
      </c>
      <c r="D318" s="1">
        <v>4525.1201170000004</v>
      </c>
      <c r="E318" s="1">
        <v>4593.4501950000003</v>
      </c>
      <c r="F318" s="1">
        <v>4514.169922</v>
      </c>
      <c r="G318" s="1">
        <v>4572.4501950000003</v>
      </c>
      <c r="H318" s="1">
        <v>4800620000</v>
      </c>
      <c r="I318" s="1">
        <f t="shared" si="4"/>
        <v>-1.2551720903325193E-2</v>
      </c>
    </row>
    <row r="319" spans="1:9" x14ac:dyDescent="0.35">
      <c r="A319" s="1">
        <v>317</v>
      </c>
      <c r="B319" s="1" t="s">
        <v>326</v>
      </c>
      <c r="C319" s="1">
        <v>4481.1499020000001</v>
      </c>
      <c r="D319" s="1">
        <v>4481.1499020000001</v>
      </c>
      <c r="E319" s="1">
        <v>4503.9399409999996</v>
      </c>
      <c r="F319" s="1">
        <v>4450.0400390000004</v>
      </c>
      <c r="G319" s="1">
        <v>4494.169922</v>
      </c>
      <c r="H319" s="1">
        <v>4986830000</v>
      </c>
      <c r="I319" s="1">
        <f t="shared" si="4"/>
        <v>-9.7169166482040312E-3</v>
      </c>
    </row>
    <row r="320" spans="1:9" x14ac:dyDescent="0.35">
      <c r="A320" s="1">
        <v>318</v>
      </c>
      <c r="B320" s="1" t="s">
        <v>327</v>
      </c>
      <c r="C320" s="1">
        <v>4500.2099609999996</v>
      </c>
      <c r="D320" s="1">
        <v>4500.2099609999996</v>
      </c>
      <c r="E320" s="1">
        <v>4521.1601559999999</v>
      </c>
      <c r="F320" s="1">
        <v>4450.2998049999997</v>
      </c>
      <c r="G320" s="1">
        <v>4474.6499020000001</v>
      </c>
      <c r="H320" s="1">
        <v>4821490000</v>
      </c>
      <c r="I320" s="1">
        <f t="shared" si="4"/>
        <v>4.2533857194763077E-3</v>
      </c>
    </row>
    <row r="321" spans="1:9" x14ac:dyDescent="0.35">
      <c r="A321" s="1">
        <v>319</v>
      </c>
      <c r="B321" s="1" t="s">
        <v>328</v>
      </c>
      <c r="C321" s="1">
        <v>4488.2797849999997</v>
      </c>
      <c r="D321" s="1">
        <v>4488.2797849999997</v>
      </c>
      <c r="E321" s="1">
        <v>4520.4101559999999</v>
      </c>
      <c r="F321" s="1">
        <v>4474.6000979999999</v>
      </c>
      <c r="G321" s="1">
        <v>4494.1499020000001</v>
      </c>
      <c r="H321" s="1">
        <v>4083200000</v>
      </c>
      <c r="I321" s="1">
        <f t="shared" si="4"/>
        <v>-2.6510265306263223E-3</v>
      </c>
    </row>
    <row r="322" spans="1:9" x14ac:dyDescent="0.35">
      <c r="A322" s="1">
        <v>320</v>
      </c>
      <c r="B322" s="1" t="s">
        <v>329</v>
      </c>
      <c r="C322" s="1">
        <v>4412.5297849999997</v>
      </c>
      <c r="D322" s="1">
        <v>4412.5297849999997</v>
      </c>
      <c r="E322" s="1">
        <v>4464.3500979999999</v>
      </c>
      <c r="F322" s="1">
        <v>4408.3798829999996</v>
      </c>
      <c r="G322" s="1">
        <v>4462.6401370000003</v>
      </c>
      <c r="H322" s="1">
        <v>4266290000</v>
      </c>
      <c r="I322" s="1">
        <f t="shared" si="4"/>
        <v>-1.6877290104141761E-2</v>
      </c>
    </row>
    <row r="323" spans="1:9" x14ac:dyDescent="0.35">
      <c r="A323" s="1">
        <v>321</v>
      </c>
      <c r="B323" s="1" t="s">
        <v>330</v>
      </c>
      <c r="C323" s="1">
        <v>4397.4501950000003</v>
      </c>
      <c r="D323" s="1">
        <v>4397.4501950000003</v>
      </c>
      <c r="E323" s="1">
        <v>4471</v>
      </c>
      <c r="F323" s="1">
        <v>4381.3398440000001</v>
      </c>
      <c r="G323" s="1">
        <v>4437.5898440000001</v>
      </c>
      <c r="H323" s="1">
        <v>4152090000</v>
      </c>
      <c r="I323" s="1">
        <f t="shared" si="4"/>
        <v>-3.4174477532732104E-3</v>
      </c>
    </row>
    <row r="324" spans="1:9" x14ac:dyDescent="0.35">
      <c r="A324" s="1">
        <v>322</v>
      </c>
      <c r="B324" s="1" t="s">
        <v>331</v>
      </c>
      <c r="C324" s="1">
        <v>4446.5898440000001</v>
      </c>
      <c r="D324" s="1">
        <v>4446.5898440000001</v>
      </c>
      <c r="E324" s="1">
        <v>4453.919922</v>
      </c>
      <c r="F324" s="1">
        <v>4392.7001950000003</v>
      </c>
      <c r="G324" s="1">
        <v>4394.2998049999997</v>
      </c>
      <c r="H324" s="1">
        <v>3828150000</v>
      </c>
      <c r="I324" s="1">
        <f t="shared" ref="I324:I387" si="5">(C324-C323)/C323</f>
        <v>1.1174577725945054E-2</v>
      </c>
    </row>
    <row r="325" spans="1:9" x14ac:dyDescent="0.35">
      <c r="A325" s="1">
        <v>323</v>
      </c>
      <c r="B325" s="1" t="s">
        <v>332</v>
      </c>
      <c r="C325" s="1">
        <v>4392.5898440000001</v>
      </c>
      <c r="D325" s="1">
        <v>4392.5898440000001</v>
      </c>
      <c r="E325" s="1">
        <v>4460.4599609999996</v>
      </c>
      <c r="F325" s="1">
        <v>4390.7700199999999</v>
      </c>
      <c r="G325" s="1">
        <v>4449.1201170000004</v>
      </c>
      <c r="H325" s="1">
        <v>4083090000</v>
      </c>
      <c r="I325" s="1">
        <f t="shared" si="5"/>
        <v>-1.2144137843715184E-2</v>
      </c>
    </row>
    <row r="326" spans="1:9" x14ac:dyDescent="0.35">
      <c r="A326" s="1">
        <v>324</v>
      </c>
      <c r="B326" s="1" t="s">
        <v>333</v>
      </c>
      <c r="C326" s="1">
        <v>4391.6899409999996</v>
      </c>
      <c r="D326" s="1">
        <v>4391.6899409999996</v>
      </c>
      <c r="E326" s="1">
        <v>4410.3100590000004</v>
      </c>
      <c r="F326" s="1">
        <v>4370.2998049999997</v>
      </c>
      <c r="G326" s="1">
        <v>4385.6298829999996</v>
      </c>
      <c r="H326" s="1">
        <v>3910490000</v>
      </c>
      <c r="I326" s="1">
        <f t="shared" si="5"/>
        <v>-2.0486843342081213E-4</v>
      </c>
    </row>
    <row r="327" spans="1:9" x14ac:dyDescent="0.35">
      <c r="A327" s="1">
        <v>325</v>
      </c>
      <c r="B327" s="1" t="s">
        <v>334</v>
      </c>
      <c r="C327" s="1">
        <v>4462.2099609999996</v>
      </c>
      <c r="D327" s="1">
        <v>4462.2099609999996</v>
      </c>
      <c r="E327" s="1">
        <v>4471.0297849999997</v>
      </c>
      <c r="F327" s="1">
        <v>4390.6298829999996</v>
      </c>
      <c r="G327" s="1">
        <v>4390.6298829999996</v>
      </c>
      <c r="H327" s="1">
        <v>4108120000</v>
      </c>
      <c r="I327" s="1">
        <f t="shared" si="5"/>
        <v>1.6057604463748262E-2</v>
      </c>
    </row>
    <row r="328" spans="1:9" x14ac:dyDescent="0.35">
      <c r="A328" s="1">
        <v>326</v>
      </c>
      <c r="B328" s="1" t="s">
        <v>335</v>
      </c>
      <c r="C328" s="1">
        <v>4459.4501950000003</v>
      </c>
      <c r="D328" s="1">
        <v>4459.4501950000003</v>
      </c>
      <c r="E328" s="1">
        <v>4488.2900390000004</v>
      </c>
      <c r="F328" s="1">
        <v>4448.7597660000001</v>
      </c>
      <c r="G328" s="1">
        <v>4472.2597660000001</v>
      </c>
      <c r="H328" s="1">
        <v>4290450000</v>
      </c>
      <c r="I328" s="1">
        <f t="shared" si="5"/>
        <v>-6.1847515561117667E-4</v>
      </c>
    </row>
    <row r="329" spans="1:9" x14ac:dyDescent="0.35">
      <c r="A329" s="1">
        <v>327</v>
      </c>
      <c r="B329" s="1" t="s">
        <v>336</v>
      </c>
      <c r="C329" s="1">
        <v>4393.6601559999999</v>
      </c>
      <c r="D329" s="1">
        <v>4393.6601559999999</v>
      </c>
      <c r="E329" s="1">
        <v>4512.9399409999996</v>
      </c>
      <c r="F329" s="1">
        <v>4384.4702150000003</v>
      </c>
      <c r="G329" s="1">
        <v>4489.169922</v>
      </c>
      <c r="H329" s="1">
        <v>4636890000</v>
      </c>
      <c r="I329" s="1">
        <f t="shared" si="5"/>
        <v>-1.4752948485390681E-2</v>
      </c>
    </row>
    <row r="330" spans="1:9" x14ac:dyDescent="0.35">
      <c r="A330" s="1">
        <v>328</v>
      </c>
      <c r="B330" s="1" t="s">
        <v>337</v>
      </c>
      <c r="C330" s="1">
        <v>4271.7797849999997</v>
      </c>
      <c r="D330" s="1">
        <v>4271.7797849999997</v>
      </c>
      <c r="E330" s="1">
        <v>4385.830078</v>
      </c>
      <c r="F330" s="1">
        <v>4267.6201170000004</v>
      </c>
      <c r="G330" s="1">
        <v>4385.830078</v>
      </c>
      <c r="H330" s="1">
        <v>4651940000</v>
      </c>
      <c r="I330" s="1">
        <f t="shared" si="5"/>
        <v>-2.7740054230994602E-2</v>
      </c>
    </row>
    <row r="331" spans="1:9" x14ac:dyDescent="0.35">
      <c r="A331" s="1">
        <v>329</v>
      </c>
      <c r="B331" s="1" t="s">
        <v>338</v>
      </c>
      <c r="C331" s="1">
        <v>4296.1201170000004</v>
      </c>
      <c r="D331" s="1">
        <v>4296.1201170000004</v>
      </c>
      <c r="E331" s="1">
        <v>4299.0200199999999</v>
      </c>
      <c r="F331" s="1">
        <v>4200.8198240000002</v>
      </c>
      <c r="G331" s="1">
        <v>4255.3398440000001</v>
      </c>
      <c r="H331" s="1">
        <v>5240040000</v>
      </c>
      <c r="I331" s="1">
        <f t="shared" si="5"/>
        <v>5.6979369782753616E-3</v>
      </c>
    </row>
    <row r="332" spans="1:9" x14ac:dyDescent="0.35">
      <c r="A332" s="1">
        <v>330</v>
      </c>
      <c r="B332" s="1" t="s">
        <v>339</v>
      </c>
      <c r="C332" s="1">
        <v>4175.2001950000003</v>
      </c>
      <c r="D332" s="1">
        <v>4175.2001950000003</v>
      </c>
      <c r="E332" s="1">
        <v>4278.1401370000003</v>
      </c>
      <c r="F332" s="1">
        <v>4175.0400390000004</v>
      </c>
      <c r="G332" s="1">
        <v>4278.1401370000003</v>
      </c>
      <c r="H332" s="1">
        <v>4689970000</v>
      </c>
      <c r="I332" s="1">
        <f t="shared" si="5"/>
        <v>-2.8146308461328349E-2</v>
      </c>
    </row>
    <row r="333" spans="1:9" x14ac:dyDescent="0.35">
      <c r="A333" s="1">
        <v>331</v>
      </c>
      <c r="B333" s="1" t="s">
        <v>340</v>
      </c>
      <c r="C333" s="1">
        <v>4183.9599609999996</v>
      </c>
      <c r="D333" s="1">
        <v>4183.9599609999996</v>
      </c>
      <c r="E333" s="1">
        <v>4240.7099609999996</v>
      </c>
      <c r="F333" s="1">
        <v>4162.8999020000001</v>
      </c>
      <c r="G333" s="1">
        <v>4186.5200199999999</v>
      </c>
      <c r="H333" s="1">
        <v>4769680000</v>
      </c>
      <c r="I333" s="1">
        <f t="shared" si="5"/>
        <v>2.0980469416746654E-3</v>
      </c>
    </row>
    <row r="334" spans="1:9" x14ac:dyDescent="0.35">
      <c r="A334" s="1">
        <v>332</v>
      </c>
      <c r="B334" s="1" t="s">
        <v>341</v>
      </c>
      <c r="C334" s="1">
        <v>4287.5</v>
      </c>
      <c r="D334" s="1">
        <v>4287.5</v>
      </c>
      <c r="E334" s="1">
        <v>4308.4501950000003</v>
      </c>
      <c r="F334" s="1">
        <v>4188.6298829999996</v>
      </c>
      <c r="G334" s="1">
        <v>4222.580078</v>
      </c>
      <c r="H334" s="1">
        <v>4854180000</v>
      </c>
      <c r="I334" s="1">
        <f t="shared" si="5"/>
        <v>2.4746900057631895E-2</v>
      </c>
    </row>
    <row r="335" spans="1:9" x14ac:dyDescent="0.35">
      <c r="A335" s="1">
        <v>333</v>
      </c>
      <c r="B335" s="1" t="s">
        <v>342</v>
      </c>
      <c r="C335" s="1">
        <v>4131.9301759999998</v>
      </c>
      <c r="D335" s="1">
        <v>4131.9301759999998</v>
      </c>
      <c r="E335" s="1">
        <v>4269.6801759999998</v>
      </c>
      <c r="F335" s="1">
        <v>4124.2797849999997</v>
      </c>
      <c r="G335" s="1">
        <v>4253.75</v>
      </c>
      <c r="H335" s="1">
        <v>5084030000</v>
      </c>
      <c r="I335" s="1">
        <f t="shared" si="5"/>
        <v>-3.6284507055393621E-2</v>
      </c>
    </row>
    <row r="336" spans="1:9" x14ac:dyDescent="0.35">
      <c r="A336" s="1">
        <v>334</v>
      </c>
      <c r="B336" s="1" t="s">
        <v>343</v>
      </c>
      <c r="C336" s="1">
        <v>4155.3798829999996</v>
      </c>
      <c r="D336" s="1">
        <v>4155.3798829999996</v>
      </c>
      <c r="E336" s="1">
        <v>4169.8100590000004</v>
      </c>
      <c r="F336" s="1">
        <v>4062.51001</v>
      </c>
      <c r="G336" s="1">
        <v>4130.6098629999997</v>
      </c>
      <c r="H336" s="1">
        <v>5163790000</v>
      </c>
      <c r="I336" s="1">
        <f t="shared" si="5"/>
        <v>5.6752428044901607E-3</v>
      </c>
    </row>
    <row r="337" spans="1:9" x14ac:dyDescent="0.35">
      <c r="A337" s="1">
        <v>335</v>
      </c>
      <c r="B337" s="1" t="s">
        <v>344</v>
      </c>
      <c r="C337" s="1">
        <v>4175.4799800000001</v>
      </c>
      <c r="D337" s="1">
        <v>4175.4799800000001</v>
      </c>
      <c r="E337" s="1">
        <v>4200.1000979999999</v>
      </c>
      <c r="F337" s="1">
        <v>4147.080078</v>
      </c>
      <c r="G337" s="1">
        <v>4159.7797849999997</v>
      </c>
      <c r="H337" s="1">
        <v>4582050000</v>
      </c>
      <c r="I337" s="1">
        <f t="shared" si="5"/>
        <v>4.8371262233403997E-3</v>
      </c>
    </row>
    <row r="338" spans="1:9" x14ac:dyDescent="0.35">
      <c r="A338" s="1">
        <v>336</v>
      </c>
      <c r="B338" s="1" t="s">
        <v>345</v>
      </c>
      <c r="C338" s="1">
        <v>4300.169922</v>
      </c>
      <c r="D338" s="1">
        <v>4300.169922</v>
      </c>
      <c r="E338" s="1">
        <v>4307.6601559999999</v>
      </c>
      <c r="F338" s="1">
        <v>4148.9101559999999</v>
      </c>
      <c r="G338" s="1">
        <v>4181.1801759999998</v>
      </c>
      <c r="H338" s="1">
        <v>5136360000</v>
      </c>
      <c r="I338" s="1">
        <f t="shared" si="5"/>
        <v>2.9862421229954018E-2</v>
      </c>
    </row>
    <row r="339" spans="1:9" x14ac:dyDescent="0.35">
      <c r="A339" s="1">
        <v>337</v>
      </c>
      <c r="B339" s="1" t="s">
        <v>346</v>
      </c>
      <c r="C339" s="1">
        <v>4146.8701170000004</v>
      </c>
      <c r="D339" s="1">
        <v>4146.8701170000004</v>
      </c>
      <c r="E339" s="1">
        <v>4270.4301759999998</v>
      </c>
      <c r="F339" s="1">
        <v>4106.0097660000001</v>
      </c>
      <c r="G339" s="1">
        <v>4270.4301759999998</v>
      </c>
      <c r="H339" s="1">
        <v>5077030000</v>
      </c>
      <c r="I339" s="1">
        <f t="shared" si="5"/>
        <v>-3.5649708681442113E-2</v>
      </c>
    </row>
    <row r="340" spans="1:9" x14ac:dyDescent="0.35">
      <c r="A340" s="1">
        <v>338</v>
      </c>
      <c r="B340" s="1" t="s">
        <v>347</v>
      </c>
      <c r="C340" s="1">
        <v>4123.3398440000001</v>
      </c>
      <c r="D340" s="1">
        <v>4123.3398440000001</v>
      </c>
      <c r="E340" s="1">
        <v>4157.6899409999996</v>
      </c>
      <c r="F340" s="1">
        <v>4067.9099120000001</v>
      </c>
      <c r="G340" s="1">
        <v>4128.169922</v>
      </c>
      <c r="H340" s="1">
        <v>5116940000</v>
      </c>
      <c r="I340" s="1">
        <f t="shared" si="5"/>
        <v>-5.6742247372394148E-3</v>
      </c>
    </row>
    <row r="341" spans="1:9" x14ac:dyDescent="0.35">
      <c r="A341" s="1">
        <v>339</v>
      </c>
      <c r="B341" s="1" t="s">
        <v>348</v>
      </c>
      <c r="C341" s="1">
        <v>3991.23999</v>
      </c>
      <c r="D341" s="1">
        <v>3991.23999</v>
      </c>
      <c r="E341" s="1">
        <v>4081.2700199999999</v>
      </c>
      <c r="F341" s="1">
        <v>3975.4799800000001</v>
      </c>
      <c r="G341" s="1">
        <v>4081.2700199999999</v>
      </c>
      <c r="H341" s="1">
        <v>5954520000</v>
      </c>
      <c r="I341" s="1">
        <f t="shared" si="5"/>
        <v>-3.2037100747885877E-2</v>
      </c>
    </row>
    <row r="342" spans="1:9" x14ac:dyDescent="0.35">
      <c r="A342" s="1">
        <v>340</v>
      </c>
      <c r="B342" s="1" t="s">
        <v>349</v>
      </c>
      <c r="C342" s="1">
        <v>4001.0500489999999</v>
      </c>
      <c r="D342" s="1">
        <v>4001.0500489999999</v>
      </c>
      <c r="E342" s="1">
        <v>4068.820068</v>
      </c>
      <c r="F342" s="1">
        <v>3958.169922</v>
      </c>
      <c r="G342" s="1">
        <v>4035.179932</v>
      </c>
      <c r="H342" s="1">
        <v>5885820000</v>
      </c>
      <c r="I342" s="1">
        <f t="shared" si="5"/>
        <v>2.4578975517831263E-3</v>
      </c>
    </row>
    <row r="343" spans="1:9" x14ac:dyDescent="0.35">
      <c r="A343" s="1">
        <v>341</v>
      </c>
      <c r="B343" s="1" t="s">
        <v>350</v>
      </c>
      <c r="C343" s="1">
        <v>3935.179932</v>
      </c>
      <c r="D343" s="1">
        <v>3935.179932</v>
      </c>
      <c r="E343" s="1">
        <v>4049.0900879999999</v>
      </c>
      <c r="F343" s="1">
        <v>3928.820068</v>
      </c>
      <c r="G343" s="1">
        <v>3990.080078</v>
      </c>
      <c r="H343" s="1">
        <v>5816140000</v>
      </c>
      <c r="I343" s="1">
        <f t="shared" si="5"/>
        <v>-1.6463207456368395E-2</v>
      </c>
    </row>
    <row r="344" spans="1:9" x14ac:dyDescent="0.35">
      <c r="A344" s="1">
        <v>342</v>
      </c>
      <c r="B344" s="1" t="s">
        <v>351</v>
      </c>
      <c r="C344" s="1">
        <v>3930.080078</v>
      </c>
      <c r="D344" s="1">
        <v>3930.080078</v>
      </c>
      <c r="E344" s="1">
        <v>3964.8000489999999</v>
      </c>
      <c r="F344" s="1">
        <v>3858.8701169999999</v>
      </c>
      <c r="G344" s="1">
        <v>3903.9499510000001</v>
      </c>
      <c r="H344" s="1">
        <v>6286450000</v>
      </c>
      <c r="I344" s="1">
        <f t="shared" si="5"/>
        <v>-1.2959646288417926E-3</v>
      </c>
    </row>
    <row r="345" spans="1:9" x14ac:dyDescent="0.35">
      <c r="A345" s="1">
        <v>343</v>
      </c>
      <c r="B345" s="1" t="s">
        <v>352</v>
      </c>
      <c r="C345" s="1">
        <v>4023.889893</v>
      </c>
      <c r="D345" s="1">
        <v>4023.889893</v>
      </c>
      <c r="E345" s="1">
        <v>4038.8798830000001</v>
      </c>
      <c r="F345" s="1">
        <v>3963.8999020000001</v>
      </c>
      <c r="G345" s="1">
        <v>3963.8999020000001</v>
      </c>
      <c r="H345" s="1">
        <v>5183340000</v>
      </c>
      <c r="I345" s="1">
        <f t="shared" si="5"/>
        <v>2.3869695562981876E-2</v>
      </c>
    </row>
    <row r="346" spans="1:9" x14ac:dyDescent="0.35">
      <c r="A346" s="1">
        <v>344</v>
      </c>
      <c r="B346" s="1" t="s">
        <v>353</v>
      </c>
      <c r="C346" s="1">
        <v>4008.01001</v>
      </c>
      <c r="D346" s="1">
        <v>4008.01001</v>
      </c>
      <c r="E346" s="1">
        <v>4046.459961</v>
      </c>
      <c r="F346" s="1">
        <v>3983.98999</v>
      </c>
      <c r="G346" s="1">
        <v>4013.0200199999999</v>
      </c>
      <c r="H346" s="1">
        <v>4415030000</v>
      </c>
      <c r="I346" s="1">
        <f t="shared" si="5"/>
        <v>-3.9464009757386427E-3</v>
      </c>
    </row>
    <row r="347" spans="1:9" x14ac:dyDescent="0.35">
      <c r="A347" s="1">
        <v>345</v>
      </c>
      <c r="B347" s="1" t="s">
        <v>354</v>
      </c>
      <c r="C347" s="1">
        <v>4088.8500979999999</v>
      </c>
      <c r="D347" s="1">
        <v>4088.8500979999999</v>
      </c>
      <c r="E347" s="1">
        <v>4090.719971</v>
      </c>
      <c r="F347" s="1">
        <v>4033.929932</v>
      </c>
      <c r="G347" s="1">
        <v>4052</v>
      </c>
      <c r="H347" s="1">
        <v>4841410000</v>
      </c>
      <c r="I347" s="1">
        <f t="shared" si="5"/>
        <v>2.0169632260973302E-2</v>
      </c>
    </row>
    <row r="348" spans="1:9" x14ac:dyDescent="0.35">
      <c r="A348" s="1">
        <v>346</v>
      </c>
      <c r="B348" s="1" t="s">
        <v>355</v>
      </c>
      <c r="C348" s="1">
        <v>3923.679932</v>
      </c>
      <c r="D348" s="1">
        <v>3923.679932</v>
      </c>
      <c r="E348" s="1">
        <v>4051.9799800000001</v>
      </c>
      <c r="F348" s="1">
        <v>3911.9099120000001</v>
      </c>
      <c r="G348" s="1">
        <v>4051.9799800000001</v>
      </c>
      <c r="H348" s="1">
        <v>5103220000</v>
      </c>
      <c r="I348" s="1">
        <f t="shared" si="5"/>
        <v>-4.0395260780235108E-2</v>
      </c>
    </row>
    <row r="349" spans="1:9" x14ac:dyDescent="0.35">
      <c r="A349" s="1">
        <v>347</v>
      </c>
      <c r="B349" s="1" t="s">
        <v>356</v>
      </c>
      <c r="C349" s="1">
        <v>3900.790039</v>
      </c>
      <c r="D349" s="1">
        <v>3900.790039</v>
      </c>
      <c r="E349" s="1">
        <v>3945.959961</v>
      </c>
      <c r="F349" s="1">
        <v>3876.580078</v>
      </c>
      <c r="G349" s="1">
        <v>3899</v>
      </c>
      <c r="H349" s="1">
        <v>5113550000</v>
      </c>
      <c r="I349" s="1">
        <f t="shared" si="5"/>
        <v>-5.8337819079785297E-3</v>
      </c>
    </row>
    <row r="350" spans="1:9" x14ac:dyDescent="0.35">
      <c r="A350" s="1">
        <v>348</v>
      </c>
      <c r="B350" s="1" t="s">
        <v>357</v>
      </c>
      <c r="C350" s="1">
        <v>3901.360107</v>
      </c>
      <c r="D350" s="1">
        <v>3901.360107</v>
      </c>
      <c r="E350" s="1">
        <v>3943.419922</v>
      </c>
      <c r="F350" s="1">
        <v>3810.320068</v>
      </c>
      <c r="G350" s="1">
        <v>3927.76001</v>
      </c>
      <c r="H350" s="1">
        <v>5130730000</v>
      </c>
      <c r="I350" s="1">
        <f t="shared" si="5"/>
        <v>1.4614167753210672E-4</v>
      </c>
    </row>
    <row r="351" spans="1:9" x14ac:dyDescent="0.35">
      <c r="A351" s="1">
        <v>349</v>
      </c>
      <c r="B351" s="1" t="s">
        <v>358</v>
      </c>
      <c r="C351" s="1">
        <v>3973.75</v>
      </c>
      <c r="D351" s="1">
        <v>3973.75</v>
      </c>
      <c r="E351" s="1">
        <v>3981.8798830000001</v>
      </c>
      <c r="F351" s="1">
        <v>3909.040039</v>
      </c>
      <c r="G351" s="1">
        <v>3919.419922</v>
      </c>
      <c r="H351" s="1">
        <v>4420030000</v>
      </c>
      <c r="I351" s="1">
        <f t="shared" si="5"/>
        <v>1.8555040041065358E-2</v>
      </c>
    </row>
    <row r="352" spans="1:9" x14ac:dyDescent="0.35">
      <c r="A352" s="1">
        <v>350</v>
      </c>
      <c r="B352" s="1" t="s">
        <v>359</v>
      </c>
      <c r="C352" s="1">
        <v>3941.4799800000001</v>
      </c>
      <c r="D352" s="1">
        <v>3941.4799800000001</v>
      </c>
      <c r="E352" s="1">
        <v>3955.679932</v>
      </c>
      <c r="F352" s="1">
        <v>3875.1298830000001</v>
      </c>
      <c r="G352" s="1">
        <v>3942.9399410000001</v>
      </c>
      <c r="H352" s="1">
        <v>4923190000</v>
      </c>
      <c r="I352" s="1">
        <f t="shared" si="5"/>
        <v>-8.1207977351368185E-3</v>
      </c>
    </row>
    <row r="353" spans="1:9" x14ac:dyDescent="0.35">
      <c r="A353" s="1">
        <v>351</v>
      </c>
      <c r="B353" s="1" t="s">
        <v>360</v>
      </c>
      <c r="C353" s="1">
        <v>3978.7299800000001</v>
      </c>
      <c r="D353" s="1">
        <v>3978.7299800000001</v>
      </c>
      <c r="E353" s="1">
        <v>3999.330078</v>
      </c>
      <c r="F353" s="1">
        <v>3925.030029</v>
      </c>
      <c r="G353" s="1">
        <v>3929.5900879999999</v>
      </c>
      <c r="H353" s="1">
        <v>4802560000</v>
      </c>
      <c r="I353" s="1">
        <f t="shared" si="5"/>
        <v>9.4507647353317265E-3</v>
      </c>
    </row>
    <row r="354" spans="1:9" x14ac:dyDescent="0.35">
      <c r="A354" s="1">
        <v>352</v>
      </c>
      <c r="B354" s="1" t="s">
        <v>361</v>
      </c>
      <c r="C354" s="1">
        <v>4057.8400879999999</v>
      </c>
      <c r="D354" s="1">
        <v>4057.8400879999999</v>
      </c>
      <c r="E354" s="1">
        <v>4075.139893</v>
      </c>
      <c r="F354" s="1">
        <v>3984.6000979999999</v>
      </c>
      <c r="G354" s="1">
        <v>3984.6000979999999</v>
      </c>
      <c r="H354" s="1">
        <v>4709970000</v>
      </c>
      <c r="I354" s="1">
        <f t="shared" si="5"/>
        <v>1.9883256314870569E-2</v>
      </c>
    </row>
    <row r="355" spans="1:9" x14ac:dyDescent="0.35">
      <c r="A355" s="1">
        <v>353</v>
      </c>
      <c r="B355" s="1" t="s">
        <v>362</v>
      </c>
      <c r="C355" s="1">
        <v>4158.2402339999999</v>
      </c>
      <c r="D355" s="1">
        <v>4158.2402339999999</v>
      </c>
      <c r="E355" s="1">
        <v>4158.4902339999999</v>
      </c>
      <c r="F355" s="1">
        <v>4077.429932</v>
      </c>
      <c r="G355" s="1">
        <v>4077.429932</v>
      </c>
      <c r="H355" s="1">
        <v>4375620000</v>
      </c>
      <c r="I355" s="1">
        <f t="shared" si="5"/>
        <v>2.4742262835075021E-2</v>
      </c>
    </row>
    <row r="356" spans="1:9" x14ac:dyDescent="0.35">
      <c r="A356" s="1">
        <v>354</v>
      </c>
      <c r="B356" s="1" t="s">
        <v>363</v>
      </c>
      <c r="C356" s="1">
        <v>4132.1499020000001</v>
      </c>
      <c r="D356" s="1">
        <v>4132.1499020000001</v>
      </c>
      <c r="E356" s="1">
        <v>4168.3398440000001</v>
      </c>
      <c r="F356" s="1">
        <v>4104.8798829999996</v>
      </c>
      <c r="G356" s="1">
        <v>4151.0898440000001</v>
      </c>
      <c r="H356" s="1">
        <v>6822640000</v>
      </c>
      <c r="I356" s="1">
        <f t="shared" si="5"/>
        <v>-6.2743686107097013E-3</v>
      </c>
    </row>
    <row r="357" spans="1:9" x14ac:dyDescent="0.35">
      <c r="A357" s="1">
        <v>355</v>
      </c>
      <c r="B357" s="1" t="s">
        <v>364</v>
      </c>
      <c r="C357" s="1">
        <v>4101.2299800000001</v>
      </c>
      <c r="D357" s="1">
        <v>4101.2299800000001</v>
      </c>
      <c r="E357" s="1">
        <v>4166.5400390000004</v>
      </c>
      <c r="F357" s="1">
        <v>4073.8500979999999</v>
      </c>
      <c r="G357" s="1">
        <v>4149.7797849999997</v>
      </c>
      <c r="H357" s="1">
        <v>4531800000</v>
      </c>
      <c r="I357" s="1">
        <f t="shared" si="5"/>
        <v>-7.4827687120049792E-3</v>
      </c>
    </row>
    <row r="358" spans="1:9" x14ac:dyDescent="0.35">
      <c r="A358" s="1">
        <v>356</v>
      </c>
      <c r="B358" s="1" t="s">
        <v>365</v>
      </c>
      <c r="C358" s="1">
        <v>4176.8198240000002</v>
      </c>
      <c r="D358" s="1">
        <v>4176.8198240000002</v>
      </c>
      <c r="E358" s="1">
        <v>4177.5097660000001</v>
      </c>
      <c r="F358" s="1">
        <v>4074.3701169999999</v>
      </c>
      <c r="G358" s="1">
        <v>4095.4099120000001</v>
      </c>
      <c r="H358" s="1">
        <v>4405790000</v>
      </c>
      <c r="I358" s="1">
        <f t="shared" si="5"/>
        <v>1.843101810155013E-2</v>
      </c>
    </row>
    <row r="359" spans="1:9" x14ac:dyDescent="0.35">
      <c r="A359" s="1">
        <v>357</v>
      </c>
      <c r="B359" s="1" t="s">
        <v>366</v>
      </c>
      <c r="C359" s="1">
        <v>4108.5400390000004</v>
      </c>
      <c r="D359" s="1">
        <v>4108.5400390000004</v>
      </c>
      <c r="E359" s="1">
        <v>4142.669922</v>
      </c>
      <c r="F359" s="1">
        <v>4098.669922</v>
      </c>
      <c r="G359" s="1">
        <v>4137.5698240000002</v>
      </c>
      <c r="H359" s="1">
        <v>3711110000</v>
      </c>
      <c r="I359" s="1">
        <f t="shared" si="5"/>
        <v>-1.6347313955862829E-2</v>
      </c>
    </row>
    <row r="360" spans="1:9" x14ac:dyDescent="0.35">
      <c r="A360" s="1">
        <v>358</v>
      </c>
      <c r="B360" s="1" t="s">
        <v>367</v>
      </c>
      <c r="C360" s="1">
        <v>4121.4301759999998</v>
      </c>
      <c r="D360" s="1">
        <v>4121.4301759999998</v>
      </c>
      <c r="E360" s="1">
        <v>4168.7797849999997</v>
      </c>
      <c r="F360" s="1">
        <v>4109.1801759999998</v>
      </c>
      <c r="G360" s="1">
        <v>4134.7202150000003</v>
      </c>
      <c r="H360" s="1">
        <v>4332700000</v>
      </c>
      <c r="I360" s="1">
        <f t="shared" si="5"/>
        <v>3.1374008474155733E-3</v>
      </c>
    </row>
    <row r="361" spans="1:9" x14ac:dyDescent="0.35">
      <c r="A361" s="1">
        <v>359</v>
      </c>
      <c r="B361" s="1" t="s">
        <v>368</v>
      </c>
      <c r="C361" s="1">
        <v>4160.6801759999998</v>
      </c>
      <c r="D361" s="1">
        <v>4160.6801759999998</v>
      </c>
      <c r="E361" s="1">
        <v>4164.8598629999997</v>
      </c>
      <c r="F361" s="1">
        <v>4080.1899410000001</v>
      </c>
      <c r="G361" s="1">
        <v>4096.4702150000003</v>
      </c>
      <c r="H361" s="1">
        <v>4248210000</v>
      </c>
      <c r="I361" s="1">
        <f t="shared" si="5"/>
        <v>9.5233931727295631E-3</v>
      </c>
    </row>
    <row r="362" spans="1:9" x14ac:dyDescent="0.35">
      <c r="A362" s="1">
        <v>360</v>
      </c>
      <c r="B362" s="1" t="s">
        <v>369</v>
      </c>
      <c r="C362" s="1">
        <v>4115.7700199999999</v>
      </c>
      <c r="D362" s="1">
        <v>4115.7700199999999</v>
      </c>
      <c r="E362" s="1">
        <v>4160.1401370000003</v>
      </c>
      <c r="F362" s="1">
        <v>4107.2001950000003</v>
      </c>
      <c r="G362" s="1">
        <v>4147.1201170000004</v>
      </c>
      <c r="H362" s="1">
        <v>4159470000</v>
      </c>
      <c r="I362" s="1">
        <f t="shared" si="5"/>
        <v>-1.0793945725281797E-2</v>
      </c>
    </row>
    <row r="363" spans="1:9" x14ac:dyDescent="0.35">
      <c r="A363" s="1">
        <v>361</v>
      </c>
      <c r="B363" s="1" t="s">
        <v>370</v>
      </c>
      <c r="C363" s="1">
        <v>4017.820068</v>
      </c>
      <c r="D363" s="1">
        <v>4017.820068</v>
      </c>
      <c r="E363" s="1">
        <v>4119.1000979999999</v>
      </c>
      <c r="F363" s="1">
        <v>4017.169922</v>
      </c>
      <c r="G363" s="1">
        <v>4101.6499020000001</v>
      </c>
      <c r="H363" s="1">
        <v>4134170000</v>
      </c>
      <c r="I363" s="1">
        <f t="shared" si="5"/>
        <v>-2.3798694174850893E-2</v>
      </c>
    </row>
    <row r="364" spans="1:9" x14ac:dyDescent="0.35">
      <c r="A364" s="1">
        <v>362</v>
      </c>
      <c r="B364" s="1" t="s">
        <v>371</v>
      </c>
      <c r="C364" s="1">
        <v>3900.860107</v>
      </c>
      <c r="D364" s="1">
        <v>3900.860107</v>
      </c>
      <c r="E364" s="1">
        <v>3974.389893</v>
      </c>
      <c r="F364" s="1">
        <v>3900.1599120000001</v>
      </c>
      <c r="G364" s="1">
        <v>3974.389893</v>
      </c>
      <c r="H364" s="1">
        <v>4889640000</v>
      </c>
      <c r="I364" s="1">
        <f t="shared" si="5"/>
        <v>-2.9110303353684187E-2</v>
      </c>
    </row>
    <row r="365" spans="1:9" x14ac:dyDescent="0.35">
      <c r="A365" s="1">
        <v>363</v>
      </c>
      <c r="B365" s="1" t="s">
        <v>372</v>
      </c>
      <c r="C365" s="1">
        <v>3749.6298830000001</v>
      </c>
      <c r="D365" s="1">
        <v>3749.6298830000001</v>
      </c>
      <c r="E365" s="1">
        <v>3838.1499020000001</v>
      </c>
      <c r="F365" s="1">
        <v>3734.3000489999999</v>
      </c>
      <c r="G365" s="1">
        <v>3838.1499020000001</v>
      </c>
      <c r="H365" s="1">
        <v>5636890000</v>
      </c>
      <c r="I365" s="1">
        <f t="shared" si="5"/>
        <v>-3.8768430513214484E-2</v>
      </c>
    </row>
    <row r="366" spans="1:9" x14ac:dyDescent="0.35">
      <c r="A366" s="1">
        <v>364</v>
      </c>
      <c r="B366" s="1" t="s">
        <v>373</v>
      </c>
      <c r="C366" s="1">
        <v>3735.4799800000001</v>
      </c>
      <c r="D366" s="1">
        <v>3735.4799800000001</v>
      </c>
      <c r="E366" s="1">
        <v>3778.179932</v>
      </c>
      <c r="F366" s="1">
        <v>3705.679932</v>
      </c>
      <c r="G366" s="1">
        <v>3763.5200199999999</v>
      </c>
      <c r="H366" s="1">
        <v>5153890000</v>
      </c>
      <c r="I366" s="1">
        <f t="shared" si="5"/>
        <v>-3.7736799208243333E-3</v>
      </c>
    </row>
    <row r="367" spans="1:9" x14ac:dyDescent="0.35">
      <c r="A367" s="1">
        <v>365</v>
      </c>
      <c r="B367" s="1" t="s">
        <v>374</v>
      </c>
      <c r="C367" s="1">
        <v>3789.98999</v>
      </c>
      <c r="D367" s="1">
        <v>3789.98999</v>
      </c>
      <c r="E367" s="1">
        <v>3837.5600589999999</v>
      </c>
      <c r="F367" s="1">
        <v>3722.3000489999999</v>
      </c>
      <c r="G367" s="1">
        <v>3764.0500489999999</v>
      </c>
      <c r="H367" s="1">
        <v>5530480000</v>
      </c>
      <c r="I367" s="1">
        <f t="shared" si="5"/>
        <v>1.4592504923557363E-2</v>
      </c>
    </row>
    <row r="368" spans="1:9" x14ac:dyDescent="0.35">
      <c r="A368" s="1">
        <v>366</v>
      </c>
      <c r="B368" s="1" t="s">
        <v>375</v>
      </c>
      <c r="C368" s="1">
        <v>3666.7700199999999</v>
      </c>
      <c r="D368" s="1">
        <v>3666.7700199999999</v>
      </c>
      <c r="E368" s="1">
        <v>3728.179932</v>
      </c>
      <c r="F368" s="1">
        <v>3639.7700199999999</v>
      </c>
      <c r="G368" s="1">
        <v>3728.179932</v>
      </c>
      <c r="H368" s="1">
        <v>5644930000</v>
      </c>
      <c r="I368" s="1">
        <f t="shared" si="5"/>
        <v>-3.2511951304652419E-2</v>
      </c>
    </row>
    <row r="369" spans="1:9" x14ac:dyDescent="0.35">
      <c r="A369" s="1">
        <v>367</v>
      </c>
      <c r="B369" s="1" t="s">
        <v>376</v>
      </c>
      <c r="C369" s="1">
        <v>3674.8400879999999</v>
      </c>
      <c r="D369" s="1">
        <v>3674.8400879999999</v>
      </c>
      <c r="E369" s="1">
        <v>3707.709961</v>
      </c>
      <c r="F369" s="1">
        <v>3636.8701169999999</v>
      </c>
      <c r="G369" s="1">
        <v>3665.8999020000001</v>
      </c>
      <c r="H369" s="1">
        <v>8520740000</v>
      </c>
      <c r="I369" s="1">
        <f t="shared" si="5"/>
        <v>2.2008655999647317E-3</v>
      </c>
    </row>
    <row r="370" spans="1:9" x14ac:dyDescent="0.35">
      <c r="A370" s="1">
        <v>368</v>
      </c>
      <c r="B370" s="1" t="s">
        <v>377</v>
      </c>
      <c r="C370" s="1">
        <v>3764.790039</v>
      </c>
      <c r="D370" s="1">
        <v>3764.790039</v>
      </c>
      <c r="E370" s="1">
        <v>3779.6499020000001</v>
      </c>
      <c r="F370" s="1">
        <v>3715.3100589999999</v>
      </c>
      <c r="G370" s="1">
        <v>3715.3100589999999</v>
      </c>
      <c r="H370" s="1">
        <v>5292260000</v>
      </c>
      <c r="I370" s="1">
        <f t="shared" si="5"/>
        <v>2.4477242232587744E-2</v>
      </c>
    </row>
    <row r="371" spans="1:9" x14ac:dyDescent="0.35">
      <c r="A371" s="1">
        <v>369</v>
      </c>
      <c r="B371" s="1" t="s">
        <v>378</v>
      </c>
      <c r="C371" s="1">
        <v>3759.889893</v>
      </c>
      <c r="D371" s="1">
        <v>3759.889893</v>
      </c>
      <c r="E371" s="1">
        <v>3801.790039</v>
      </c>
      <c r="F371" s="1">
        <v>3717.6899410000001</v>
      </c>
      <c r="G371" s="1">
        <v>3733.889893</v>
      </c>
      <c r="H371" s="1">
        <v>5058990000</v>
      </c>
      <c r="I371" s="1">
        <f t="shared" si="5"/>
        <v>-1.3015721857629866E-3</v>
      </c>
    </row>
    <row r="372" spans="1:9" x14ac:dyDescent="0.35">
      <c r="A372" s="1">
        <v>370</v>
      </c>
      <c r="B372" s="1" t="s">
        <v>379</v>
      </c>
      <c r="C372" s="1">
        <v>3795.7299800000001</v>
      </c>
      <c r="D372" s="1">
        <v>3795.7299800000001</v>
      </c>
      <c r="E372" s="1">
        <v>3802.580078</v>
      </c>
      <c r="F372" s="1">
        <v>3743.5200199999999</v>
      </c>
      <c r="G372" s="1">
        <v>3774.709961</v>
      </c>
      <c r="H372" s="1">
        <v>5098640000</v>
      </c>
      <c r="I372" s="1">
        <f t="shared" si="5"/>
        <v>9.5322171712330078E-3</v>
      </c>
    </row>
    <row r="373" spans="1:9" x14ac:dyDescent="0.35">
      <c r="A373" s="1">
        <v>371</v>
      </c>
      <c r="B373" s="1" t="s">
        <v>380</v>
      </c>
      <c r="C373" s="1">
        <v>3911.73999</v>
      </c>
      <c r="D373" s="1">
        <v>3911.73999</v>
      </c>
      <c r="E373" s="1">
        <v>3913.6499020000001</v>
      </c>
      <c r="F373" s="1">
        <v>3821.75</v>
      </c>
      <c r="G373" s="1">
        <v>3821.75</v>
      </c>
      <c r="H373" s="1">
        <v>8120260000</v>
      </c>
      <c r="I373" s="1">
        <f t="shared" si="5"/>
        <v>3.056329365135714E-2</v>
      </c>
    </row>
    <row r="374" spans="1:9" x14ac:dyDescent="0.35">
      <c r="A374" s="1">
        <v>372</v>
      </c>
      <c r="B374" s="1" t="s">
        <v>381</v>
      </c>
      <c r="C374" s="1">
        <v>3900.110107</v>
      </c>
      <c r="D374" s="1">
        <v>3900.110107</v>
      </c>
      <c r="E374" s="1">
        <v>3927.719971</v>
      </c>
      <c r="F374" s="1">
        <v>3889.6599120000001</v>
      </c>
      <c r="G374" s="1">
        <v>3920.76001</v>
      </c>
      <c r="H374" s="1">
        <v>4325310000</v>
      </c>
      <c r="I374" s="1">
        <f t="shared" si="5"/>
        <v>-2.9730715818870324E-3</v>
      </c>
    </row>
    <row r="375" spans="1:9" x14ac:dyDescent="0.35">
      <c r="A375" s="1">
        <v>373</v>
      </c>
      <c r="B375" s="1" t="s">
        <v>382</v>
      </c>
      <c r="C375" s="1">
        <v>3821.5500489999999</v>
      </c>
      <c r="D375" s="1">
        <v>3821.5500489999999</v>
      </c>
      <c r="E375" s="1">
        <v>3945.860107</v>
      </c>
      <c r="F375" s="1">
        <v>3820.139893</v>
      </c>
      <c r="G375" s="1">
        <v>3913</v>
      </c>
      <c r="H375" s="1">
        <v>4270120000</v>
      </c>
      <c r="I375" s="1">
        <f t="shared" si="5"/>
        <v>-2.0143035925831627E-2</v>
      </c>
    </row>
    <row r="376" spans="1:9" x14ac:dyDescent="0.35">
      <c r="A376" s="1">
        <v>374</v>
      </c>
      <c r="B376" s="1" t="s">
        <v>383</v>
      </c>
      <c r="C376" s="1">
        <v>3818.830078</v>
      </c>
      <c r="D376" s="1">
        <v>3818.830078</v>
      </c>
      <c r="E376" s="1">
        <v>3836.5</v>
      </c>
      <c r="F376" s="1">
        <v>3799.0200199999999</v>
      </c>
      <c r="G376" s="1">
        <v>3825.0900879999999</v>
      </c>
      <c r="H376" s="1">
        <v>4211240000</v>
      </c>
      <c r="I376" s="1">
        <f t="shared" si="5"/>
        <v>-7.1174548681149222E-4</v>
      </c>
    </row>
    <row r="377" spans="1:9" x14ac:dyDescent="0.35">
      <c r="A377" s="1">
        <v>375</v>
      </c>
      <c r="B377" s="1" t="s">
        <v>384</v>
      </c>
      <c r="C377" s="1">
        <v>3785.3798830000001</v>
      </c>
      <c r="D377" s="1">
        <v>3785.3798830000001</v>
      </c>
      <c r="E377" s="1">
        <v>3818.98999</v>
      </c>
      <c r="F377" s="1">
        <v>3738.669922</v>
      </c>
      <c r="G377" s="1">
        <v>3785.98999</v>
      </c>
      <c r="H377" s="1">
        <v>4840070000</v>
      </c>
      <c r="I377" s="1">
        <f t="shared" si="5"/>
        <v>-8.7592781864540177E-3</v>
      </c>
    </row>
    <row r="378" spans="1:9" x14ac:dyDescent="0.35">
      <c r="A378" s="1">
        <v>376</v>
      </c>
      <c r="B378" s="1" t="s">
        <v>385</v>
      </c>
      <c r="C378" s="1">
        <v>3825.330078</v>
      </c>
      <c r="D378" s="1">
        <v>3825.330078</v>
      </c>
      <c r="E378" s="1">
        <v>3829.820068</v>
      </c>
      <c r="F378" s="1">
        <v>3752.1000979999999</v>
      </c>
      <c r="G378" s="1">
        <v>3781</v>
      </c>
      <c r="H378" s="1">
        <v>4046950000</v>
      </c>
      <c r="I378" s="1">
        <f t="shared" si="5"/>
        <v>1.0553813945970054E-2</v>
      </c>
    </row>
    <row r="379" spans="1:9" x14ac:dyDescent="0.35">
      <c r="A379" s="1">
        <v>377</v>
      </c>
      <c r="B379" s="1" t="s">
        <v>386</v>
      </c>
      <c r="C379" s="1">
        <v>3831.389893</v>
      </c>
      <c r="D379" s="1">
        <v>3831.389893</v>
      </c>
      <c r="E379" s="1">
        <v>3832.1899410000001</v>
      </c>
      <c r="F379" s="1">
        <v>3742.0600589999999</v>
      </c>
      <c r="G379" s="1">
        <v>3792.610107</v>
      </c>
      <c r="H379" s="1">
        <v>5076590000</v>
      </c>
      <c r="I379" s="1">
        <f t="shared" si="5"/>
        <v>1.5841286572499723E-3</v>
      </c>
    </row>
    <row r="380" spans="1:9" x14ac:dyDescent="0.35">
      <c r="A380" s="1">
        <v>378</v>
      </c>
      <c r="B380" s="1" t="s">
        <v>387</v>
      </c>
      <c r="C380" s="1">
        <v>3845.080078</v>
      </c>
      <c r="D380" s="1">
        <v>3845.080078</v>
      </c>
      <c r="E380" s="1">
        <v>3870.9099120000001</v>
      </c>
      <c r="F380" s="1">
        <v>3809.3701169999999</v>
      </c>
      <c r="G380" s="1">
        <v>3831.9799800000001</v>
      </c>
      <c r="H380" s="1">
        <v>4417720000</v>
      </c>
      <c r="I380" s="1">
        <f t="shared" si="5"/>
        <v>3.5731641473012387E-3</v>
      </c>
    </row>
    <row r="381" spans="1:9" x14ac:dyDescent="0.35">
      <c r="A381" s="1">
        <v>379</v>
      </c>
      <c r="B381" s="1" t="s">
        <v>388</v>
      </c>
      <c r="C381" s="1">
        <v>3902.6201169999999</v>
      </c>
      <c r="D381" s="1">
        <v>3902.6201169999999</v>
      </c>
      <c r="E381" s="1">
        <v>3910.6298830000001</v>
      </c>
      <c r="F381" s="1">
        <v>3858.8500979999999</v>
      </c>
      <c r="G381" s="1">
        <v>3858.8500979999999</v>
      </c>
      <c r="H381" s="1">
        <v>4057770000</v>
      </c>
      <c r="I381" s="1">
        <f t="shared" si="5"/>
        <v>1.4964587949473643E-2</v>
      </c>
    </row>
    <row r="382" spans="1:9" x14ac:dyDescent="0.35">
      <c r="A382" s="1">
        <v>380</v>
      </c>
      <c r="B382" s="1" t="s">
        <v>389</v>
      </c>
      <c r="C382" s="1">
        <v>3899.3798830000001</v>
      </c>
      <c r="D382" s="1">
        <v>3899.3798830000001</v>
      </c>
      <c r="E382" s="1">
        <v>3918.5</v>
      </c>
      <c r="F382" s="1">
        <v>3869.3400879999999</v>
      </c>
      <c r="G382" s="1">
        <v>3888.26001</v>
      </c>
      <c r="H382" s="1">
        <v>3521620000</v>
      </c>
      <c r="I382" s="1">
        <f t="shared" si="5"/>
        <v>-8.30271433769651E-4</v>
      </c>
    </row>
    <row r="383" spans="1:9" x14ac:dyDescent="0.35">
      <c r="A383" s="1">
        <v>381</v>
      </c>
      <c r="B383" s="1" t="s">
        <v>390</v>
      </c>
      <c r="C383" s="1">
        <v>3854.429932</v>
      </c>
      <c r="D383" s="1">
        <v>3854.429932</v>
      </c>
      <c r="E383" s="1">
        <v>3880.9399410000001</v>
      </c>
      <c r="F383" s="1">
        <v>3847.219971</v>
      </c>
      <c r="G383" s="1">
        <v>3880.9399410000001</v>
      </c>
      <c r="H383" s="1">
        <v>3423480000</v>
      </c>
      <c r="I383" s="1">
        <f t="shared" si="5"/>
        <v>-1.1527461378145509E-2</v>
      </c>
    </row>
    <row r="384" spans="1:9" x14ac:dyDescent="0.35">
      <c r="A384" s="1">
        <v>382</v>
      </c>
      <c r="B384" s="1" t="s">
        <v>391</v>
      </c>
      <c r="C384" s="1">
        <v>3818.8000489999999</v>
      </c>
      <c r="D384" s="1">
        <v>3818.8000489999999</v>
      </c>
      <c r="E384" s="1">
        <v>3873.4099120000001</v>
      </c>
      <c r="F384" s="1">
        <v>3802.360107</v>
      </c>
      <c r="G384" s="1">
        <v>3851.9499510000001</v>
      </c>
      <c r="H384" s="1">
        <v>3817210000</v>
      </c>
      <c r="I384" s="1">
        <f t="shared" si="5"/>
        <v>-9.2438787651050406E-3</v>
      </c>
    </row>
    <row r="385" spans="1:9" x14ac:dyDescent="0.35">
      <c r="A385" s="1">
        <v>383</v>
      </c>
      <c r="B385" s="1" t="s">
        <v>392</v>
      </c>
      <c r="C385" s="1">
        <v>3801.780029</v>
      </c>
      <c r="D385" s="1">
        <v>3801.780029</v>
      </c>
      <c r="E385" s="1">
        <v>3829.4399410000001</v>
      </c>
      <c r="F385" s="1">
        <v>3759.070068</v>
      </c>
      <c r="G385" s="1">
        <v>3779.669922</v>
      </c>
      <c r="H385" s="1">
        <v>4109390000</v>
      </c>
      <c r="I385" s="1">
        <f t="shared" si="5"/>
        <v>-4.4569026347574371E-3</v>
      </c>
    </row>
    <row r="386" spans="1:9" x14ac:dyDescent="0.35">
      <c r="A386" s="1">
        <v>384</v>
      </c>
      <c r="B386" s="1" t="s">
        <v>393</v>
      </c>
      <c r="C386" s="1">
        <v>3790.3798830000001</v>
      </c>
      <c r="D386" s="1">
        <v>3790.3798830000001</v>
      </c>
      <c r="E386" s="1">
        <v>3796.4099120000001</v>
      </c>
      <c r="F386" s="1">
        <v>3721.5600589999999</v>
      </c>
      <c r="G386" s="1">
        <v>3763.98999</v>
      </c>
      <c r="H386" s="1">
        <v>4199690000</v>
      </c>
      <c r="I386" s="1">
        <f t="shared" si="5"/>
        <v>-2.9986337749789756E-3</v>
      </c>
    </row>
    <row r="387" spans="1:9" x14ac:dyDescent="0.35">
      <c r="A387" s="1">
        <v>385</v>
      </c>
      <c r="B387" s="1" t="s">
        <v>394</v>
      </c>
      <c r="C387" s="1">
        <v>3863.1599120000001</v>
      </c>
      <c r="D387" s="1">
        <v>3863.1599120000001</v>
      </c>
      <c r="E387" s="1">
        <v>3863.6201169999999</v>
      </c>
      <c r="F387" s="1">
        <v>3817.179932</v>
      </c>
      <c r="G387" s="1">
        <v>3818</v>
      </c>
      <c r="H387" s="1">
        <v>4143800000</v>
      </c>
      <c r="I387" s="1">
        <f t="shared" si="5"/>
        <v>1.9201249280163514E-2</v>
      </c>
    </row>
    <row r="388" spans="1:9" x14ac:dyDescent="0.35">
      <c r="A388" s="1">
        <v>386</v>
      </c>
      <c r="B388" s="1" t="s">
        <v>395</v>
      </c>
      <c r="C388" s="1">
        <v>3830.8500979999999</v>
      </c>
      <c r="D388" s="1">
        <v>3830.8500979999999</v>
      </c>
      <c r="E388" s="1">
        <v>3902.4399410000001</v>
      </c>
      <c r="F388" s="1">
        <v>3818.6298830000001</v>
      </c>
      <c r="G388" s="1">
        <v>3883.790039</v>
      </c>
      <c r="H388" s="1">
        <v>4046870000</v>
      </c>
      <c r="I388" s="1">
        <f t="shared" ref="I388:I451" si="6">(C388-C387)/C387</f>
        <v>-8.3635714637743386E-3</v>
      </c>
    </row>
    <row r="389" spans="1:9" x14ac:dyDescent="0.35">
      <c r="A389" s="1">
        <v>387</v>
      </c>
      <c r="B389" s="1" t="s">
        <v>396</v>
      </c>
      <c r="C389" s="1">
        <v>3936.6899410000001</v>
      </c>
      <c r="D389" s="1">
        <v>3936.6899410000001</v>
      </c>
      <c r="E389" s="1">
        <v>3939.8100589999999</v>
      </c>
      <c r="F389" s="1">
        <v>3860.7299800000001</v>
      </c>
      <c r="G389" s="1">
        <v>3860.7299800000001</v>
      </c>
      <c r="H389" s="1">
        <v>4041070000</v>
      </c>
      <c r="I389" s="1">
        <f t="shared" si="6"/>
        <v>2.762829144770159E-2</v>
      </c>
    </row>
    <row r="390" spans="1:9" x14ac:dyDescent="0.35">
      <c r="A390" s="1">
        <v>388</v>
      </c>
      <c r="B390" s="1" t="s">
        <v>397</v>
      </c>
      <c r="C390" s="1">
        <v>3959.8999020000001</v>
      </c>
      <c r="D390" s="1">
        <v>3959.8999020000001</v>
      </c>
      <c r="E390" s="1">
        <v>3974.1298830000001</v>
      </c>
      <c r="F390" s="1">
        <v>3922.030029</v>
      </c>
      <c r="G390" s="1">
        <v>3935.320068</v>
      </c>
      <c r="H390" s="1">
        <v>4185300000</v>
      </c>
      <c r="I390" s="1">
        <f t="shared" si="6"/>
        <v>5.8958062097479325E-3</v>
      </c>
    </row>
    <row r="391" spans="1:9" x14ac:dyDescent="0.35">
      <c r="A391" s="1">
        <v>389</v>
      </c>
      <c r="B391" s="1" t="s">
        <v>398</v>
      </c>
      <c r="C391" s="1">
        <v>3998.9499510000001</v>
      </c>
      <c r="D391" s="1">
        <v>3998.9499510000001</v>
      </c>
      <c r="E391" s="1">
        <v>3999.290039</v>
      </c>
      <c r="F391" s="1">
        <v>3927.639893</v>
      </c>
      <c r="G391" s="1">
        <v>3955.469971</v>
      </c>
      <c r="H391" s="1">
        <v>4132790000</v>
      </c>
      <c r="I391" s="1">
        <f t="shared" si="6"/>
        <v>9.8613727534570244E-3</v>
      </c>
    </row>
    <row r="392" spans="1:9" x14ac:dyDescent="0.35">
      <c r="A392" s="1">
        <v>390</v>
      </c>
      <c r="B392" s="1" t="s">
        <v>399</v>
      </c>
      <c r="C392" s="1">
        <v>3961.6298830000001</v>
      </c>
      <c r="D392" s="1">
        <v>3961.6298830000001</v>
      </c>
      <c r="E392" s="1">
        <v>4012.4399410000001</v>
      </c>
      <c r="F392" s="1">
        <v>3938.860107</v>
      </c>
      <c r="G392" s="1">
        <v>3998.429932</v>
      </c>
      <c r="H392" s="1">
        <v>3979240000</v>
      </c>
      <c r="I392" s="1">
        <f t="shared" si="6"/>
        <v>-9.3324668868805232E-3</v>
      </c>
    </row>
    <row r="393" spans="1:9" x14ac:dyDescent="0.35">
      <c r="A393" s="1">
        <v>391</v>
      </c>
      <c r="B393" s="1" t="s">
        <v>400</v>
      </c>
      <c r="C393" s="1">
        <v>3966.8400879999999</v>
      </c>
      <c r="D393" s="1">
        <v>3966.8400879999999</v>
      </c>
      <c r="E393" s="1">
        <v>3975.3000489999999</v>
      </c>
      <c r="F393" s="1">
        <v>3943.459961</v>
      </c>
      <c r="G393" s="1">
        <v>3965.719971</v>
      </c>
      <c r="H393" s="1">
        <v>3568340000</v>
      </c>
      <c r="I393" s="1">
        <f t="shared" si="6"/>
        <v>1.3151670281864793E-3</v>
      </c>
    </row>
    <row r="394" spans="1:9" x14ac:dyDescent="0.35">
      <c r="A394" s="1">
        <v>392</v>
      </c>
      <c r="B394" s="1" t="s">
        <v>401</v>
      </c>
      <c r="C394" s="1">
        <v>3921.0500489999999</v>
      </c>
      <c r="D394" s="1">
        <v>3921.0500489999999</v>
      </c>
      <c r="E394" s="1">
        <v>3953.219971</v>
      </c>
      <c r="F394" s="1">
        <v>3910.73999</v>
      </c>
      <c r="G394" s="1">
        <v>3953.219971</v>
      </c>
      <c r="H394" s="1">
        <v>3778950000</v>
      </c>
      <c r="I394" s="1">
        <f t="shared" si="6"/>
        <v>-1.1543202645984751E-2</v>
      </c>
    </row>
    <row r="395" spans="1:9" x14ac:dyDescent="0.35">
      <c r="A395" s="1">
        <v>393</v>
      </c>
      <c r="B395" s="1" t="s">
        <v>402</v>
      </c>
      <c r="C395" s="1">
        <v>4023.610107</v>
      </c>
      <c r="D395" s="1">
        <v>4023.610107</v>
      </c>
      <c r="E395" s="1">
        <v>4039.5600589999999</v>
      </c>
      <c r="F395" s="1">
        <v>3951.429932</v>
      </c>
      <c r="G395" s="1">
        <v>3951.429932</v>
      </c>
      <c r="H395" s="1">
        <v>4112180000</v>
      </c>
      <c r="I395" s="1">
        <f t="shared" si="6"/>
        <v>2.6156273630364983E-2</v>
      </c>
    </row>
    <row r="396" spans="1:9" x14ac:dyDescent="0.35">
      <c r="A396" s="1">
        <v>394</v>
      </c>
      <c r="B396" s="1" t="s">
        <v>403</v>
      </c>
      <c r="C396" s="1">
        <v>4072.429932</v>
      </c>
      <c r="D396" s="1">
        <v>4072.429932</v>
      </c>
      <c r="E396" s="1">
        <v>4078.9499510000001</v>
      </c>
      <c r="F396" s="1">
        <v>3992.969971</v>
      </c>
      <c r="G396" s="1">
        <v>4026.1298830000001</v>
      </c>
      <c r="H396" s="1">
        <v>4413000000</v>
      </c>
      <c r="I396" s="1">
        <f t="shared" si="6"/>
        <v>1.2133338892619507E-2</v>
      </c>
    </row>
    <row r="397" spans="1:9" x14ac:dyDescent="0.35">
      <c r="A397" s="1">
        <v>395</v>
      </c>
      <c r="B397" s="1" t="s">
        <v>404</v>
      </c>
      <c r="C397" s="1">
        <v>4130.2900390000004</v>
      </c>
      <c r="D397" s="1">
        <v>4130.2900390000004</v>
      </c>
      <c r="E397" s="1">
        <v>4140.1499020000001</v>
      </c>
      <c r="F397" s="1">
        <v>4079.219971</v>
      </c>
      <c r="G397" s="1">
        <v>4087.330078</v>
      </c>
      <c r="H397" s="1">
        <v>4616360000</v>
      </c>
      <c r="I397" s="1">
        <f t="shared" si="6"/>
        <v>1.4207759977735187E-2</v>
      </c>
    </row>
    <row r="398" spans="1:9" x14ac:dyDescent="0.35">
      <c r="A398" s="1">
        <v>396</v>
      </c>
      <c r="B398" s="1" t="s">
        <v>405</v>
      </c>
      <c r="C398" s="1">
        <v>4118.6298829999996</v>
      </c>
      <c r="D398" s="1">
        <v>4118.6298829999996</v>
      </c>
      <c r="E398" s="1">
        <v>4144.9501950000003</v>
      </c>
      <c r="F398" s="1">
        <v>4096.0200199999999</v>
      </c>
      <c r="G398" s="1">
        <v>4112.3798829999996</v>
      </c>
      <c r="H398" s="1">
        <v>4202810000</v>
      </c>
      <c r="I398" s="1">
        <f t="shared" si="6"/>
        <v>-2.8230840667121545E-3</v>
      </c>
    </row>
    <row r="399" spans="1:9" x14ac:dyDescent="0.35">
      <c r="A399" s="1">
        <v>397</v>
      </c>
      <c r="B399" s="1" t="s">
        <v>406</v>
      </c>
      <c r="C399" s="1">
        <v>4091.1899410000001</v>
      </c>
      <c r="D399" s="1">
        <v>4091.1899410000001</v>
      </c>
      <c r="E399" s="1">
        <v>4140.4702150000003</v>
      </c>
      <c r="F399" s="1">
        <v>4079.8100589999999</v>
      </c>
      <c r="G399" s="1">
        <v>4104.2099609999996</v>
      </c>
      <c r="H399" s="1">
        <v>4727710000</v>
      </c>
      <c r="I399" s="1">
        <f t="shared" si="6"/>
        <v>-6.6623956945634395E-3</v>
      </c>
    </row>
    <row r="400" spans="1:9" x14ac:dyDescent="0.35">
      <c r="A400" s="1">
        <v>398</v>
      </c>
      <c r="B400" s="1" t="s">
        <v>407</v>
      </c>
      <c r="C400" s="1">
        <v>4155.169922</v>
      </c>
      <c r="D400" s="1">
        <v>4155.169922</v>
      </c>
      <c r="E400" s="1">
        <v>4167.6601559999999</v>
      </c>
      <c r="F400" s="1">
        <v>4107.9599609999996</v>
      </c>
      <c r="G400" s="1">
        <v>4107.9599609999996</v>
      </c>
      <c r="H400" s="1">
        <v>4351760000</v>
      </c>
      <c r="I400" s="1">
        <f t="shared" si="6"/>
        <v>1.5638477294545136E-2</v>
      </c>
    </row>
    <row r="401" spans="1:9" x14ac:dyDescent="0.35">
      <c r="A401" s="1">
        <v>399</v>
      </c>
      <c r="B401" s="1" t="s">
        <v>408</v>
      </c>
      <c r="C401" s="1">
        <v>4151.9399409999996</v>
      </c>
      <c r="D401" s="1">
        <v>4151.9399409999996</v>
      </c>
      <c r="E401" s="1">
        <v>4161.2900390000004</v>
      </c>
      <c r="F401" s="1">
        <v>4135.419922</v>
      </c>
      <c r="G401" s="1">
        <v>4154.8500979999999</v>
      </c>
      <c r="H401" s="1">
        <v>4283320000</v>
      </c>
      <c r="I401" s="1">
        <f t="shared" si="6"/>
        <v>-7.7734029188527784E-4</v>
      </c>
    </row>
    <row r="402" spans="1:9" x14ac:dyDescent="0.35">
      <c r="A402" s="1">
        <v>400</v>
      </c>
      <c r="B402" s="1" t="s">
        <v>409</v>
      </c>
      <c r="C402" s="1">
        <v>4145.1899409999996</v>
      </c>
      <c r="D402" s="1">
        <v>4145.1899409999996</v>
      </c>
      <c r="E402" s="1">
        <v>4151.580078</v>
      </c>
      <c r="F402" s="1">
        <v>4107.3100590000004</v>
      </c>
      <c r="G402" s="1">
        <v>4115.8701170000004</v>
      </c>
      <c r="H402" s="1">
        <v>4085940000</v>
      </c>
      <c r="I402" s="1">
        <f t="shared" si="6"/>
        <v>-1.625746059894656E-3</v>
      </c>
    </row>
    <row r="403" spans="1:9" x14ac:dyDescent="0.35">
      <c r="A403" s="1">
        <v>401</v>
      </c>
      <c r="B403" s="1" t="s">
        <v>410</v>
      </c>
      <c r="C403" s="1">
        <v>4140.0600590000004</v>
      </c>
      <c r="D403" s="1">
        <v>4140.0600590000004</v>
      </c>
      <c r="E403" s="1">
        <v>4186.6201170000004</v>
      </c>
      <c r="F403" s="1">
        <v>4128.9702150000003</v>
      </c>
      <c r="G403" s="1">
        <v>4155.9301759999998</v>
      </c>
      <c r="H403" s="1">
        <v>4221090000</v>
      </c>
      <c r="I403" s="1">
        <f t="shared" si="6"/>
        <v>-1.2375505279648826E-3</v>
      </c>
    </row>
    <row r="404" spans="1:9" x14ac:dyDescent="0.35">
      <c r="A404" s="1">
        <v>402</v>
      </c>
      <c r="B404" s="1" t="s">
        <v>411</v>
      </c>
      <c r="C404" s="1">
        <v>4122.4702150000003</v>
      </c>
      <c r="D404" s="1">
        <v>4122.4702150000003</v>
      </c>
      <c r="E404" s="1">
        <v>4137.2998049999997</v>
      </c>
      <c r="F404" s="1">
        <v>4112.0898440000001</v>
      </c>
      <c r="G404" s="1">
        <v>4133.1098629999997</v>
      </c>
      <c r="H404" s="1">
        <v>3913090000</v>
      </c>
      <c r="I404" s="1">
        <f t="shared" si="6"/>
        <v>-4.2486929535627983E-3</v>
      </c>
    </row>
    <row r="405" spans="1:9" x14ac:dyDescent="0.35">
      <c r="A405" s="1">
        <v>403</v>
      </c>
      <c r="B405" s="1" t="s">
        <v>412</v>
      </c>
      <c r="C405" s="1">
        <v>4210.2402339999999</v>
      </c>
      <c r="D405" s="1">
        <v>4210.2402339999999</v>
      </c>
      <c r="E405" s="1">
        <v>4211.0297849999997</v>
      </c>
      <c r="F405" s="1">
        <v>4177.2597660000001</v>
      </c>
      <c r="G405" s="1">
        <v>4181.0200199999999</v>
      </c>
      <c r="H405" s="1">
        <v>4546010000</v>
      </c>
      <c r="I405" s="1">
        <f t="shared" si="6"/>
        <v>2.1290637511616219E-2</v>
      </c>
    </row>
    <row r="406" spans="1:9" x14ac:dyDescent="0.35">
      <c r="A406" s="1">
        <v>404</v>
      </c>
      <c r="B406" s="1" t="s">
        <v>413</v>
      </c>
      <c r="C406" s="1">
        <v>4207.2700199999999</v>
      </c>
      <c r="D406" s="1">
        <v>4207.2700199999999</v>
      </c>
      <c r="E406" s="1">
        <v>4257.9101559999999</v>
      </c>
      <c r="F406" s="1">
        <v>4201.4101559999999</v>
      </c>
      <c r="G406" s="1">
        <v>4227.3999020000001</v>
      </c>
      <c r="H406" s="1">
        <v>4630200000</v>
      </c>
      <c r="I406" s="1">
        <f t="shared" si="6"/>
        <v>-7.0547375800882669E-4</v>
      </c>
    </row>
    <row r="407" spans="1:9" x14ac:dyDescent="0.35">
      <c r="A407" s="1">
        <v>405</v>
      </c>
      <c r="B407" s="1" t="s">
        <v>414</v>
      </c>
      <c r="C407" s="1">
        <v>4280.1499020000001</v>
      </c>
      <c r="D407" s="1">
        <v>4280.1499020000001</v>
      </c>
      <c r="E407" s="1">
        <v>4280.4702150000003</v>
      </c>
      <c r="F407" s="1">
        <v>4219.7797849999997</v>
      </c>
      <c r="G407" s="1">
        <v>4225.0200199999999</v>
      </c>
      <c r="H407" s="1">
        <v>3788010000</v>
      </c>
      <c r="I407" s="1">
        <f t="shared" si="6"/>
        <v>1.7322368579518979E-2</v>
      </c>
    </row>
    <row r="408" spans="1:9" x14ac:dyDescent="0.35">
      <c r="A408" s="1">
        <v>406</v>
      </c>
      <c r="B408" s="1" t="s">
        <v>415</v>
      </c>
      <c r="C408" s="1">
        <v>4297.1401370000003</v>
      </c>
      <c r="D408" s="1">
        <v>4297.1401370000003</v>
      </c>
      <c r="E408" s="1">
        <v>4301.7900390000004</v>
      </c>
      <c r="F408" s="1">
        <v>4256.8999020000001</v>
      </c>
      <c r="G408" s="1">
        <v>4269.3701170000004</v>
      </c>
      <c r="H408" s="1">
        <v>3696830000</v>
      </c>
      <c r="I408" s="1">
        <f t="shared" si="6"/>
        <v>3.969542046193552E-3</v>
      </c>
    </row>
    <row r="409" spans="1:9" x14ac:dyDescent="0.35">
      <c r="A409" s="1">
        <v>407</v>
      </c>
      <c r="B409" s="1" t="s">
        <v>416</v>
      </c>
      <c r="C409" s="1">
        <v>4305.2001950000003</v>
      </c>
      <c r="D409" s="1">
        <v>4305.2001950000003</v>
      </c>
      <c r="E409" s="1">
        <v>4325.2797849999997</v>
      </c>
      <c r="F409" s="1">
        <v>4277.7700199999999</v>
      </c>
      <c r="G409" s="1">
        <v>4290.4599609999996</v>
      </c>
      <c r="H409" s="1">
        <v>4329820000</v>
      </c>
      <c r="I409" s="1">
        <f t="shared" si="6"/>
        <v>1.8756795782850742E-3</v>
      </c>
    </row>
    <row r="410" spans="1:9" x14ac:dyDescent="0.35">
      <c r="A410" s="1">
        <v>408</v>
      </c>
      <c r="B410" s="1" t="s">
        <v>417</v>
      </c>
      <c r="C410" s="1">
        <v>4274.0400390000004</v>
      </c>
      <c r="D410" s="1">
        <v>4274.0400390000004</v>
      </c>
      <c r="E410" s="1">
        <v>4302.1801759999998</v>
      </c>
      <c r="F410" s="1">
        <v>4253.080078</v>
      </c>
      <c r="G410" s="1">
        <v>4280.3999020000001</v>
      </c>
      <c r="H410" s="1">
        <v>3885030000</v>
      </c>
      <c r="I410" s="1">
        <f t="shared" si="6"/>
        <v>-7.2377948965506615E-3</v>
      </c>
    </row>
    <row r="411" spans="1:9" x14ac:dyDescent="0.35">
      <c r="A411" s="1">
        <v>409</v>
      </c>
      <c r="B411" s="1" t="s">
        <v>418</v>
      </c>
      <c r="C411" s="1">
        <v>4283.7402339999999</v>
      </c>
      <c r="D411" s="1">
        <v>4283.7402339999999</v>
      </c>
      <c r="E411" s="1">
        <v>4292.5297849999997</v>
      </c>
      <c r="F411" s="1">
        <v>4261.9799800000001</v>
      </c>
      <c r="G411" s="1">
        <v>4273.1298829999996</v>
      </c>
      <c r="H411" s="1">
        <v>3340330000</v>
      </c>
      <c r="I411" s="1">
        <f t="shared" si="6"/>
        <v>2.2695610971087206E-3</v>
      </c>
    </row>
    <row r="412" spans="1:9" x14ac:dyDescent="0.35">
      <c r="A412" s="1">
        <v>410</v>
      </c>
      <c r="B412" s="1" t="s">
        <v>419</v>
      </c>
      <c r="C412" s="1">
        <v>4228.4799800000001</v>
      </c>
      <c r="D412" s="1">
        <v>4228.4799800000001</v>
      </c>
      <c r="E412" s="1">
        <v>4266.3100590000004</v>
      </c>
      <c r="F412" s="1">
        <v>4218.7001950000003</v>
      </c>
      <c r="G412" s="1">
        <v>4266.3100590000004</v>
      </c>
      <c r="H412" s="1">
        <v>3761340000</v>
      </c>
      <c r="I412" s="1">
        <f t="shared" si="6"/>
        <v>-1.2900001162862249E-2</v>
      </c>
    </row>
    <row r="413" spans="1:9" x14ac:dyDescent="0.35">
      <c r="A413" s="1">
        <v>411</v>
      </c>
      <c r="B413" s="1" t="s">
        <v>420</v>
      </c>
      <c r="C413" s="1">
        <v>4137.9902339999999</v>
      </c>
      <c r="D413" s="1">
        <v>4137.9902339999999</v>
      </c>
      <c r="E413" s="1">
        <v>4195.080078</v>
      </c>
      <c r="F413" s="1">
        <v>4129.8598629999997</v>
      </c>
      <c r="G413" s="1">
        <v>4195.080078</v>
      </c>
      <c r="H413" s="1">
        <v>3907430000</v>
      </c>
      <c r="I413" s="1">
        <f t="shared" si="6"/>
        <v>-2.1400064899917109E-2</v>
      </c>
    </row>
    <row r="414" spans="1:9" x14ac:dyDescent="0.35">
      <c r="A414" s="1">
        <v>412</v>
      </c>
      <c r="B414" s="1" t="s">
        <v>421</v>
      </c>
      <c r="C414" s="1">
        <v>4128.7299800000001</v>
      </c>
      <c r="D414" s="1">
        <v>4128.7299800000001</v>
      </c>
      <c r="E414" s="1">
        <v>4159.7700199999999</v>
      </c>
      <c r="F414" s="1">
        <v>4124.0297849999997</v>
      </c>
      <c r="G414" s="1">
        <v>4133.0898440000001</v>
      </c>
      <c r="H414" s="1">
        <v>3823520000</v>
      </c>
      <c r="I414" s="1">
        <f t="shared" si="6"/>
        <v>-2.2378627005720008E-3</v>
      </c>
    </row>
    <row r="415" spans="1:9" x14ac:dyDescent="0.35">
      <c r="A415" s="1">
        <v>413</v>
      </c>
      <c r="B415" s="1" t="s">
        <v>422</v>
      </c>
      <c r="C415" s="1">
        <v>4140.7700199999999</v>
      </c>
      <c r="D415" s="1">
        <v>4140.7700199999999</v>
      </c>
      <c r="E415" s="1">
        <v>4156.5600590000004</v>
      </c>
      <c r="F415" s="1">
        <v>4119.9702150000003</v>
      </c>
      <c r="G415" s="1">
        <v>4126.5498049999997</v>
      </c>
      <c r="H415" s="1">
        <v>3583630000</v>
      </c>
      <c r="I415" s="1">
        <f t="shared" si="6"/>
        <v>2.9161606736994371E-3</v>
      </c>
    </row>
    <row r="416" spans="1:9" x14ac:dyDescent="0.35">
      <c r="A416" s="1">
        <v>414</v>
      </c>
      <c r="B416" s="1" t="s">
        <v>423</v>
      </c>
      <c r="C416" s="1">
        <v>4199.1201170000004</v>
      </c>
      <c r="D416" s="1">
        <v>4199.1201170000004</v>
      </c>
      <c r="E416" s="1">
        <v>4200.5400390000004</v>
      </c>
      <c r="F416" s="1">
        <v>4147.5898440000001</v>
      </c>
      <c r="G416" s="1">
        <v>4153.2597660000001</v>
      </c>
      <c r="H416" s="1">
        <v>3566870000</v>
      </c>
      <c r="I416" s="1">
        <f t="shared" si="6"/>
        <v>1.409160535798133E-2</v>
      </c>
    </row>
    <row r="417" spans="1:9" x14ac:dyDescent="0.35">
      <c r="A417" s="1">
        <v>415</v>
      </c>
      <c r="B417" s="1" t="s">
        <v>424</v>
      </c>
      <c r="C417" s="1">
        <v>4057.6599120000001</v>
      </c>
      <c r="D417" s="1">
        <v>4057.6599120000001</v>
      </c>
      <c r="E417" s="1">
        <v>4203.0400390000004</v>
      </c>
      <c r="F417" s="1">
        <v>4057.6599120000001</v>
      </c>
      <c r="G417" s="1">
        <v>4198.7402339999999</v>
      </c>
      <c r="H417" s="1">
        <v>3832750000</v>
      </c>
      <c r="I417" s="1">
        <f t="shared" si="6"/>
        <v>-3.3688058702417992E-2</v>
      </c>
    </row>
    <row r="418" spans="1:9" x14ac:dyDescent="0.35">
      <c r="A418" s="1">
        <v>416</v>
      </c>
      <c r="B418" s="1" t="s">
        <v>425</v>
      </c>
      <c r="C418" s="1">
        <v>4030.610107</v>
      </c>
      <c r="D418" s="1">
        <v>4030.610107</v>
      </c>
      <c r="E418" s="1">
        <v>4062.98999</v>
      </c>
      <c r="F418" s="1">
        <v>4017.419922</v>
      </c>
      <c r="G418" s="1">
        <v>4034.580078</v>
      </c>
      <c r="H418" s="1">
        <v>3396510000</v>
      </c>
      <c r="I418" s="1">
        <f t="shared" si="6"/>
        <v>-6.6663558766972648E-3</v>
      </c>
    </row>
    <row r="419" spans="1:9" x14ac:dyDescent="0.35">
      <c r="A419" s="1">
        <v>417</v>
      </c>
      <c r="B419" s="1" t="s">
        <v>426</v>
      </c>
      <c r="C419" s="1">
        <v>3986.1599120000001</v>
      </c>
      <c r="D419" s="1">
        <v>3986.1599120000001</v>
      </c>
      <c r="E419" s="1">
        <v>4044.9799800000001</v>
      </c>
      <c r="F419" s="1">
        <v>3965.209961</v>
      </c>
      <c r="G419" s="1">
        <v>4041.25</v>
      </c>
      <c r="H419" s="1">
        <v>3835860000</v>
      </c>
      <c r="I419" s="1">
        <f t="shared" si="6"/>
        <v>-1.1028155495070784E-2</v>
      </c>
    </row>
    <row r="420" spans="1:9" x14ac:dyDescent="0.35">
      <c r="A420" s="1">
        <v>418</v>
      </c>
      <c r="B420" s="1" t="s">
        <v>427</v>
      </c>
      <c r="C420" s="1">
        <v>3955</v>
      </c>
      <c r="D420" s="1">
        <v>3955</v>
      </c>
      <c r="E420" s="1">
        <v>4015.3701169999999</v>
      </c>
      <c r="F420" s="1">
        <v>3954.530029</v>
      </c>
      <c r="G420" s="1">
        <v>4000.669922</v>
      </c>
      <c r="H420" s="1">
        <v>4542490000</v>
      </c>
      <c r="I420" s="1">
        <f t="shared" si="6"/>
        <v>-7.8170250787470349E-3</v>
      </c>
    </row>
    <row r="421" spans="1:9" x14ac:dyDescent="0.35">
      <c r="A421" s="1">
        <v>419</v>
      </c>
      <c r="B421" s="1" t="s">
        <v>428</v>
      </c>
      <c r="C421" s="1">
        <v>3966.8500979999999</v>
      </c>
      <c r="D421" s="1">
        <v>3966.8500979999999</v>
      </c>
      <c r="E421" s="1">
        <v>3970.2299800000001</v>
      </c>
      <c r="F421" s="1">
        <v>3903.6499020000001</v>
      </c>
      <c r="G421" s="1">
        <v>3936.7299800000001</v>
      </c>
      <c r="H421" s="1">
        <v>4152250000</v>
      </c>
      <c r="I421" s="1">
        <f t="shared" si="6"/>
        <v>2.9962321112515524E-3</v>
      </c>
    </row>
    <row r="422" spans="1:9" x14ac:dyDescent="0.35">
      <c r="A422" s="1">
        <v>420</v>
      </c>
      <c r="B422" s="1" t="s">
        <v>429</v>
      </c>
      <c r="C422" s="1">
        <v>3924.26001</v>
      </c>
      <c r="D422" s="1">
        <v>3924.26001</v>
      </c>
      <c r="E422" s="1">
        <v>4018.429932</v>
      </c>
      <c r="F422" s="1">
        <v>3906.209961</v>
      </c>
      <c r="G422" s="1">
        <v>3994.6599120000001</v>
      </c>
      <c r="H422" s="1">
        <v>3665850000</v>
      </c>
      <c r="I422" s="1">
        <f t="shared" si="6"/>
        <v>-1.073650048472286E-2</v>
      </c>
    </row>
    <row r="423" spans="1:9" x14ac:dyDescent="0.35">
      <c r="A423" s="1">
        <v>421</v>
      </c>
      <c r="B423" s="1" t="s">
        <v>430</v>
      </c>
      <c r="C423" s="1">
        <v>3908.1899410000001</v>
      </c>
      <c r="D423" s="1">
        <v>3908.1899410000001</v>
      </c>
      <c r="E423" s="1">
        <v>3942.5500489999999</v>
      </c>
      <c r="F423" s="1">
        <v>3886.75</v>
      </c>
      <c r="G423" s="1">
        <v>3930.889893</v>
      </c>
      <c r="H423" s="1">
        <v>4127340000</v>
      </c>
      <c r="I423" s="1">
        <f t="shared" si="6"/>
        <v>-4.0950571468376983E-3</v>
      </c>
    </row>
    <row r="424" spans="1:9" x14ac:dyDescent="0.35">
      <c r="A424" s="1">
        <v>422</v>
      </c>
      <c r="B424" s="1" t="s">
        <v>431</v>
      </c>
      <c r="C424" s="1">
        <v>3979.8701169999999</v>
      </c>
      <c r="D424" s="1">
        <v>3979.8701169999999</v>
      </c>
      <c r="E424" s="1">
        <v>3987.889893</v>
      </c>
      <c r="F424" s="1">
        <v>3906.030029</v>
      </c>
      <c r="G424" s="1">
        <v>3909.429932</v>
      </c>
      <c r="H424" s="1">
        <v>3890320000</v>
      </c>
      <c r="I424" s="1">
        <f t="shared" si="6"/>
        <v>1.8341016450612639E-2</v>
      </c>
    </row>
    <row r="425" spans="1:9" x14ac:dyDescent="0.35">
      <c r="A425" s="1">
        <v>423</v>
      </c>
      <c r="B425" s="1" t="s">
        <v>432</v>
      </c>
      <c r="C425" s="1">
        <v>4006.179932</v>
      </c>
      <c r="D425" s="1">
        <v>4006.179932</v>
      </c>
      <c r="E425" s="1">
        <v>4010.5</v>
      </c>
      <c r="F425" s="1">
        <v>3944.8100589999999</v>
      </c>
      <c r="G425" s="1">
        <v>3959.9399410000001</v>
      </c>
      <c r="H425" s="1">
        <v>3966850000</v>
      </c>
      <c r="I425" s="1">
        <f t="shared" si="6"/>
        <v>6.6107220151777812E-3</v>
      </c>
    </row>
    <row r="426" spans="1:9" x14ac:dyDescent="0.35">
      <c r="A426" s="1">
        <v>424</v>
      </c>
      <c r="B426" s="1" t="s">
        <v>433</v>
      </c>
      <c r="C426" s="1">
        <v>4067.360107</v>
      </c>
      <c r="D426" s="1">
        <v>4067.360107</v>
      </c>
      <c r="E426" s="1">
        <v>4076.8100589999999</v>
      </c>
      <c r="F426" s="1">
        <v>4022.9399410000001</v>
      </c>
      <c r="G426" s="1">
        <v>4022.9399410000001</v>
      </c>
      <c r="H426" s="1">
        <v>3901940000</v>
      </c>
      <c r="I426" s="1">
        <f t="shared" si="6"/>
        <v>1.5271449619951808E-2</v>
      </c>
    </row>
    <row r="427" spans="1:9" x14ac:dyDescent="0.35">
      <c r="A427" s="1">
        <v>425</v>
      </c>
      <c r="B427" s="1" t="s">
        <v>434</v>
      </c>
      <c r="C427" s="1">
        <v>4110.4101559999999</v>
      </c>
      <c r="D427" s="1">
        <v>4110.4101559999999</v>
      </c>
      <c r="E427" s="1">
        <v>4119.2797849999997</v>
      </c>
      <c r="F427" s="1">
        <v>4083.669922</v>
      </c>
      <c r="G427" s="1">
        <v>4083.669922</v>
      </c>
      <c r="H427" s="1">
        <v>3814200000</v>
      </c>
      <c r="I427" s="1">
        <f t="shared" si="6"/>
        <v>1.0584272812704741E-2</v>
      </c>
    </row>
    <row r="428" spans="1:9" x14ac:dyDescent="0.35">
      <c r="A428" s="1">
        <v>426</v>
      </c>
      <c r="B428" s="1" t="s">
        <v>435</v>
      </c>
      <c r="C428" s="1">
        <v>3932.6899410000001</v>
      </c>
      <c r="D428" s="1">
        <v>3932.6899410000001</v>
      </c>
      <c r="E428" s="1">
        <v>4037.1201169999999</v>
      </c>
      <c r="F428" s="1">
        <v>3921.280029</v>
      </c>
      <c r="G428" s="1">
        <v>4037.1201169999999</v>
      </c>
      <c r="H428" s="1">
        <v>4224550000</v>
      </c>
      <c r="I428" s="1">
        <f t="shared" si="6"/>
        <v>-4.3236613441259661E-2</v>
      </c>
    </row>
    <row r="429" spans="1:9" x14ac:dyDescent="0.35">
      <c r="A429" s="1">
        <v>427</v>
      </c>
      <c r="B429" s="1" t="s">
        <v>436</v>
      </c>
      <c r="C429" s="1">
        <v>3946.01001</v>
      </c>
      <c r="D429" s="1">
        <v>3946.01001</v>
      </c>
      <c r="E429" s="1">
        <v>3961.9399410000001</v>
      </c>
      <c r="F429" s="1">
        <v>3912.179932</v>
      </c>
      <c r="G429" s="1">
        <v>3940.7299800000001</v>
      </c>
      <c r="H429" s="1">
        <v>4293240000</v>
      </c>
      <c r="I429" s="1">
        <f t="shared" si="6"/>
        <v>3.3870122485712317E-3</v>
      </c>
    </row>
    <row r="430" spans="1:9" x14ac:dyDescent="0.35">
      <c r="A430" s="1">
        <v>428</v>
      </c>
      <c r="B430" s="1" t="s">
        <v>437</v>
      </c>
      <c r="C430" s="1">
        <v>3901.3500979999999</v>
      </c>
      <c r="D430" s="1">
        <v>3901.3500979999999</v>
      </c>
      <c r="E430" s="1">
        <v>3959.139893</v>
      </c>
      <c r="F430" s="1">
        <v>3888.280029</v>
      </c>
      <c r="G430" s="1">
        <v>3932.4099120000001</v>
      </c>
      <c r="H430" s="1">
        <v>4441830000</v>
      </c>
      <c r="I430" s="1">
        <f t="shared" si="6"/>
        <v>-1.1317739155963286E-2</v>
      </c>
    </row>
    <row r="431" spans="1:9" x14ac:dyDescent="0.35">
      <c r="A431" s="1">
        <v>429</v>
      </c>
      <c r="B431" s="1" t="s">
        <v>438</v>
      </c>
      <c r="C431" s="1">
        <v>3873.330078</v>
      </c>
      <c r="D431" s="1">
        <v>3873.330078</v>
      </c>
      <c r="E431" s="1">
        <v>3880.9499510000001</v>
      </c>
      <c r="F431" s="1">
        <v>3837.080078</v>
      </c>
      <c r="G431" s="1">
        <v>3880.9499510000001</v>
      </c>
      <c r="H431" s="1">
        <v>7954650000</v>
      </c>
      <c r="I431" s="1">
        <f t="shared" si="6"/>
        <v>-7.1821342089663266E-3</v>
      </c>
    </row>
    <row r="432" spans="1:9" x14ac:dyDescent="0.35">
      <c r="A432" s="1">
        <v>430</v>
      </c>
      <c r="B432" s="1" t="s">
        <v>439</v>
      </c>
      <c r="C432" s="1">
        <v>3899.889893</v>
      </c>
      <c r="D432" s="1">
        <v>3899.889893</v>
      </c>
      <c r="E432" s="1">
        <v>3900.4499510000001</v>
      </c>
      <c r="F432" s="1">
        <v>3838.5</v>
      </c>
      <c r="G432" s="1">
        <v>3849.9099120000001</v>
      </c>
      <c r="H432" s="1">
        <v>3766850000</v>
      </c>
      <c r="I432" s="1">
        <f t="shared" si="6"/>
        <v>6.8571008576976929E-3</v>
      </c>
    </row>
    <row r="433" spans="1:9" x14ac:dyDescent="0.35">
      <c r="A433" s="1">
        <v>431</v>
      </c>
      <c r="B433" s="1" t="s">
        <v>440</v>
      </c>
      <c r="C433" s="1">
        <v>3855.929932</v>
      </c>
      <c r="D433" s="1">
        <v>3855.929932</v>
      </c>
      <c r="E433" s="1">
        <v>3876.01001</v>
      </c>
      <c r="F433" s="1">
        <v>3827.540039</v>
      </c>
      <c r="G433" s="1">
        <v>3875.2299800000001</v>
      </c>
      <c r="H433" s="1">
        <v>4058050000</v>
      </c>
      <c r="I433" s="1">
        <f t="shared" si="6"/>
        <v>-1.1272103112168563E-2</v>
      </c>
    </row>
    <row r="434" spans="1:9" x14ac:dyDescent="0.35">
      <c r="A434" s="1">
        <v>432</v>
      </c>
      <c r="B434" s="1" t="s">
        <v>441</v>
      </c>
      <c r="C434" s="1">
        <v>3789.929932</v>
      </c>
      <c r="D434" s="1">
        <v>3789.929932</v>
      </c>
      <c r="E434" s="1">
        <v>3907.070068</v>
      </c>
      <c r="F434" s="1">
        <v>3789.48999</v>
      </c>
      <c r="G434" s="1">
        <v>3871.3999020000001</v>
      </c>
      <c r="H434" s="1">
        <v>4078330000</v>
      </c>
      <c r="I434" s="1">
        <f t="shared" si="6"/>
        <v>-1.7116493599189188E-2</v>
      </c>
    </row>
    <row r="435" spans="1:9" x14ac:dyDescent="0.35">
      <c r="A435" s="1">
        <v>433</v>
      </c>
      <c r="B435" s="1" t="s">
        <v>442</v>
      </c>
      <c r="C435" s="1">
        <v>3757.98999</v>
      </c>
      <c r="D435" s="1">
        <v>3757.98999</v>
      </c>
      <c r="E435" s="1">
        <v>3790.8999020000001</v>
      </c>
      <c r="F435" s="1">
        <v>3749.4499510000001</v>
      </c>
      <c r="G435" s="1">
        <v>3782.360107</v>
      </c>
      <c r="H435" s="1">
        <v>4284600000</v>
      </c>
      <c r="I435" s="1">
        <f t="shared" si="6"/>
        <v>-8.4275811355554037E-3</v>
      </c>
    </row>
    <row r="436" spans="1:9" x14ac:dyDescent="0.35">
      <c r="A436" s="1">
        <v>434</v>
      </c>
      <c r="B436" s="1" t="s">
        <v>443</v>
      </c>
      <c r="C436" s="1">
        <v>3693.2299800000001</v>
      </c>
      <c r="D436" s="1">
        <v>3693.2299800000001</v>
      </c>
      <c r="E436" s="1">
        <v>3727.139893</v>
      </c>
      <c r="F436" s="1">
        <v>3647.469971</v>
      </c>
      <c r="G436" s="1">
        <v>3727.139893</v>
      </c>
      <c r="H436" s="1">
        <v>5144270000</v>
      </c>
      <c r="I436" s="1">
        <f t="shared" si="6"/>
        <v>-1.7232619078902858E-2</v>
      </c>
    </row>
    <row r="437" spans="1:9" x14ac:dyDescent="0.35">
      <c r="A437" s="1">
        <v>435</v>
      </c>
      <c r="B437" s="1" t="s">
        <v>444</v>
      </c>
      <c r="C437" s="1">
        <v>3655.040039</v>
      </c>
      <c r="D437" s="1">
        <v>3655.040039</v>
      </c>
      <c r="E437" s="1">
        <v>3715.669922</v>
      </c>
      <c r="F437" s="1">
        <v>3644.76001</v>
      </c>
      <c r="G437" s="1">
        <v>3682.719971</v>
      </c>
      <c r="H437" s="1">
        <v>4886140000</v>
      </c>
      <c r="I437" s="1">
        <f t="shared" si="6"/>
        <v>-1.0340526099595912E-2</v>
      </c>
    </row>
    <row r="438" spans="1:9" x14ac:dyDescent="0.35">
      <c r="A438" s="1">
        <v>436</v>
      </c>
      <c r="B438" s="1" t="s">
        <v>445</v>
      </c>
      <c r="C438" s="1">
        <v>3647.290039</v>
      </c>
      <c r="D438" s="1">
        <v>3647.290039</v>
      </c>
      <c r="E438" s="1">
        <v>3717.530029</v>
      </c>
      <c r="F438" s="1">
        <v>3623.290039</v>
      </c>
      <c r="G438" s="1">
        <v>3686.4399410000001</v>
      </c>
      <c r="H438" s="1">
        <v>4577740000</v>
      </c>
      <c r="I438" s="1">
        <f t="shared" si="6"/>
        <v>-2.1203598092786858E-3</v>
      </c>
    </row>
    <row r="439" spans="1:9" x14ac:dyDescent="0.35">
      <c r="A439" s="1">
        <v>437</v>
      </c>
      <c r="B439" s="1" t="s">
        <v>446</v>
      </c>
      <c r="C439" s="1">
        <v>3719.040039</v>
      </c>
      <c r="D439" s="1">
        <v>3719.040039</v>
      </c>
      <c r="E439" s="1">
        <v>3736.73999</v>
      </c>
      <c r="F439" s="1">
        <v>3640.610107</v>
      </c>
      <c r="G439" s="1">
        <v>3651.9399410000001</v>
      </c>
      <c r="H439" s="1">
        <v>4684850000</v>
      </c>
      <c r="I439" s="1">
        <f t="shared" si="6"/>
        <v>1.9672139926571932E-2</v>
      </c>
    </row>
    <row r="440" spans="1:9" x14ac:dyDescent="0.35">
      <c r="A440" s="1">
        <v>438</v>
      </c>
      <c r="B440" s="1" t="s">
        <v>447</v>
      </c>
      <c r="C440" s="1">
        <v>3640.469971</v>
      </c>
      <c r="D440" s="1">
        <v>3640.469971</v>
      </c>
      <c r="E440" s="1">
        <v>3687.01001</v>
      </c>
      <c r="F440" s="1">
        <v>3610.3999020000001</v>
      </c>
      <c r="G440" s="1">
        <v>3687.01001</v>
      </c>
      <c r="H440" s="1">
        <v>4681810000</v>
      </c>
      <c r="I440" s="1">
        <f t="shared" si="6"/>
        <v>-2.1126437783962775E-2</v>
      </c>
    </row>
    <row r="441" spans="1:9" x14ac:dyDescent="0.35">
      <c r="A441" s="1">
        <v>439</v>
      </c>
      <c r="B441" s="1" t="s">
        <v>448</v>
      </c>
      <c r="C441" s="1">
        <v>3585.6201169999999</v>
      </c>
      <c r="D441" s="1">
        <v>3585.6201169999999</v>
      </c>
      <c r="E441" s="1">
        <v>3671.4399410000001</v>
      </c>
      <c r="F441" s="1">
        <v>3584.1298830000001</v>
      </c>
      <c r="G441" s="1">
        <v>3633.4799800000001</v>
      </c>
      <c r="H441" s="1">
        <v>5645360000</v>
      </c>
      <c r="I441" s="1">
        <f t="shared" si="6"/>
        <v>-1.5066695903807539E-2</v>
      </c>
    </row>
    <row r="442" spans="1:9" x14ac:dyDescent="0.35">
      <c r="A442" s="1">
        <v>440</v>
      </c>
      <c r="B442" s="1" t="s">
        <v>449</v>
      </c>
      <c r="C442" s="1">
        <v>3678.429932</v>
      </c>
      <c r="D442" s="1">
        <v>3678.429932</v>
      </c>
      <c r="E442" s="1">
        <v>3698.3500979999999</v>
      </c>
      <c r="F442" s="1">
        <v>3604.929932</v>
      </c>
      <c r="G442" s="1">
        <v>3609.780029</v>
      </c>
      <c r="H442" s="1">
        <v>4806680000</v>
      </c>
      <c r="I442" s="1">
        <f t="shared" si="6"/>
        <v>2.5883895106448632E-2</v>
      </c>
    </row>
    <row r="443" spans="1:9" x14ac:dyDescent="0.35">
      <c r="A443" s="1">
        <v>441</v>
      </c>
      <c r="B443" s="1" t="s">
        <v>450</v>
      </c>
      <c r="C443" s="1">
        <v>3790.929932</v>
      </c>
      <c r="D443" s="1">
        <v>3790.929932</v>
      </c>
      <c r="E443" s="1">
        <v>3791.919922</v>
      </c>
      <c r="F443" s="1">
        <v>3726.459961</v>
      </c>
      <c r="G443" s="1">
        <v>3726.459961</v>
      </c>
      <c r="H443" s="1">
        <v>5146580000</v>
      </c>
      <c r="I443" s="1">
        <f t="shared" si="6"/>
        <v>3.0583700676563547E-2</v>
      </c>
    </row>
    <row r="444" spans="1:9" x14ac:dyDescent="0.35">
      <c r="A444" s="1">
        <v>442</v>
      </c>
      <c r="B444" s="1" t="s">
        <v>451</v>
      </c>
      <c r="C444" s="1">
        <v>3783.280029</v>
      </c>
      <c r="D444" s="1">
        <v>3783.280029</v>
      </c>
      <c r="E444" s="1">
        <v>3806.9099120000001</v>
      </c>
      <c r="F444" s="1">
        <v>3722.6599120000001</v>
      </c>
      <c r="G444" s="1">
        <v>3753.25</v>
      </c>
      <c r="H444" s="1">
        <v>4293180000</v>
      </c>
      <c r="I444" s="1">
        <f t="shared" si="6"/>
        <v>-2.0179489300041209E-3</v>
      </c>
    </row>
    <row r="445" spans="1:9" x14ac:dyDescent="0.35">
      <c r="A445" s="1">
        <v>443</v>
      </c>
      <c r="B445" s="1" t="s">
        <v>452</v>
      </c>
      <c r="C445" s="1">
        <v>3744.5200199999999</v>
      </c>
      <c r="D445" s="1">
        <v>3744.5200199999999</v>
      </c>
      <c r="E445" s="1">
        <v>3797.929932</v>
      </c>
      <c r="F445" s="1">
        <v>3739.219971</v>
      </c>
      <c r="G445" s="1">
        <v>3771.969971</v>
      </c>
      <c r="H445" s="1">
        <v>4252100000</v>
      </c>
      <c r="I445" s="1">
        <f t="shared" si="6"/>
        <v>-1.0245080645073255E-2</v>
      </c>
    </row>
    <row r="446" spans="1:9" x14ac:dyDescent="0.35">
      <c r="A446" s="1">
        <v>444</v>
      </c>
      <c r="B446" s="1" t="s">
        <v>453</v>
      </c>
      <c r="C446" s="1">
        <v>3639.6599120000001</v>
      </c>
      <c r="D446" s="1">
        <v>3639.6599120000001</v>
      </c>
      <c r="E446" s="1">
        <v>3706.73999</v>
      </c>
      <c r="F446" s="1">
        <v>3620.7299800000001</v>
      </c>
      <c r="G446" s="1">
        <v>3706.73999</v>
      </c>
      <c r="H446" s="1">
        <v>4449660000</v>
      </c>
      <c r="I446" s="1">
        <f t="shared" si="6"/>
        <v>-2.8003617937660232E-2</v>
      </c>
    </row>
    <row r="447" spans="1:9" x14ac:dyDescent="0.35">
      <c r="A447" s="1">
        <v>445</v>
      </c>
      <c r="B447" s="1" t="s">
        <v>454</v>
      </c>
      <c r="C447" s="1">
        <v>3612.389893</v>
      </c>
      <c r="D447" s="1">
        <v>3612.389893</v>
      </c>
      <c r="E447" s="1">
        <v>3652.169922</v>
      </c>
      <c r="F447" s="1">
        <v>3588.1000979999999</v>
      </c>
      <c r="G447" s="1">
        <v>3647.51001</v>
      </c>
      <c r="H447" s="1">
        <v>3834320000</v>
      </c>
      <c r="I447" s="1">
        <f t="shared" si="6"/>
        <v>-7.4924634881656073E-3</v>
      </c>
    </row>
    <row r="448" spans="1:9" x14ac:dyDescent="0.35">
      <c r="A448" s="1">
        <v>446</v>
      </c>
      <c r="B448" s="1" t="s">
        <v>455</v>
      </c>
      <c r="C448" s="1">
        <v>3588.8400879999999</v>
      </c>
      <c r="D448" s="1">
        <v>3588.8400879999999</v>
      </c>
      <c r="E448" s="1">
        <v>3640.6599120000001</v>
      </c>
      <c r="F448" s="1">
        <v>3568.4499510000001</v>
      </c>
      <c r="G448" s="1">
        <v>3595.860107</v>
      </c>
      <c r="H448" s="1">
        <v>4759030000</v>
      </c>
      <c r="I448" s="1">
        <f t="shared" si="6"/>
        <v>-6.5191758635008744E-3</v>
      </c>
    </row>
    <row r="449" spans="1:9" x14ac:dyDescent="0.35">
      <c r="A449" s="1">
        <v>447</v>
      </c>
      <c r="B449" s="1" t="s">
        <v>456</v>
      </c>
      <c r="C449" s="1">
        <v>3577.030029</v>
      </c>
      <c r="D449" s="1">
        <v>3577.030029</v>
      </c>
      <c r="E449" s="1">
        <v>3608.3400879999999</v>
      </c>
      <c r="F449" s="1">
        <v>3573.860107</v>
      </c>
      <c r="G449" s="1">
        <v>3590.830078</v>
      </c>
      <c r="H449" s="1">
        <v>4006830000</v>
      </c>
      <c r="I449" s="1">
        <f t="shared" si="6"/>
        <v>-3.290773261112745E-3</v>
      </c>
    </row>
    <row r="450" spans="1:9" x14ac:dyDescent="0.35">
      <c r="A450" s="1">
        <v>448</v>
      </c>
      <c r="B450" s="1" t="s">
        <v>457</v>
      </c>
      <c r="C450" s="1">
        <v>3669.9099120000001</v>
      </c>
      <c r="D450" s="1">
        <v>3669.9099120000001</v>
      </c>
      <c r="E450" s="1">
        <v>3685.4099120000001</v>
      </c>
      <c r="F450" s="1">
        <v>3491.580078</v>
      </c>
      <c r="G450" s="1">
        <v>3520.3701169999999</v>
      </c>
      <c r="H450" s="1">
        <v>5021680000</v>
      </c>
      <c r="I450" s="1">
        <f t="shared" si="6"/>
        <v>2.5965642515437787E-2</v>
      </c>
    </row>
    <row r="451" spans="1:9" x14ac:dyDescent="0.35">
      <c r="A451" s="1">
        <v>449</v>
      </c>
      <c r="B451" s="1" t="s">
        <v>458</v>
      </c>
      <c r="C451" s="1">
        <v>3583.070068</v>
      </c>
      <c r="D451" s="1">
        <v>3583.070068</v>
      </c>
      <c r="E451" s="1">
        <v>3712</v>
      </c>
      <c r="F451" s="1">
        <v>3579.679932</v>
      </c>
      <c r="G451" s="1">
        <v>3690.4099120000001</v>
      </c>
      <c r="H451" s="1">
        <v>4243030000</v>
      </c>
      <c r="I451" s="1">
        <f t="shared" si="6"/>
        <v>-2.3662663684481222E-2</v>
      </c>
    </row>
    <row r="452" spans="1:9" x14ac:dyDescent="0.35">
      <c r="A452" s="1">
        <v>450</v>
      </c>
      <c r="B452" s="1" t="s">
        <v>459</v>
      </c>
      <c r="C452" s="1">
        <v>3677.9499510000001</v>
      </c>
      <c r="D452" s="1">
        <v>3677.9499510000001</v>
      </c>
      <c r="E452" s="1">
        <v>3689.7299800000001</v>
      </c>
      <c r="F452" s="1">
        <v>3638.6499020000001</v>
      </c>
      <c r="G452" s="1">
        <v>3638.6499020000001</v>
      </c>
      <c r="H452" s="1">
        <v>4352780000</v>
      </c>
      <c r="I452" s="1">
        <f t="shared" ref="I452:I515" si="7">(C452-C451)/C451</f>
        <v>2.6480052357156433E-2</v>
      </c>
    </row>
    <row r="453" spans="1:9" x14ac:dyDescent="0.35">
      <c r="A453" s="1">
        <v>451</v>
      </c>
      <c r="B453" s="1" t="s">
        <v>460</v>
      </c>
      <c r="C453" s="1">
        <v>3719.9799800000001</v>
      </c>
      <c r="D453" s="1">
        <v>3719.9799800000001</v>
      </c>
      <c r="E453" s="1">
        <v>3762.790039</v>
      </c>
      <c r="F453" s="1">
        <v>3686.530029</v>
      </c>
      <c r="G453" s="1">
        <v>3746.26001</v>
      </c>
      <c r="H453" s="1">
        <v>4483740000</v>
      </c>
      <c r="I453" s="1">
        <f t="shared" si="7"/>
        <v>1.1427569586305121E-2</v>
      </c>
    </row>
    <row r="454" spans="1:9" x14ac:dyDescent="0.35">
      <c r="A454" s="1">
        <v>452</v>
      </c>
      <c r="B454" s="1" t="s">
        <v>461</v>
      </c>
      <c r="C454" s="1">
        <v>3695.1599120000001</v>
      </c>
      <c r="D454" s="1">
        <v>3695.1599120000001</v>
      </c>
      <c r="E454" s="1">
        <v>3728.580078</v>
      </c>
      <c r="F454" s="1">
        <v>3666.51001</v>
      </c>
      <c r="G454" s="1">
        <v>3703.110107</v>
      </c>
      <c r="H454" s="1">
        <v>4223800000</v>
      </c>
      <c r="I454" s="1">
        <f t="shared" si="7"/>
        <v>-6.6720971976843785E-3</v>
      </c>
    </row>
    <row r="455" spans="1:9" x14ac:dyDescent="0.35">
      <c r="A455" s="1">
        <v>453</v>
      </c>
      <c r="B455" s="1" t="s">
        <v>462</v>
      </c>
      <c r="C455" s="1">
        <v>3665.780029</v>
      </c>
      <c r="D455" s="1">
        <v>3665.780029</v>
      </c>
      <c r="E455" s="1">
        <v>3736</v>
      </c>
      <c r="F455" s="1">
        <v>3656.4399410000001</v>
      </c>
      <c r="G455" s="1">
        <v>3689.0500489999999</v>
      </c>
      <c r="H455" s="1">
        <v>4496620000</v>
      </c>
      <c r="I455" s="1">
        <f t="shared" si="7"/>
        <v>-7.9509097575423317E-3</v>
      </c>
    </row>
    <row r="456" spans="1:9" x14ac:dyDescent="0.35">
      <c r="A456" s="1">
        <v>454</v>
      </c>
      <c r="B456" s="1" t="s">
        <v>463</v>
      </c>
      <c r="C456" s="1">
        <v>3752.75</v>
      </c>
      <c r="D456" s="1">
        <v>3752.75</v>
      </c>
      <c r="E456" s="1">
        <v>3757.889893</v>
      </c>
      <c r="F456" s="1">
        <v>3647.419922</v>
      </c>
      <c r="G456" s="1">
        <v>3657.1000979999999</v>
      </c>
      <c r="H456" s="1">
        <v>5078020000</v>
      </c>
      <c r="I456" s="1">
        <f t="shared" si="7"/>
        <v>2.3724819905171671E-2</v>
      </c>
    </row>
    <row r="457" spans="1:9" x14ac:dyDescent="0.35">
      <c r="A457" s="1">
        <v>455</v>
      </c>
      <c r="B457" s="1" t="s">
        <v>464</v>
      </c>
      <c r="C457" s="1">
        <v>3797.3400879999999</v>
      </c>
      <c r="D457" s="1">
        <v>3797.3400879999999</v>
      </c>
      <c r="E457" s="1">
        <v>3810.73999</v>
      </c>
      <c r="F457" s="1">
        <v>3741.6499020000001</v>
      </c>
      <c r="G457" s="1">
        <v>3762.01001</v>
      </c>
      <c r="H457" s="1">
        <v>4747930000</v>
      </c>
      <c r="I457" s="1">
        <f t="shared" si="7"/>
        <v>1.1881976683765219E-2</v>
      </c>
    </row>
    <row r="458" spans="1:9" x14ac:dyDescent="0.35">
      <c r="A458" s="1">
        <v>456</v>
      </c>
      <c r="B458" s="1" t="s">
        <v>465</v>
      </c>
      <c r="C458" s="1">
        <v>3859.110107</v>
      </c>
      <c r="D458" s="1">
        <v>3859.110107</v>
      </c>
      <c r="E458" s="1">
        <v>3862.8500979999999</v>
      </c>
      <c r="F458" s="1">
        <v>3799.4399410000001</v>
      </c>
      <c r="G458" s="1">
        <v>3799.4399410000001</v>
      </c>
      <c r="H458" s="1">
        <v>4843120000</v>
      </c>
      <c r="I458" s="1">
        <f t="shared" si="7"/>
        <v>1.6266654439300789E-2</v>
      </c>
    </row>
    <row r="459" spans="1:9" x14ac:dyDescent="0.35">
      <c r="A459" s="1">
        <v>457</v>
      </c>
      <c r="B459" s="1" t="s">
        <v>466</v>
      </c>
      <c r="C459" s="1">
        <v>3830.6000979999999</v>
      </c>
      <c r="D459" s="1">
        <v>3830.6000979999999</v>
      </c>
      <c r="E459" s="1">
        <v>3886.1499020000001</v>
      </c>
      <c r="F459" s="1">
        <v>3824.070068</v>
      </c>
      <c r="G459" s="1">
        <v>3825.969971</v>
      </c>
      <c r="H459" s="1">
        <v>4817310000</v>
      </c>
      <c r="I459" s="1">
        <f t="shared" si="7"/>
        <v>-7.3877158747779883E-3</v>
      </c>
    </row>
    <row r="460" spans="1:9" x14ac:dyDescent="0.35">
      <c r="A460" s="1">
        <v>458</v>
      </c>
      <c r="B460" s="1" t="s">
        <v>467</v>
      </c>
      <c r="C460" s="1">
        <v>3807.3000489999999</v>
      </c>
      <c r="D460" s="1">
        <v>3807.3000489999999</v>
      </c>
      <c r="E460" s="1">
        <v>3859.9499510000001</v>
      </c>
      <c r="F460" s="1">
        <v>3803.790039</v>
      </c>
      <c r="G460" s="1">
        <v>3834.6899410000001</v>
      </c>
      <c r="H460" s="1">
        <v>4687320000</v>
      </c>
      <c r="I460" s="1">
        <f t="shared" si="7"/>
        <v>-6.0826106625343551E-3</v>
      </c>
    </row>
    <row r="461" spans="1:9" x14ac:dyDescent="0.35">
      <c r="A461" s="1">
        <v>459</v>
      </c>
      <c r="B461" s="1" t="s">
        <v>468</v>
      </c>
      <c r="C461" s="1">
        <v>3901.0600589999999</v>
      </c>
      <c r="D461" s="1">
        <v>3901.0600589999999</v>
      </c>
      <c r="E461" s="1">
        <v>3905.419922</v>
      </c>
      <c r="F461" s="1">
        <v>3808.26001</v>
      </c>
      <c r="G461" s="1">
        <v>3808.26001</v>
      </c>
      <c r="H461" s="1">
        <v>4459410000</v>
      </c>
      <c r="I461" s="1">
        <f t="shared" si="7"/>
        <v>2.4626377956375237E-2</v>
      </c>
    </row>
    <row r="462" spans="1:9" x14ac:dyDescent="0.35">
      <c r="A462" s="1">
        <v>460</v>
      </c>
      <c r="B462" s="1" t="s">
        <v>469</v>
      </c>
      <c r="C462" s="1">
        <v>3871.9799800000001</v>
      </c>
      <c r="D462" s="1">
        <v>3871.9799800000001</v>
      </c>
      <c r="E462" s="1">
        <v>3893.7299800000001</v>
      </c>
      <c r="F462" s="1">
        <v>3863.179932</v>
      </c>
      <c r="G462" s="1">
        <v>3881.8500979999999</v>
      </c>
      <c r="H462" s="1">
        <v>4820620000</v>
      </c>
      <c r="I462" s="1">
        <f t="shared" si="7"/>
        <v>-7.4544043311792147E-3</v>
      </c>
    </row>
    <row r="463" spans="1:9" x14ac:dyDescent="0.35">
      <c r="A463" s="1">
        <v>461</v>
      </c>
      <c r="B463" s="1" t="s">
        <v>470</v>
      </c>
      <c r="C463" s="1">
        <v>3856.1000979999999</v>
      </c>
      <c r="D463" s="1">
        <v>3856.1000979999999</v>
      </c>
      <c r="E463" s="1">
        <v>3911.790039</v>
      </c>
      <c r="F463" s="1">
        <v>3843.8000489999999</v>
      </c>
      <c r="G463" s="1">
        <v>3901.790039</v>
      </c>
      <c r="H463" s="1">
        <v>4481210000</v>
      </c>
      <c r="I463" s="1">
        <f t="shared" si="7"/>
        <v>-4.1012303994402829E-3</v>
      </c>
    </row>
    <row r="464" spans="1:9" x14ac:dyDescent="0.35">
      <c r="A464" s="1">
        <v>462</v>
      </c>
      <c r="B464" s="1" t="s">
        <v>471</v>
      </c>
      <c r="C464" s="1">
        <v>3759.6899410000001</v>
      </c>
      <c r="D464" s="1">
        <v>3759.6899410000001</v>
      </c>
      <c r="E464" s="1">
        <v>3894.4399410000001</v>
      </c>
      <c r="F464" s="1">
        <v>3758.679932</v>
      </c>
      <c r="G464" s="1">
        <v>3852.8999020000001</v>
      </c>
      <c r="H464" s="1">
        <v>4899000000</v>
      </c>
      <c r="I464" s="1">
        <f t="shared" si="7"/>
        <v>-2.5001985049611077E-2</v>
      </c>
    </row>
    <row r="465" spans="1:9" x14ac:dyDescent="0.35">
      <c r="A465" s="1">
        <v>463</v>
      </c>
      <c r="B465" s="1" t="s">
        <v>472</v>
      </c>
      <c r="C465" s="1">
        <v>3719.889893</v>
      </c>
      <c r="D465" s="1">
        <v>3719.889893</v>
      </c>
      <c r="E465" s="1">
        <v>3750.5900879999999</v>
      </c>
      <c r="F465" s="1">
        <v>3698.1499020000001</v>
      </c>
      <c r="G465" s="1">
        <v>3733.25</v>
      </c>
      <c r="H465" s="1">
        <v>4625290000</v>
      </c>
      <c r="I465" s="1">
        <f t="shared" si="7"/>
        <v>-1.0585992096309428E-2</v>
      </c>
    </row>
    <row r="466" spans="1:9" x14ac:dyDescent="0.35">
      <c r="A466" s="1">
        <v>464</v>
      </c>
      <c r="B466" s="1" t="s">
        <v>473</v>
      </c>
      <c r="C466" s="1">
        <v>3770.5500489999999</v>
      </c>
      <c r="D466" s="1">
        <v>3770.5500489999999</v>
      </c>
      <c r="E466" s="1">
        <v>3796.3400879999999</v>
      </c>
      <c r="F466" s="1">
        <v>3708.8400879999999</v>
      </c>
      <c r="G466" s="1">
        <v>3766.9799800000001</v>
      </c>
      <c r="H466" s="1">
        <v>5400180000</v>
      </c>
      <c r="I466" s="1">
        <f t="shared" si="7"/>
        <v>1.3618724601319783E-2</v>
      </c>
    </row>
    <row r="467" spans="1:9" x14ac:dyDescent="0.35">
      <c r="A467" s="1">
        <v>465</v>
      </c>
      <c r="B467" s="1" t="s">
        <v>474</v>
      </c>
      <c r="C467" s="1">
        <v>3806.8000489999999</v>
      </c>
      <c r="D467" s="1">
        <v>3806.8000489999999</v>
      </c>
      <c r="E467" s="1">
        <v>3813.9499510000001</v>
      </c>
      <c r="F467" s="1">
        <v>3764.6999510000001</v>
      </c>
      <c r="G467" s="1">
        <v>3780.709961</v>
      </c>
      <c r="H467" s="1">
        <v>4341620000</v>
      </c>
      <c r="I467" s="1">
        <f t="shared" si="7"/>
        <v>9.6139819201217034E-3</v>
      </c>
    </row>
    <row r="468" spans="1:9" x14ac:dyDescent="0.35">
      <c r="A468" s="1">
        <v>466</v>
      </c>
      <c r="B468" s="1" t="s">
        <v>475</v>
      </c>
      <c r="C468" s="1">
        <v>3828.110107</v>
      </c>
      <c r="D468" s="1">
        <v>3828.110107</v>
      </c>
      <c r="E468" s="1">
        <v>3859.3999020000001</v>
      </c>
      <c r="F468" s="1">
        <v>3786.280029</v>
      </c>
      <c r="G468" s="1">
        <v>3817.0200199999999</v>
      </c>
      <c r="H468" s="1">
        <v>4607640000</v>
      </c>
      <c r="I468" s="1">
        <f t="shared" si="7"/>
        <v>5.5978926462391734E-3</v>
      </c>
    </row>
    <row r="469" spans="1:9" x14ac:dyDescent="0.35">
      <c r="A469" s="1">
        <v>467</v>
      </c>
      <c r="B469" s="1" t="s">
        <v>476</v>
      </c>
      <c r="C469" s="1">
        <v>3748.570068</v>
      </c>
      <c r="D469" s="1">
        <v>3748.570068</v>
      </c>
      <c r="E469" s="1">
        <v>3818.1999510000001</v>
      </c>
      <c r="F469" s="1">
        <v>3744.219971</v>
      </c>
      <c r="G469" s="1">
        <v>3810.9399410000001</v>
      </c>
      <c r="H469" s="1">
        <v>4645010000</v>
      </c>
      <c r="I469" s="1">
        <f t="shared" si="7"/>
        <v>-2.077788694075303E-2</v>
      </c>
    </row>
    <row r="470" spans="1:9" x14ac:dyDescent="0.35">
      <c r="A470" s="1">
        <v>468</v>
      </c>
      <c r="B470" s="1" t="s">
        <v>477</v>
      </c>
      <c r="C470" s="1">
        <v>3956.3701169999999</v>
      </c>
      <c r="D470" s="1">
        <v>3956.3701169999999</v>
      </c>
      <c r="E470" s="1">
        <v>3958.330078</v>
      </c>
      <c r="F470" s="1">
        <v>3859.889893</v>
      </c>
      <c r="G470" s="1">
        <v>3859.889893</v>
      </c>
      <c r="H470" s="1">
        <v>5781260000</v>
      </c>
      <c r="I470" s="1">
        <f t="shared" si="7"/>
        <v>5.5434484411510256E-2</v>
      </c>
    </row>
    <row r="471" spans="1:9" x14ac:dyDescent="0.35">
      <c r="A471" s="1">
        <v>469</v>
      </c>
      <c r="B471" s="1" t="s">
        <v>478</v>
      </c>
      <c r="C471" s="1">
        <v>3992.929932</v>
      </c>
      <c r="D471" s="1">
        <v>3992.929932</v>
      </c>
      <c r="E471" s="1">
        <v>4001.4799800000001</v>
      </c>
      <c r="F471" s="1">
        <v>3944.820068</v>
      </c>
      <c r="G471" s="1">
        <v>3963.719971</v>
      </c>
      <c r="H471" s="1">
        <v>5593310000</v>
      </c>
      <c r="I471" s="1">
        <f t="shared" si="7"/>
        <v>9.2407469268123762E-3</v>
      </c>
    </row>
    <row r="472" spans="1:9" x14ac:dyDescent="0.35">
      <c r="A472" s="1">
        <v>470</v>
      </c>
      <c r="B472" s="1" t="s">
        <v>479</v>
      </c>
      <c r="C472" s="1">
        <v>3957.25</v>
      </c>
      <c r="D472" s="1">
        <v>3957.25</v>
      </c>
      <c r="E472" s="1">
        <v>4008.969971</v>
      </c>
      <c r="F472" s="1">
        <v>3956.3999020000001</v>
      </c>
      <c r="G472" s="1">
        <v>3977.969971</v>
      </c>
      <c r="H472" s="1">
        <v>4561930000</v>
      </c>
      <c r="I472" s="1">
        <f t="shared" si="7"/>
        <v>-8.935777137999628E-3</v>
      </c>
    </row>
    <row r="473" spans="1:9" x14ac:dyDescent="0.35">
      <c r="A473" s="1">
        <v>471</v>
      </c>
      <c r="B473" s="1" t="s">
        <v>480</v>
      </c>
      <c r="C473" s="1">
        <v>3991.7299800000001</v>
      </c>
      <c r="D473" s="1">
        <v>3991.7299800000001</v>
      </c>
      <c r="E473" s="1">
        <v>4028.8400879999999</v>
      </c>
      <c r="F473" s="1">
        <v>3953.169922</v>
      </c>
      <c r="G473" s="1">
        <v>4006.4099120000001</v>
      </c>
      <c r="H473" s="1">
        <v>5015310000</v>
      </c>
      <c r="I473" s="1">
        <f t="shared" si="7"/>
        <v>8.7131164318655814E-3</v>
      </c>
    </row>
    <row r="474" spans="1:9" x14ac:dyDescent="0.35">
      <c r="A474" s="1">
        <v>472</v>
      </c>
      <c r="B474" s="1" t="s">
        <v>481</v>
      </c>
      <c r="C474" s="1">
        <v>3958.790039</v>
      </c>
      <c r="D474" s="1">
        <v>3958.790039</v>
      </c>
      <c r="E474" s="1">
        <v>3983.0900879999999</v>
      </c>
      <c r="F474" s="1">
        <v>3954.3400879999999</v>
      </c>
      <c r="G474" s="1">
        <v>3976.820068</v>
      </c>
      <c r="H474" s="1">
        <v>4165320000</v>
      </c>
      <c r="I474" s="1">
        <f t="shared" si="7"/>
        <v>-8.2520463971864372E-3</v>
      </c>
    </row>
    <row r="475" spans="1:9" x14ac:dyDescent="0.35">
      <c r="A475" s="1">
        <v>473</v>
      </c>
      <c r="B475" s="1" t="s">
        <v>482</v>
      </c>
      <c r="C475" s="1">
        <v>3946.5600589999999</v>
      </c>
      <c r="D475" s="1">
        <v>3946.5600589999999</v>
      </c>
      <c r="E475" s="1">
        <v>3954.330078</v>
      </c>
      <c r="F475" s="1">
        <v>3906.540039</v>
      </c>
      <c r="G475" s="1">
        <v>3919.26001</v>
      </c>
      <c r="H475" s="1">
        <v>4051780000</v>
      </c>
      <c r="I475" s="1">
        <f t="shared" si="7"/>
        <v>-3.0893227171727932E-3</v>
      </c>
    </row>
    <row r="476" spans="1:9" x14ac:dyDescent="0.35">
      <c r="A476" s="1">
        <v>474</v>
      </c>
      <c r="B476" s="1" t="s">
        <v>483</v>
      </c>
      <c r="C476" s="1">
        <v>3965.3400879999999</v>
      </c>
      <c r="D476" s="1">
        <v>3965.3400879999999</v>
      </c>
      <c r="E476" s="1">
        <v>3979.889893</v>
      </c>
      <c r="F476" s="1">
        <v>3935.9799800000001</v>
      </c>
      <c r="G476" s="1">
        <v>3966.389893</v>
      </c>
      <c r="H476" s="1">
        <v>4037360000</v>
      </c>
      <c r="I476" s="1">
        <f t="shared" si="7"/>
        <v>4.7585818331011527E-3</v>
      </c>
    </row>
    <row r="477" spans="1:9" x14ac:dyDescent="0.35">
      <c r="A477" s="1">
        <v>475</v>
      </c>
      <c r="B477" s="1" t="s">
        <v>484</v>
      </c>
      <c r="C477" s="1">
        <v>3949.9399410000001</v>
      </c>
      <c r="D477" s="1">
        <v>3949.9399410000001</v>
      </c>
      <c r="E477" s="1">
        <v>3962</v>
      </c>
      <c r="F477" s="1">
        <v>3933.3400879999999</v>
      </c>
      <c r="G477" s="1">
        <v>3956.2299800000001</v>
      </c>
      <c r="H477" s="1">
        <v>3850690000</v>
      </c>
      <c r="I477" s="1">
        <f t="shared" si="7"/>
        <v>-3.8836888282556391E-3</v>
      </c>
    </row>
    <row r="478" spans="1:9" x14ac:dyDescent="0.35">
      <c r="A478" s="1">
        <v>476</v>
      </c>
      <c r="B478" s="1" t="s">
        <v>485</v>
      </c>
      <c r="C478" s="1">
        <v>4003.580078</v>
      </c>
      <c r="D478" s="1">
        <v>4003.580078</v>
      </c>
      <c r="E478" s="1">
        <v>4005.8798830000001</v>
      </c>
      <c r="F478" s="1">
        <v>3956.8798830000001</v>
      </c>
      <c r="G478" s="1">
        <v>3965.51001</v>
      </c>
      <c r="H478" s="1">
        <v>3887990000</v>
      </c>
      <c r="I478" s="1">
        <f t="shared" si="7"/>
        <v>1.3579988000126371E-2</v>
      </c>
    </row>
    <row r="479" spans="1:9" x14ac:dyDescent="0.35">
      <c r="A479" s="1">
        <v>477</v>
      </c>
      <c r="B479" s="1" t="s">
        <v>486</v>
      </c>
      <c r="C479" s="1">
        <v>4027.26001</v>
      </c>
      <c r="D479" s="1">
        <v>4027.26001</v>
      </c>
      <c r="E479" s="1">
        <v>4033.780029</v>
      </c>
      <c r="F479" s="1">
        <v>3998.6599120000001</v>
      </c>
      <c r="G479" s="1">
        <v>4000.3000489999999</v>
      </c>
      <c r="H479" s="1">
        <v>3279720000</v>
      </c>
      <c r="I479" s="1">
        <f t="shared" si="7"/>
        <v>5.9146892377957344E-3</v>
      </c>
    </row>
    <row r="480" spans="1:9" x14ac:dyDescent="0.35">
      <c r="A480" s="1">
        <v>478</v>
      </c>
      <c r="B480" s="1" t="s">
        <v>487</v>
      </c>
      <c r="C480" s="1">
        <v>4026.1201169999999</v>
      </c>
      <c r="D480" s="1">
        <v>4026.1201169999999</v>
      </c>
      <c r="E480" s="1">
        <v>4034.0200199999999</v>
      </c>
      <c r="F480" s="1">
        <v>4020.76001</v>
      </c>
      <c r="G480" s="1">
        <v>4023.3400879999999</v>
      </c>
      <c r="H480" s="1">
        <v>1706460000</v>
      </c>
      <c r="I480" s="1">
        <f t="shared" si="7"/>
        <v>-2.8304430237173316E-4</v>
      </c>
    </row>
    <row r="481" spans="1:9" x14ac:dyDescent="0.35">
      <c r="A481" s="1">
        <v>479</v>
      </c>
      <c r="B481" s="1" t="s">
        <v>488</v>
      </c>
      <c r="C481" s="1">
        <v>3963.9399410000001</v>
      </c>
      <c r="D481" s="1">
        <v>3963.9399410000001</v>
      </c>
      <c r="E481" s="1">
        <v>4012.2700199999999</v>
      </c>
      <c r="F481" s="1">
        <v>3955.7700199999999</v>
      </c>
      <c r="G481" s="1">
        <v>4005.360107</v>
      </c>
      <c r="H481" s="1">
        <v>3615430000</v>
      </c>
      <c r="I481" s="1">
        <f t="shared" si="7"/>
        <v>-1.5444192968175134E-2</v>
      </c>
    </row>
    <row r="482" spans="1:9" x14ac:dyDescent="0.35">
      <c r="A482" s="1">
        <v>480</v>
      </c>
      <c r="B482" s="1" t="s">
        <v>489</v>
      </c>
      <c r="C482" s="1">
        <v>3957.6298830000001</v>
      </c>
      <c r="D482" s="1">
        <v>3957.6298830000001</v>
      </c>
      <c r="E482" s="1">
        <v>3976.7700199999999</v>
      </c>
      <c r="F482" s="1">
        <v>3937.6499020000001</v>
      </c>
      <c r="G482" s="1">
        <v>3964.1899410000001</v>
      </c>
      <c r="H482" s="1">
        <v>3546040000</v>
      </c>
      <c r="I482" s="1">
        <f t="shared" si="7"/>
        <v>-1.5918651881512012E-3</v>
      </c>
    </row>
    <row r="483" spans="1:9" x14ac:dyDescent="0.35">
      <c r="A483" s="1">
        <v>481</v>
      </c>
      <c r="B483" s="1" t="s">
        <v>490</v>
      </c>
      <c r="C483" s="1">
        <v>4080.110107</v>
      </c>
      <c r="D483" s="1">
        <v>4080.110107</v>
      </c>
      <c r="E483" s="1">
        <v>4080.110107</v>
      </c>
      <c r="F483" s="1">
        <v>3938.580078</v>
      </c>
      <c r="G483" s="1">
        <v>3957.179932</v>
      </c>
      <c r="H483" s="1">
        <v>6579360000</v>
      </c>
      <c r="I483" s="1">
        <f t="shared" si="7"/>
        <v>3.0947872241948074E-2</v>
      </c>
    </row>
    <row r="484" spans="1:9" x14ac:dyDescent="0.35">
      <c r="A484" s="1">
        <v>482</v>
      </c>
      <c r="B484" s="1" t="s">
        <v>491</v>
      </c>
      <c r="C484" s="1">
        <v>4076.570068</v>
      </c>
      <c r="D484" s="1">
        <v>4076.570068</v>
      </c>
      <c r="E484" s="1">
        <v>4100.5097660000001</v>
      </c>
      <c r="F484" s="1">
        <v>4050.8701169999999</v>
      </c>
      <c r="G484" s="1">
        <v>4087.139893</v>
      </c>
      <c r="H484" s="1">
        <v>4527130000</v>
      </c>
      <c r="I484" s="1">
        <f t="shared" si="7"/>
        <v>-8.6763320282130286E-4</v>
      </c>
    </row>
    <row r="485" spans="1:9" x14ac:dyDescent="0.35">
      <c r="A485" s="1">
        <v>483</v>
      </c>
      <c r="B485" s="1" t="s">
        <v>492</v>
      </c>
      <c r="C485" s="1">
        <v>4071.6999510000001</v>
      </c>
      <c r="D485" s="1">
        <v>4071.6999510000001</v>
      </c>
      <c r="E485" s="1">
        <v>4080.4799800000001</v>
      </c>
      <c r="F485" s="1">
        <v>4026.6298830000001</v>
      </c>
      <c r="G485" s="1">
        <v>4040.169922</v>
      </c>
      <c r="H485" s="1">
        <v>4012620000</v>
      </c>
      <c r="I485" s="1">
        <f t="shared" si="7"/>
        <v>-1.1946604421763951E-3</v>
      </c>
    </row>
    <row r="486" spans="1:9" x14ac:dyDescent="0.35">
      <c r="A486" s="1">
        <v>484</v>
      </c>
      <c r="B486" s="1" t="s">
        <v>493</v>
      </c>
      <c r="C486" s="1">
        <v>3998.8400879999999</v>
      </c>
      <c r="D486" s="1">
        <v>3998.8400879999999</v>
      </c>
      <c r="E486" s="1">
        <v>4052.4499510000001</v>
      </c>
      <c r="F486" s="1">
        <v>3984.48999</v>
      </c>
      <c r="G486" s="1">
        <v>4052.0200199999999</v>
      </c>
      <c r="H486" s="1">
        <v>4280820000</v>
      </c>
      <c r="I486" s="1">
        <f t="shared" si="7"/>
        <v>-1.7894212215245852E-2</v>
      </c>
    </row>
    <row r="487" spans="1:9" x14ac:dyDescent="0.35">
      <c r="A487" s="1">
        <v>485</v>
      </c>
      <c r="B487" s="1" t="s">
        <v>494</v>
      </c>
      <c r="C487" s="1">
        <v>3941.26001</v>
      </c>
      <c r="D487" s="1">
        <v>3941.26001</v>
      </c>
      <c r="E487" s="1">
        <v>4001.51001</v>
      </c>
      <c r="F487" s="1">
        <v>3918.389893</v>
      </c>
      <c r="G487" s="1">
        <v>3996.6298830000001</v>
      </c>
      <c r="H487" s="1">
        <v>4368380000</v>
      </c>
      <c r="I487" s="1">
        <f t="shared" si="7"/>
        <v>-1.4399194949753129E-2</v>
      </c>
    </row>
    <row r="488" spans="1:9" x14ac:dyDescent="0.35">
      <c r="A488" s="1">
        <v>486</v>
      </c>
      <c r="B488" s="1" t="s">
        <v>495</v>
      </c>
      <c r="C488" s="1">
        <v>3933.919922</v>
      </c>
      <c r="D488" s="1">
        <v>3933.919922</v>
      </c>
      <c r="E488" s="1">
        <v>3957.570068</v>
      </c>
      <c r="F488" s="1">
        <v>3922.679932</v>
      </c>
      <c r="G488" s="1">
        <v>3933.280029</v>
      </c>
      <c r="H488" s="1">
        <v>4118050000</v>
      </c>
      <c r="I488" s="1">
        <f t="shared" si="7"/>
        <v>-1.8623709121895573E-3</v>
      </c>
    </row>
    <row r="489" spans="1:9" x14ac:dyDescent="0.35">
      <c r="A489" s="1">
        <v>487</v>
      </c>
      <c r="B489" s="1" t="s">
        <v>496</v>
      </c>
      <c r="C489" s="1">
        <v>3963.51001</v>
      </c>
      <c r="D489" s="1">
        <v>3963.51001</v>
      </c>
      <c r="E489" s="1">
        <v>3974.1899410000001</v>
      </c>
      <c r="F489" s="1">
        <v>3935.830078</v>
      </c>
      <c r="G489" s="1">
        <v>3947.790039</v>
      </c>
      <c r="H489" s="1">
        <v>4006900000</v>
      </c>
      <c r="I489" s="1">
        <f t="shared" si="7"/>
        <v>7.521781985068054E-3</v>
      </c>
    </row>
    <row r="490" spans="1:9" x14ac:dyDescent="0.35">
      <c r="A490" s="1">
        <v>488</v>
      </c>
      <c r="B490" s="1" t="s">
        <v>497</v>
      </c>
      <c r="C490" s="1">
        <v>3934.3798830000001</v>
      </c>
      <c r="D490" s="1">
        <v>3934.3798830000001</v>
      </c>
      <c r="E490" s="1">
        <v>3977.0200199999999</v>
      </c>
      <c r="F490" s="1">
        <v>3933.040039</v>
      </c>
      <c r="G490" s="1">
        <v>3954.169922</v>
      </c>
      <c r="H490" s="1">
        <v>3888260000</v>
      </c>
      <c r="I490" s="1">
        <f t="shared" si="7"/>
        <v>-7.3495782592964617E-3</v>
      </c>
    </row>
    <row r="491" spans="1:9" x14ac:dyDescent="0.35">
      <c r="A491" s="1">
        <v>489</v>
      </c>
      <c r="B491" s="1" t="s">
        <v>498</v>
      </c>
      <c r="C491" s="1">
        <v>3990.5600589999999</v>
      </c>
      <c r="D491" s="1">
        <v>3990.5600589999999</v>
      </c>
      <c r="E491" s="1">
        <v>3990.709961</v>
      </c>
      <c r="F491" s="1">
        <v>3935.3000489999999</v>
      </c>
      <c r="G491" s="1">
        <v>3939.290039</v>
      </c>
      <c r="H491" s="1">
        <v>3904130000</v>
      </c>
      <c r="I491" s="1">
        <f t="shared" si="7"/>
        <v>1.4279296273028409E-2</v>
      </c>
    </row>
    <row r="492" spans="1:9" x14ac:dyDescent="0.35">
      <c r="A492" s="1">
        <v>490</v>
      </c>
      <c r="B492" s="1" t="s">
        <v>499</v>
      </c>
      <c r="C492" s="1">
        <v>4019.6499020000001</v>
      </c>
      <c r="D492" s="1">
        <v>4019.6499020000001</v>
      </c>
      <c r="E492" s="1">
        <v>4100.9599609999996</v>
      </c>
      <c r="F492" s="1">
        <v>3993.030029</v>
      </c>
      <c r="G492" s="1">
        <v>4069.3798830000001</v>
      </c>
      <c r="H492" s="1">
        <v>5079360000</v>
      </c>
      <c r="I492" s="1">
        <f t="shared" si="7"/>
        <v>7.2896642501077569E-3</v>
      </c>
    </row>
    <row r="493" spans="1:9" x14ac:dyDescent="0.35">
      <c r="A493" s="1">
        <v>491</v>
      </c>
      <c r="B493" s="1" t="s">
        <v>500</v>
      </c>
      <c r="C493" s="1">
        <v>3995.320068</v>
      </c>
      <c r="D493" s="1">
        <v>3995.320068</v>
      </c>
      <c r="E493" s="1">
        <v>4053.76001</v>
      </c>
      <c r="F493" s="1">
        <v>3965.6499020000001</v>
      </c>
      <c r="G493" s="1">
        <v>4015.540039</v>
      </c>
      <c r="H493" s="1">
        <v>4472340000</v>
      </c>
      <c r="I493" s="1">
        <f t="shared" si="7"/>
        <v>-6.052724638505127E-3</v>
      </c>
    </row>
    <row r="494" spans="1:9" x14ac:dyDescent="0.35">
      <c r="A494" s="1">
        <v>492</v>
      </c>
      <c r="B494" s="1" t="s">
        <v>501</v>
      </c>
      <c r="C494" s="1">
        <v>3895.75</v>
      </c>
      <c r="D494" s="1">
        <v>3895.75</v>
      </c>
      <c r="E494" s="1">
        <v>3958.3701169999999</v>
      </c>
      <c r="F494" s="1">
        <v>3879.4499510000001</v>
      </c>
      <c r="G494" s="1">
        <v>3958.3701169999999</v>
      </c>
      <c r="H494" s="1">
        <v>4493900000</v>
      </c>
      <c r="I494" s="1">
        <f t="shared" si="7"/>
        <v>-2.4921674936006652E-2</v>
      </c>
    </row>
    <row r="495" spans="1:9" x14ac:dyDescent="0.35">
      <c r="A495" s="1">
        <v>493</v>
      </c>
      <c r="B495" s="1" t="s">
        <v>502</v>
      </c>
      <c r="C495" s="1">
        <v>3852.360107</v>
      </c>
      <c r="D495" s="1">
        <v>3852.360107</v>
      </c>
      <c r="E495" s="1">
        <v>3890.9099120000001</v>
      </c>
      <c r="F495" s="1">
        <v>3827.9099120000001</v>
      </c>
      <c r="G495" s="1">
        <v>3890.9099120000001</v>
      </c>
      <c r="H495" s="1">
        <v>7493660000</v>
      </c>
      <c r="I495" s="1">
        <f t="shared" si="7"/>
        <v>-1.1137750882371823E-2</v>
      </c>
    </row>
    <row r="496" spans="1:9" x14ac:dyDescent="0.35">
      <c r="A496" s="1">
        <v>494</v>
      </c>
      <c r="B496" s="1" t="s">
        <v>503</v>
      </c>
      <c r="C496" s="1">
        <v>3817.6599120000001</v>
      </c>
      <c r="D496" s="1">
        <v>3817.6599120000001</v>
      </c>
      <c r="E496" s="1">
        <v>3854.860107</v>
      </c>
      <c r="F496" s="1">
        <v>3800.040039</v>
      </c>
      <c r="G496" s="1">
        <v>3853.790039</v>
      </c>
      <c r="H496" s="1">
        <v>3969610000</v>
      </c>
      <c r="I496" s="1">
        <f t="shared" si="7"/>
        <v>-9.0075159217195937E-3</v>
      </c>
    </row>
    <row r="497" spans="1:9" x14ac:dyDescent="0.35">
      <c r="A497" s="1">
        <v>495</v>
      </c>
      <c r="B497" s="1" t="s">
        <v>504</v>
      </c>
      <c r="C497" s="1">
        <v>3821.6201169999999</v>
      </c>
      <c r="D497" s="1">
        <v>3821.6201169999999</v>
      </c>
      <c r="E497" s="1">
        <v>3838.23999</v>
      </c>
      <c r="F497" s="1">
        <v>3795.6201169999999</v>
      </c>
      <c r="G497" s="1">
        <v>3810.469971</v>
      </c>
      <c r="H497" s="1">
        <v>3985370000</v>
      </c>
      <c r="I497" s="1">
        <f t="shared" si="7"/>
        <v>1.0373383411004734E-3</v>
      </c>
    </row>
    <row r="498" spans="1:9" x14ac:dyDescent="0.35">
      <c r="A498" s="1">
        <v>496</v>
      </c>
      <c r="B498" s="1" t="s">
        <v>505</v>
      </c>
      <c r="C498" s="1">
        <v>3878.4399410000001</v>
      </c>
      <c r="D498" s="1">
        <v>3878.4399410000001</v>
      </c>
      <c r="E498" s="1">
        <v>3889.820068</v>
      </c>
      <c r="F498" s="1">
        <v>3839.48999</v>
      </c>
      <c r="G498" s="1">
        <v>3839.48999</v>
      </c>
      <c r="H498" s="1">
        <v>3775200000</v>
      </c>
      <c r="I498" s="1">
        <f t="shared" si="7"/>
        <v>1.4867993746224084E-2</v>
      </c>
    </row>
    <row r="499" spans="1:9" x14ac:dyDescent="0.35">
      <c r="A499" s="1">
        <v>497</v>
      </c>
      <c r="B499" s="1" t="s">
        <v>506</v>
      </c>
      <c r="C499" s="1">
        <v>3822.389893</v>
      </c>
      <c r="D499" s="1">
        <v>3822.389893</v>
      </c>
      <c r="E499" s="1">
        <v>3853.26001</v>
      </c>
      <c r="F499" s="1">
        <v>3764.48999</v>
      </c>
      <c r="G499" s="1">
        <v>3853.26001</v>
      </c>
      <c r="H499" s="1">
        <v>3956950000</v>
      </c>
      <c r="I499" s="1">
        <f t="shared" si="7"/>
        <v>-1.4451699356609957E-2</v>
      </c>
    </row>
    <row r="500" spans="1:9" x14ac:dyDescent="0.35">
      <c r="A500" s="1">
        <v>498</v>
      </c>
      <c r="B500" s="1" t="s">
        <v>507</v>
      </c>
      <c r="C500" s="1">
        <v>3844.820068</v>
      </c>
      <c r="D500" s="1">
        <v>3844.820068</v>
      </c>
      <c r="E500" s="1">
        <v>3845.8000489999999</v>
      </c>
      <c r="F500" s="1">
        <v>3797.01001</v>
      </c>
      <c r="G500" s="1">
        <v>3815.110107</v>
      </c>
      <c r="H500" s="1">
        <v>2819280000</v>
      </c>
      <c r="I500" s="1">
        <f t="shared" si="7"/>
        <v>5.8681023202464717E-3</v>
      </c>
    </row>
    <row r="501" spans="1:9" x14ac:dyDescent="0.35">
      <c r="A501" s="1">
        <v>499</v>
      </c>
      <c r="B501" s="1" t="s">
        <v>508</v>
      </c>
      <c r="C501" s="1">
        <v>3829.25</v>
      </c>
      <c r="D501" s="1">
        <v>3829.25</v>
      </c>
      <c r="E501" s="1">
        <v>3846.6499020000001</v>
      </c>
      <c r="F501" s="1">
        <v>3813.219971</v>
      </c>
      <c r="G501" s="1">
        <v>3843.3400879999999</v>
      </c>
      <c r="H501" s="1">
        <v>3030300000</v>
      </c>
      <c r="I501" s="1">
        <f t="shared" si="7"/>
        <v>-4.0496220173182867E-3</v>
      </c>
    </row>
    <row r="502" spans="1:9" x14ac:dyDescent="0.35">
      <c r="A502" s="1">
        <v>500</v>
      </c>
      <c r="B502" s="1" t="s">
        <v>509</v>
      </c>
      <c r="C502" s="1">
        <v>3783.219971</v>
      </c>
      <c r="D502" s="1">
        <v>3783.219971</v>
      </c>
      <c r="E502" s="1">
        <v>3848.320068</v>
      </c>
      <c r="F502" s="1">
        <v>3780.780029</v>
      </c>
      <c r="G502" s="1">
        <v>3829.5600589999999</v>
      </c>
      <c r="H502" s="1">
        <v>3083520000</v>
      </c>
      <c r="I502" s="1">
        <f t="shared" si="7"/>
        <v>-1.2020638245087161E-2</v>
      </c>
    </row>
    <row r="503" spans="1:9" x14ac:dyDescent="0.35">
      <c r="A503" s="1">
        <v>501</v>
      </c>
      <c r="B503" s="1" t="s">
        <v>510</v>
      </c>
      <c r="C503" s="1">
        <v>3849.280029</v>
      </c>
      <c r="D503" s="1">
        <v>3849.280029</v>
      </c>
      <c r="E503" s="1">
        <v>3858.1899410000001</v>
      </c>
      <c r="F503" s="1">
        <v>3805.4499510000001</v>
      </c>
      <c r="G503" s="1">
        <v>3805.4499510000001</v>
      </c>
      <c r="H503" s="1">
        <v>3003680000</v>
      </c>
      <c r="I503" s="1">
        <f t="shared" si="7"/>
        <v>1.7461331486505843E-2</v>
      </c>
    </row>
    <row r="504" spans="1:9" x14ac:dyDescent="0.35">
      <c r="A504" s="1">
        <v>502</v>
      </c>
      <c r="B504" s="1" t="s">
        <v>511</v>
      </c>
      <c r="C504" s="1">
        <v>3839.5</v>
      </c>
      <c r="D504" s="1">
        <v>3839.5</v>
      </c>
      <c r="E504" s="1">
        <v>3839.8500979999999</v>
      </c>
      <c r="F504" s="1">
        <v>3800.3400879999999</v>
      </c>
      <c r="G504" s="1">
        <v>3829.0600589999999</v>
      </c>
      <c r="H504" s="1">
        <v>2979870000</v>
      </c>
      <c r="I504" s="1">
        <f t="shared" si="7"/>
        <v>-2.540742405415684E-3</v>
      </c>
    </row>
    <row r="505" spans="1:9" x14ac:dyDescent="0.35">
      <c r="A505" s="1">
        <v>503</v>
      </c>
      <c r="B505" s="1" t="s">
        <v>512</v>
      </c>
      <c r="C505" s="1">
        <v>3824.139893</v>
      </c>
      <c r="D505" s="1">
        <v>3824.139893</v>
      </c>
      <c r="E505" s="1">
        <v>3878.459961</v>
      </c>
      <c r="F505" s="1">
        <v>3794.330078</v>
      </c>
      <c r="G505" s="1">
        <v>3853.290039</v>
      </c>
      <c r="H505" s="1">
        <v>3959140000</v>
      </c>
      <c r="I505" s="1">
        <f t="shared" si="7"/>
        <v>-4.000548769371004E-3</v>
      </c>
    </row>
    <row r="506" spans="1:9" x14ac:dyDescent="0.35">
      <c r="A506" s="1">
        <v>504</v>
      </c>
      <c r="B506" s="1" t="s">
        <v>513</v>
      </c>
      <c r="C506" s="1">
        <v>3852.969971</v>
      </c>
      <c r="D506" s="1">
        <v>3852.969971</v>
      </c>
      <c r="E506" s="1">
        <v>3873.1599120000001</v>
      </c>
      <c r="F506" s="1">
        <v>3815.7700199999999</v>
      </c>
      <c r="G506" s="1">
        <v>3840.360107</v>
      </c>
      <c r="H506" s="1">
        <v>4414080000</v>
      </c>
      <c r="I506" s="1">
        <f t="shared" si="7"/>
        <v>7.5389705415256254E-3</v>
      </c>
    </row>
    <row r="507" spans="1:9" x14ac:dyDescent="0.35">
      <c r="A507" s="1">
        <v>505</v>
      </c>
      <c r="B507" s="1" t="s">
        <v>514</v>
      </c>
      <c r="C507" s="1">
        <v>3808.1000979999999</v>
      </c>
      <c r="D507" s="1">
        <v>3808.1000979999999</v>
      </c>
      <c r="E507" s="1">
        <v>3839.73999</v>
      </c>
      <c r="F507" s="1">
        <v>3802.419922</v>
      </c>
      <c r="G507" s="1">
        <v>3839.73999</v>
      </c>
      <c r="H507" s="1">
        <v>3893450000</v>
      </c>
      <c r="I507" s="1">
        <f t="shared" si="7"/>
        <v>-1.1645528861558858E-2</v>
      </c>
    </row>
    <row r="508" spans="1:9" x14ac:dyDescent="0.35">
      <c r="A508" s="1">
        <v>506</v>
      </c>
      <c r="B508" s="1" t="s">
        <v>515</v>
      </c>
      <c r="C508" s="1">
        <v>3895.080078</v>
      </c>
      <c r="D508" s="1">
        <v>3895.080078</v>
      </c>
      <c r="E508" s="1">
        <v>3906.1899410000001</v>
      </c>
      <c r="F508" s="1">
        <v>3809.5600589999999</v>
      </c>
      <c r="G508" s="1">
        <v>3823.3701169999999</v>
      </c>
      <c r="H508" s="1">
        <v>3923560000</v>
      </c>
      <c r="I508" s="1">
        <f t="shared" si="7"/>
        <v>2.2840780904283906E-2</v>
      </c>
    </row>
    <row r="509" spans="1:9" x14ac:dyDescent="0.35">
      <c r="A509" s="1">
        <v>507</v>
      </c>
      <c r="B509" s="1" t="s">
        <v>516</v>
      </c>
      <c r="C509" s="1">
        <v>3892.0900879999999</v>
      </c>
      <c r="D509" s="1">
        <v>3892.0900879999999</v>
      </c>
      <c r="E509" s="1">
        <v>3950.570068</v>
      </c>
      <c r="F509" s="1">
        <v>3890.419922</v>
      </c>
      <c r="G509" s="1">
        <v>3910.820068</v>
      </c>
      <c r="H509" s="1">
        <v>4311770000</v>
      </c>
      <c r="I509" s="1">
        <f t="shared" si="7"/>
        <v>-7.6763248511576155E-4</v>
      </c>
    </row>
    <row r="510" spans="1:9" x14ac:dyDescent="0.35">
      <c r="A510" s="1">
        <v>508</v>
      </c>
      <c r="B510" s="1" t="s">
        <v>517</v>
      </c>
      <c r="C510" s="1">
        <v>3919.25</v>
      </c>
      <c r="D510" s="1">
        <v>3919.25</v>
      </c>
      <c r="E510" s="1">
        <v>3919.830078</v>
      </c>
      <c r="F510" s="1">
        <v>3877.290039</v>
      </c>
      <c r="G510" s="1">
        <v>3888.570068</v>
      </c>
      <c r="H510" s="1">
        <v>3851030000</v>
      </c>
      <c r="I510" s="1">
        <f t="shared" si="7"/>
        <v>6.9782331307640787E-3</v>
      </c>
    </row>
    <row r="511" spans="1:9" x14ac:dyDescent="0.35">
      <c r="A511" s="1">
        <v>509</v>
      </c>
      <c r="B511" s="1" t="s">
        <v>518</v>
      </c>
      <c r="C511" s="1">
        <v>3969.610107</v>
      </c>
      <c r="D511" s="1">
        <v>3969.610107</v>
      </c>
      <c r="E511" s="1">
        <v>3970.070068</v>
      </c>
      <c r="F511" s="1">
        <v>3928.540039</v>
      </c>
      <c r="G511" s="1">
        <v>3932.3500979999999</v>
      </c>
      <c r="H511" s="1">
        <v>4303360000</v>
      </c>
      <c r="I511" s="1">
        <f t="shared" si="7"/>
        <v>1.2849424507239898E-2</v>
      </c>
    </row>
    <row r="512" spans="1:9" x14ac:dyDescent="0.35">
      <c r="A512" s="1">
        <v>510</v>
      </c>
      <c r="B512" s="1" t="s">
        <v>519</v>
      </c>
      <c r="C512" s="1">
        <v>3983.169922</v>
      </c>
      <c r="D512" s="1">
        <v>3983.169922</v>
      </c>
      <c r="E512" s="1">
        <v>3997.76001</v>
      </c>
      <c r="F512" s="1">
        <v>3937.5600589999999</v>
      </c>
      <c r="G512" s="1">
        <v>3977.570068</v>
      </c>
      <c r="H512" s="1">
        <v>4440260000</v>
      </c>
      <c r="I512" s="1">
        <f t="shared" si="7"/>
        <v>3.415906004493673E-3</v>
      </c>
    </row>
    <row r="513" spans="1:9" x14ac:dyDescent="0.35">
      <c r="A513" s="1">
        <v>511</v>
      </c>
      <c r="B513" s="1" t="s">
        <v>520</v>
      </c>
      <c r="C513" s="1">
        <v>3999.0900879999999</v>
      </c>
      <c r="D513" s="1">
        <v>3999.0900879999999</v>
      </c>
      <c r="E513" s="1">
        <v>4003.9499510000001</v>
      </c>
      <c r="F513" s="1">
        <v>3947.669922</v>
      </c>
      <c r="G513" s="1">
        <v>3960.6000979999999</v>
      </c>
      <c r="H513" s="1">
        <v>3939700000</v>
      </c>
      <c r="I513" s="1">
        <f t="shared" si="7"/>
        <v>3.996858359486247E-3</v>
      </c>
    </row>
    <row r="514" spans="1:9" x14ac:dyDescent="0.35">
      <c r="A514" s="1">
        <v>512</v>
      </c>
      <c r="B514" s="1" t="s">
        <v>521</v>
      </c>
      <c r="C514" s="1">
        <v>3990.969971</v>
      </c>
      <c r="D514" s="1">
        <v>3990.969971</v>
      </c>
      <c r="E514" s="1">
        <v>4015.389893</v>
      </c>
      <c r="F514" s="1">
        <v>3984.570068</v>
      </c>
      <c r="G514" s="1">
        <v>3999.280029</v>
      </c>
      <c r="H514" s="1">
        <v>4235560000</v>
      </c>
      <c r="I514" s="1">
        <f t="shared" si="7"/>
        <v>-2.0304911420639987E-3</v>
      </c>
    </row>
    <row r="515" spans="1:9" x14ac:dyDescent="0.35">
      <c r="A515" s="1">
        <v>513</v>
      </c>
      <c r="B515" s="1" t="s">
        <v>522</v>
      </c>
      <c r="C515" s="1">
        <v>3928.860107</v>
      </c>
      <c r="D515" s="1">
        <v>3928.860107</v>
      </c>
      <c r="E515" s="1">
        <v>4014.1599120000001</v>
      </c>
      <c r="F515" s="1">
        <v>3926.5900879999999</v>
      </c>
      <c r="G515" s="1">
        <v>4002.25</v>
      </c>
      <c r="H515" s="1">
        <v>4298710000</v>
      </c>
      <c r="I515" s="1">
        <f t="shared" si="7"/>
        <v>-1.5562598679347471E-2</v>
      </c>
    </row>
    <row r="516" spans="1:9" x14ac:dyDescent="0.35">
      <c r="A516" s="1">
        <v>514</v>
      </c>
      <c r="B516" s="1" t="s">
        <v>523</v>
      </c>
      <c r="C516" s="1">
        <v>3898.8500979999999</v>
      </c>
      <c r="D516" s="1">
        <v>3898.8500979999999</v>
      </c>
      <c r="E516" s="1">
        <v>3922.9399410000001</v>
      </c>
      <c r="F516" s="1">
        <v>3885.540039</v>
      </c>
      <c r="G516" s="1">
        <v>3911.8400879999999</v>
      </c>
      <c r="H516" s="1">
        <v>3991500000</v>
      </c>
      <c r="I516" s="1">
        <f t="shared" ref="I516:I579" si="8">(C516-C515)/C515</f>
        <v>-7.6383501022425386E-3</v>
      </c>
    </row>
    <row r="517" spans="1:9" x14ac:dyDescent="0.35">
      <c r="A517" s="1">
        <v>515</v>
      </c>
      <c r="B517" s="1" t="s">
        <v>524</v>
      </c>
      <c r="C517" s="1">
        <v>3972.610107</v>
      </c>
      <c r="D517" s="1">
        <v>3972.610107</v>
      </c>
      <c r="E517" s="1">
        <v>3972.959961</v>
      </c>
      <c r="F517" s="1">
        <v>3897.860107</v>
      </c>
      <c r="G517" s="1">
        <v>3909.040039</v>
      </c>
      <c r="H517" s="1">
        <v>4013360000</v>
      </c>
      <c r="I517" s="1">
        <f t="shared" si="8"/>
        <v>1.8918400847941521E-2</v>
      </c>
    </row>
    <row r="518" spans="1:9" x14ac:dyDescent="0.35">
      <c r="A518" s="1">
        <v>516</v>
      </c>
      <c r="B518" s="1" t="s">
        <v>525</v>
      </c>
      <c r="C518" s="1">
        <v>4019.8100589999999</v>
      </c>
      <c r="D518" s="1">
        <v>4019.8100589999999</v>
      </c>
      <c r="E518" s="1">
        <v>4039.3100589999999</v>
      </c>
      <c r="F518" s="1">
        <v>3971.639893</v>
      </c>
      <c r="G518" s="1">
        <v>3978.139893</v>
      </c>
      <c r="H518" s="1">
        <v>3945210000</v>
      </c>
      <c r="I518" s="1">
        <f t="shared" si="8"/>
        <v>1.188134519338571E-2</v>
      </c>
    </row>
    <row r="519" spans="1:9" x14ac:dyDescent="0.35">
      <c r="A519" s="1">
        <v>517</v>
      </c>
      <c r="B519" s="1" t="s">
        <v>526</v>
      </c>
      <c r="C519" s="1">
        <v>4016.9499510000001</v>
      </c>
      <c r="D519" s="1">
        <v>4016.9499510000001</v>
      </c>
      <c r="E519" s="1">
        <v>4023.919922</v>
      </c>
      <c r="F519" s="1">
        <v>3989.790039</v>
      </c>
      <c r="G519" s="1">
        <v>4001.73999</v>
      </c>
      <c r="H519" s="1">
        <v>3320430000</v>
      </c>
      <c r="I519" s="1">
        <f t="shared" si="8"/>
        <v>-7.1150326956278078E-4</v>
      </c>
    </row>
    <row r="520" spans="1:9" x14ac:dyDescent="0.35">
      <c r="A520" s="1">
        <v>518</v>
      </c>
      <c r="B520" s="1" t="s">
        <v>527</v>
      </c>
      <c r="C520" s="1">
        <v>4016.219971</v>
      </c>
      <c r="D520" s="1">
        <v>4016.219971</v>
      </c>
      <c r="E520" s="1">
        <v>4019.5500489999999</v>
      </c>
      <c r="F520" s="1">
        <v>3949.0600589999999</v>
      </c>
      <c r="G520" s="1">
        <v>3982.709961</v>
      </c>
      <c r="H520" s="1">
        <v>3724020000</v>
      </c>
      <c r="I520" s="1">
        <f t="shared" si="8"/>
        <v>-1.8172494278111275E-4</v>
      </c>
    </row>
    <row r="521" spans="1:9" x14ac:dyDescent="0.35">
      <c r="A521" s="1">
        <v>519</v>
      </c>
      <c r="B521" s="1" t="s">
        <v>528</v>
      </c>
      <c r="C521" s="1">
        <v>4060.429932</v>
      </c>
      <c r="D521" s="1">
        <v>4060.429932</v>
      </c>
      <c r="E521" s="1">
        <v>4061.570068</v>
      </c>
      <c r="F521" s="1">
        <v>4013.290039</v>
      </c>
      <c r="G521" s="1">
        <v>4036.080078</v>
      </c>
      <c r="H521" s="1">
        <v>3809590000</v>
      </c>
      <c r="I521" s="1">
        <f t="shared" si="8"/>
        <v>1.1007853483929608E-2</v>
      </c>
    </row>
    <row r="522" spans="1:9" x14ac:dyDescent="0.35">
      <c r="A522" s="1">
        <v>520</v>
      </c>
      <c r="B522" s="1" t="s">
        <v>529</v>
      </c>
      <c r="C522" s="1">
        <v>4070.5600589999999</v>
      </c>
      <c r="D522" s="1">
        <v>4070.5600589999999</v>
      </c>
      <c r="E522" s="1">
        <v>4094.209961</v>
      </c>
      <c r="F522" s="1">
        <v>4048.6999510000001</v>
      </c>
      <c r="G522" s="1">
        <v>4053.719971</v>
      </c>
      <c r="H522" s="1">
        <v>3907760000</v>
      </c>
      <c r="I522" s="1">
        <f t="shared" si="8"/>
        <v>2.4948409822725891E-3</v>
      </c>
    </row>
    <row r="523" spans="1:9" x14ac:dyDescent="0.35">
      <c r="A523" s="1">
        <v>521</v>
      </c>
      <c r="B523" s="1" t="s">
        <v>530</v>
      </c>
      <c r="C523" s="1">
        <v>4017.7700199999999</v>
      </c>
      <c r="D523" s="1">
        <v>4017.7700199999999</v>
      </c>
      <c r="E523" s="1">
        <v>4063.8500979999999</v>
      </c>
      <c r="F523" s="1">
        <v>4015.5500489999999</v>
      </c>
      <c r="G523" s="1">
        <v>4049.2700199999999</v>
      </c>
      <c r="H523" s="1">
        <v>3802000000</v>
      </c>
      <c r="I523" s="1">
        <f t="shared" si="8"/>
        <v>-1.2968740968034929E-2</v>
      </c>
    </row>
    <row r="524" spans="1:9" x14ac:dyDescent="0.35">
      <c r="A524" s="1">
        <v>522</v>
      </c>
      <c r="B524" s="1" t="s">
        <v>531</v>
      </c>
      <c r="C524" s="1">
        <v>4076.6000979999999</v>
      </c>
      <c r="D524" s="1">
        <v>4076.6000979999999</v>
      </c>
      <c r="E524" s="1">
        <v>4077.1599120000001</v>
      </c>
      <c r="F524" s="1">
        <v>4020.4399410000001</v>
      </c>
      <c r="G524" s="1">
        <v>4020.8500979999999</v>
      </c>
      <c r="H524" s="1">
        <v>4679320000</v>
      </c>
      <c r="I524" s="1">
        <f t="shared" si="8"/>
        <v>1.4642470252690063E-2</v>
      </c>
    </row>
    <row r="525" spans="1:9" x14ac:dyDescent="0.35">
      <c r="A525" s="1">
        <v>523</v>
      </c>
      <c r="B525" s="1" t="s">
        <v>532</v>
      </c>
      <c r="C525" s="1">
        <v>4119.2099609999996</v>
      </c>
      <c r="D525" s="1">
        <v>4119.2099609999996</v>
      </c>
      <c r="E525" s="1">
        <v>4148.9501950000003</v>
      </c>
      <c r="F525" s="1">
        <v>4037.1999510000001</v>
      </c>
      <c r="G525" s="1">
        <v>4070.070068</v>
      </c>
      <c r="H525" s="1">
        <v>4856930000</v>
      </c>
      <c r="I525" s="1">
        <f t="shared" si="8"/>
        <v>1.0452303874717631E-2</v>
      </c>
    </row>
    <row r="526" spans="1:9" x14ac:dyDescent="0.35">
      <c r="A526" s="1">
        <v>524</v>
      </c>
      <c r="B526" s="1" t="s">
        <v>533</v>
      </c>
      <c r="C526" s="1">
        <v>4179.7597660000001</v>
      </c>
      <c r="D526" s="1">
        <v>4179.7597660000001</v>
      </c>
      <c r="E526" s="1">
        <v>4195.4399409999996</v>
      </c>
      <c r="F526" s="1">
        <v>4141.8798829999996</v>
      </c>
      <c r="G526" s="1">
        <v>4158.6801759999998</v>
      </c>
      <c r="H526" s="1">
        <v>5624360000</v>
      </c>
      <c r="I526" s="1">
        <f t="shared" si="8"/>
        <v>1.4699373319951187E-2</v>
      </c>
    </row>
    <row r="527" spans="1:9" x14ac:dyDescent="0.35">
      <c r="A527" s="1">
        <v>525</v>
      </c>
      <c r="B527" s="1" t="s">
        <v>534</v>
      </c>
      <c r="C527" s="1">
        <v>4136.4799800000001</v>
      </c>
      <c r="D527" s="1">
        <v>4136.4799800000001</v>
      </c>
      <c r="E527" s="1">
        <v>4182.3598629999997</v>
      </c>
      <c r="F527" s="1">
        <v>4123.3598629999997</v>
      </c>
      <c r="G527" s="1">
        <v>4136.6899409999996</v>
      </c>
      <c r="H527" s="1">
        <v>4694510000</v>
      </c>
      <c r="I527" s="1">
        <f t="shared" si="8"/>
        <v>-1.0354610892247164E-2</v>
      </c>
    </row>
    <row r="528" spans="1:9" x14ac:dyDescent="0.35">
      <c r="A528" s="1">
        <v>526</v>
      </c>
      <c r="B528" s="1" t="s">
        <v>535</v>
      </c>
      <c r="C528" s="1">
        <v>4111.080078</v>
      </c>
      <c r="D528" s="1">
        <v>4111.080078</v>
      </c>
      <c r="E528" s="1">
        <v>4124.6298829999996</v>
      </c>
      <c r="F528" s="1">
        <v>4093.3798830000001</v>
      </c>
      <c r="G528" s="1">
        <v>4119.5698240000002</v>
      </c>
      <c r="H528" s="1">
        <v>4114240000</v>
      </c>
      <c r="I528" s="1">
        <f t="shared" si="8"/>
        <v>-6.14046293534826E-3</v>
      </c>
    </row>
    <row r="529" spans="1:9" x14ac:dyDescent="0.35">
      <c r="A529" s="1">
        <v>527</v>
      </c>
      <c r="B529" s="1" t="s">
        <v>536</v>
      </c>
      <c r="C529" s="1">
        <v>4164</v>
      </c>
      <c r="D529" s="1">
        <v>4164</v>
      </c>
      <c r="E529" s="1">
        <v>4176.5400390000004</v>
      </c>
      <c r="F529" s="1">
        <v>4088.389893</v>
      </c>
      <c r="G529" s="1">
        <v>4105.3500979999999</v>
      </c>
      <c r="H529" s="1">
        <v>4355860000</v>
      </c>
      <c r="I529" s="1">
        <f t="shared" si="8"/>
        <v>1.2872510628823622E-2</v>
      </c>
    </row>
    <row r="530" spans="1:9" x14ac:dyDescent="0.35">
      <c r="A530" s="1">
        <v>528</v>
      </c>
      <c r="B530" s="1" t="s">
        <v>537</v>
      </c>
      <c r="C530" s="1">
        <v>4117.8598629999997</v>
      </c>
      <c r="D530" s="1">
        <v>4117.8598629999997</v>
      </c>
      <c r="E530" s="1">
        <v>4156.8500979999999</v>
      </c>
      <c r="F530" s="1">
        <v>4111.669922</v>
      </c>
      <c r="G530" s="1">
        <v>4153.4702150000003</v>
      </c>
      <c r="H530" s="1">
        <v>4029820000</v>
      </c>
      <c r="I530" s="1">
        <f t="shared" si="8"/>
        <v>-1.1080724543708051E-2</v>
      </c>
    </row>
    <row r="531" spans="1:9" x14ac:dyDescent="0.35">
      <c r="A531" s="1">
        <v>529</v>
      </c>
      <c r="B531" s="1" t="s">
        <v>538</v>
      </c>
      <c r="C531" s="1">
        <v>4081.5</v>
      </c>
      <c r="D531" s="1">
        <v>4081.5</v>
      </c>
      <c r="E531" s="1">
        <v>4156.2299800000001</v>
      </c>
      <c r="F531" s="1">
        <v>4069.669922</v>
      </c>
      <c r="G531" s="1">
        <v>4144.25</v>
      </c>
      <c r="H531" s="1">
        <v>4270200000</v>
      </c>
      <c r="I531" s="1">
        <f t="shared" si="8"/>
        <v>-8.8297961100381617E-3</v>
      </c>
    </row>
    <row r="532" spans="1:9" x14ac:dyDescent="0.35">
      <c r="A532" s="1">
        <v>530</v>
      </c>
      <c r="B532" s="1" t="s">
        <v>539</v>
      </c>
      <c r="C532" s="1">
        <v>4090.459961</v>
      </c>
      <c r="D532" s="1">
        <v>4090.459961</v>
      </c>
      <c r="E532" s="1">
        <v>4094.360107</v>
      </c>
      <c r="F532" s="1">
        <v>4060.790039</v>
      </c>
      <c r="G532" s="1">
        <v>4068.919922</v>
      </c>
      <c r="H532" s="1">
        <v>3891520000</v>
      </c>
      <c r="I532" s="1">
        <f t="shared" si="8"/>
        <v>2.1952617910082129E-3</v>
      </c>
    </row>
    <row r="533" spans="1:9" x14ac:dyDescent="0.35">
      <c r="A533" s="1">
        <v>531</v>
      </c>
      <c r="B533" s="1" t="s">
        <v>540</v>
      </c>
      <c r="C533" s="1">
        <v>4137.2900390000004</v>
      </c>
      <c r="D533" s="1">
        <v>4137.2900390000004</v>
      </c>
      <c r="E533" s="1">
        <v>4138.8999020000001</v>
      </c>
      <c r="F533" s="1">
        <v>4092.669922</v>
      </c>
      <c r="G533" s="1">
        <v>4096.6201170000004</v>
      </c>
      <c r="H533" s="1">
        <v>3448620000</v>
      </c>
      <c r="I533" s="1">
        <f t="shared" si="8"/>
        <v>1.144860931203243E-2</v>
      </c>
    </row>
    <row r="534" spans="1:9" x14ac:dyDescent="0.35">
      <c r="A534" s="1">
        <v>532</v>
      </c>
      <c r="B534" s="1" t="s">
        <v>541</v>
      </c>
      <c r="C534" s="1">
        <v>4136.1298829999996</v>
      </c>
      <c r="D534" s="1">
        <v>4136.1298829999996</v>
      </c>
      <c r="E534" s="1">
        <v>4159.7700199999999</v>
      </c>
      <c r="F534" s="1">
        <v>4095.01001</v>
      </c>
      <c r="G534" s="1">
        <v>4126.7001950000003</v>
      </c>
      <c r="H534" s="1">
        <v>3929200000</v>
      </c>
      <c r="I534" s="1">
        <f t="shared" si="8"/>
        <v>-2.8041447156584631E-4</v>
      </c>
    </row>
    <row r="535" spans="1:9" x14ac:dyDescent="0.35">
      <c r="A535" s="1">
        <v>533</v>
      </c>
      <c r="B535" s="1" t="s">
        <v>542</v>
      </c>
      <c r="C535" s="1">
        <v>4147.6000979999999</v>
      </c>
      <c r="D535" s="1">
        <v>4147.6000979999999</v>
      </c>
      <c r="E535" s="1">
        <v>4148.1098629999997</v>
      </c>
      <c r="F535" s="1">
        <v>4103.9799800000001</v>
      </c>
      <c r="G535" s="1">
        <v>4119.5</v>
      </c>
      <c r="H535" s="1">
        <v>4075980000</v>
      </c>
      <c r="I535" s="1">
        <f t="shared" si="8"/>
        <v>2.7731757281472878E-3</v>
      </c>
    </row>
    <row r="536" spans="1:9" x14ac:dyDescent="0.35">
      <c r="A536" s="1">
        <v>534</v>
      </c>
      <c r="B536" s="1" t="s">
        <v>543</v>
      </c>
      <c r="C536" s="1">
        <v>4090.4099120000001</v>
      </c>
      <c r="D536" s="1">
        <v>4090.4099120000001</v>
      </c>
      <c r="E536" s="1">
        <v>4136.5400390000004</v>
      </c>
      <c r="F536" s="1">
        <v>4089.48999</v>
      </c>
      <c r="G536" s="1">
        <v>4114.75</v>
      </c>
      <c r="H536" s="1">
        <v>4143660000</v>
      </c>
      <c r="I536" s="1">
        <f t="shared" si="8"/>
        <v>-1.3788741597237713E-2</v>
      </c>
    </row>
    <row r="537" spans="1:9" x14ac:dyDescent="0.35">
      <c r="A537" s="1">
        <v>535</v>
      </c>
      <c r="B537" s="1" t="s">
        <v>544</v>
      </c>
      <c r="C537" s="1">
        <v>4079.0900879999999</v>
      </c>
      <c r="D537" s="1">
        <v>4079.0900879999999</v>
      </c>
      <c r="E537" s="1">
        <v>4081.51001</v>
      </c>
      <c r="F537" s="1">
        <v>4047.9499510000001</v>
      </c>
      <c r="G537" s="1">
        <v>4077.389893</v>
      </c>
      <c r="H537" s="1">
        <v>4045480000</v>
      </c>
      <c r="I537" s="1">
        <f t="shared" si="8"/>
        <v>-2.7674057719230738E-3</v>
      </c>
    </row>
    <row r="538" spans="1:9" x14ac:dyDescent="0.35">
      <c r="A538" s="1">
        <v>536</v>
      </c>
      <c r="B538" s="1" t="s">
        <v>545</v>
      </c>
      <c r="C538" s="1">
        <v>3997.3400879999999</v>
      </c>
      <c r="D538" s="1">
        <v>3997.3400879999999</v>
      </c>
      <c r="E538" s="1">
        <v>4052.3500979999999</v>
      </c>
      <c r="F538" s="1">
        <v>3995.1899410000001</v>
      </c>
      <c r="G538" s="1">
        <v>4052.3500979999999</v>
      </c>
      <c r="H538" s="1">
        <v>4121590000</v>
      </c>
      <c r="I538" s="1">
        <f t="shared" si="8"/>
        <v>-2.004123425479001E-2</v>
      </c>
    </row>
    <row r="539" spans="1:9" x14ac:dyDescent="0.35">
      <c r="A539" s="1">
        <v>537</v>
      </c>
      <c r="B539" s="1" t="s">
        <v>546</v>
      </c>
      <c r="C539" s="1">
        <v>3991.0500489999999</v>
      </c>
      <c r="D539" s="1">
        <v>3991.0500489999999</v>
      </c>
      <c r="E539" s="1">
        <v>4017.3701169999999</v>
      </c>
      <c r="F539" s="1">
        <v>3976.8999020000001</v>
      </c>
      <c r="G539" s="1">
        <v>4001.830078</v>
      </c>
      <c r="H539" s="1">
        <v>4079320000</v>
      </c>
      <c r="I539" s="1">
        <f t="shared" si="8"/>
        <v>-1.5735561302083485E-3</v>
      </c>
    </row>
    <row r="540" spans="1:9" x14ac:dyDescent="0.35">
      <c r="A540" s="1">
        <v>538</v>
      </c>
      <c r="B540" s="1" t="s">
        <v>547</v>
      </c>
      <c r="C540" s="1">
        <v>4012.320068</v>
      </c>
      <c r="D540" s="1">
        <v>4012.320068</v>
      </c>
      <c r="E540" s="1">
        <v>4028.3000489999999</v>
      </c>
      <c r="F540" s="1">
        <v>3969.1899410000001</v>
      </c>
      <c r="G540" s="1">
        <v>4018.6000979999999</v>
      </c>
      <c r="H540" s="1">
        <v>3952940000</v>
      </c>
      <c r="I540" s="1">
        <f t="shared" si="8"/>
        <v>5.3294292827346223E-3</v>
      </c>
    </row>
    <row r="541" spans="1:9" x14ac:dyDescent="0.35">
      <c r="A541" s="1">
        <v>539</v>
      </c>
      <c r="B541" s="1" t="s">
        <v>548</v>
      </c>
      <c r="C541" s="1">
        <v>3970.040039</v>
      </c>
      <c r="D541" s="1">
        <v>3970.040039</v>
      </c>
      <c r="E541" s="1">
        <v>3978.25</v>
      </c>
      <c r="F541" s="1">
        <v>3943.080078</v>
      </c>
      <c r="G541" s="1">
        <v>3973.23999</v>
      </c>
      <c r="H541" s="1">
        <v>3877700000</v>
      </c>
      <c r="I541" s="1">
        <f t="shared" si="8"/>
        <v>-1.0537551412511096E-2</v>
      </c>
    </row>
    <row r="542" spans="1:9" x14ac:dyDescent="0.35">
      <c r="A542" s="1">
        <v>540</v>
      </c>
      <c r="B542" s="1" t="s">
        <v>549</v>
      </c>
      <c r="C542" s="1">
        <v>3982.23999</v>
      </c>
      <c r="D542" s="1">
        <v>3982.23999</v>
      </c>
      <c r="E542" s="1">
        <v>4018.0500489999999</v>
      </c>
      <c r="F542" s="1">
        <v>3973.5500489999999</v>
      </c>
      <c r="G542" s="1">
        <v>3992.360107</v>
      </c>
      <c r="H542" s="1">
        <v>3836950000</v>
      </c>
      <c r="I542" s="1">
        <f t="shared" si="8"/>
        <v>3.0730045239223984E-3</v>
      </c>
    </row>
    <row r="543" spans="1:9" x14ac:dyDescent="0.35">
      <c r="A543" s="1">
        <v>541</v>
      </c>
      <c r="B543" s="1" t="s">
        <v>550</v>
      </c>
      <c r="C543" s="1">
        <v>3970.1499020000001</v>
      </c>
      <c r="D543" s="1">
        <v>3970.1499020000001</v>
      </c>
      <c r="E543" s="1">
        <v>3997.5</v>
      </c>
      <c r="F543" s="1">
        <v>3968.9799800000001</v>
      </c>
      <c r="G543" s="1">
        <v>3977.1899410000001</v>
      </c>
      <c r="H543" s="1">
        <v>5043400000</v>
      </c>
      <c r="I543" s="1">
        <f t="shared" si="8"/>
        <v>-3.0360018558298701E-3</v>
      </c>
    </row>
    <row r="544" spans="1:9" x14ac:dyDescent="0.35">
      <c r="A544" s="1">
        <v>542</v>
      </c>
      <c r="B544" s="1" t="s">
        <v>551</v>
      </c>
      <c r="C544" s="1">
        <v>3951.389893</v>
      </c>
      <c r="D544" s="1">
        <v>3951.389893</v>
      </c>
      <c r="E544" s="1">
        <v>3971.7299800000001</v>
      </c>
      <c r="F544" s="1">
        <v>3939.0500489999999</v>
      </c>
      <c r="G544" s="1">
        <v>3963.3400879999999</v>
      </c>
      <c r="H544" s="1">
        <v>4249480000</v>
      </c>
      <c r="I544" s="1">
        <f t="shared" si="8"/>
        <v>-4.7252646532438365E-3</v>
      </c>
    </row>
    <row r="545" spans="1:9" x14ac:dyDescent="0.35">
      <c r="A545" s="1">
        <v>543</v>
      </c>
      <c r="B545" s="1" t="s">
        <v>552</v>
      </c>
      <c r="C545" s="1">
        <v>3981.3500979999999</v>
      </c>
      <c r="D545" s="1">
        <v>3981.3500979999999</v>
      </c>
      <c r="E545" s="1">
        <v>3990.8400879999999</v>
      </c>
      <c r="F545" s="1">
        <v>3928.1599120000001</v>
      </c>
      <c r="G545" s="1">
        <v>3938.679932</v>
      </c>
      <c r="H545" s="1">
        <v>4244900000</v>
      </c>
      <c r="I545" s="1">
        <f t="shared" si="8"/>
        <v>7.582194066213313E-3</v>
      </c>
    </row>
    <row r="546" spans="1:9" x14ac:dyDescent="0.35">
      <c r="A546" s="1">
        <v>544</v>
      </c>
      <c r="B546" s="1" t="s">
        <v>553</v>
      </c>
      <c r="C546" s="1">
        <v>4045.639893</v>
      </c>
      <c r="D546" s="1">
        <v>4045.639893</v>
      </c>
      <c r="E546" s="1">
        <v>4048.290039</v>
      </c>
      <c r="F546" s="1">
        <v>3995.169922</v>
      </c>
      <c r="G546" s="1">
        <v>3998.0200199999999</v>
      </c>
      <c r="H546" s="1">
        <v>4084730000</v>
      </c>
      <c r="I546" s="1">
        <f t="shared" si="8"/>
        <v>1.6147737178977457E-2</v>
      </c>
    </row>
    <row r="547" spans="1:9" x14ac:dyDescent="0.35">
      <c r="A547" s="1">
        <v>545</v>
      </c>
      <c r="B547" s="1" t="s">
        <v>554</v>
      </c>
      <c r="C547" s="1">
        <v>4048.419922</v>
      </c>
      <c r="D547" s="1">
        <v>4048.419922</v>
      </c>
      <c r="E547" s="1">
        <v>4078.48999</v>
      </c>
      <c r="F547" s="1">
        <v>4044.610107</v>
      </c>
      <c r="G547" s="1">
        <v>4055.1499020000001</v>
      </c>
      <c r="H547" s="1">
        <v>4000870000</v>
      </c>
      <c r="I547" s="1">
        <f t="shared" si="8"/>
        <v>6.8716669637606154E-4</v>
      </c>
    </row>
    <row r="548" spans="1:9" x14ac:dyDescent="0.35">
      <c r="A548" s="1">
        <v>546</v>
      </c>
      <c r="B548" s="1" t="s">
        <v>555</v>
      </c>
      <c r="C548" s="1">
        <v>3986.3701169999999</v>
      </c>
      <c r="D548" s="1">
        <v>3986.3701169999999</v>
      </c>
      <c r="E548" s="1">
        <v>4050</v>
      </c>
      <c r="F548" s="1">
        <v>3980.3100589999999</v>
      </c>
      <c r="G548" s="1">
        <v>4048.26001</v>
      </c>
      <c r="H548" s="1">
        <v>3922500000</v>
      </c>
      <c r="I548" s="1">
        <f t="shared" si="8"/>
        <v>-1.5326919192055123E-2</v>
      </c>
    </row>
    <row r="549" spans="1:9" x14ac:dyDescent="0.35">
      <c r="A549" s="1">
        <v>547</v>
      </c>
      <c r="B549" s="1" t="s">
        <v>556</v>
      </c>
      <c r="C549" s="1">
        <v>3992.01001</v>
      </c>
      <c r="D549" s="1">
        <v>3992.01001</v>
      </c>
      <c r="E549" s="1">
        <v>4000.4099120000001</v>
      </c>
      <c r="F549" s="1">
        <v>3969.76001</v>
      </c>
      <c r="G549" s="1">
        <v>3987.5500489999999</v>
      </c>
      <c r="H549" s="1">
        <v>3535570000</v>
      </c>
      <c r="I549" s="1">
        <f t="shared" si="8"/>
        <v>1.4147941195797474E-3</v>
      </c>
    </row>
    <row r="550" spans="1:9" x14ac:dyDescent="0.35">
      <c r="A550" s="1">
        <v>548</v>
      </c>
      <c r="B550" s="1" t="s">
        <v>557</v>
      </c>
      <c r="C550" s="1">
        <v>3918.320068</v>
      </c>
      <c r="D550" s="1">
        <v>3918.320068</v>
      </c>
      <c r="E550" s="1">
        <v>4017.8100589999999</v>
      </c>
      <c r="F550" s="1">
        <v>3908.6999510000001</v>
      </c>
      <c r="G550" s="1">
        <v>3998.6599120000001</v>
      </c>
      <c r="H550" s="1">
        <v>4445260000</v>
      </c>
      <c r="I550" s="1">
        <f t="shared" si="8"/>
        <v>-1.8459358021499544E-2</v>
      </c>
    </row>
    <row r="551" spans="1:9" x14ac:dyDescent="0.35">
      <c r="A551" s="1">
        <v>549</v>
      </c>
      <c r="B551" s="1" t="s">
        <v>558</v>
      </c>
      <c r="C551" s="1">
        <v>3861.5900879999999</v>
      </c>
      <c r="D551" s="1">
        <v>3861.5900879999999</v>
      </c>
      <c r="E551" s="1">
        <v>3934.0500489999999</v>
      </c>
      <c r="F551" s="1">
        <v>3846.320068</v>
      </c>
      <c r="G551" s="1">
        <v>3912.7700199999999</v>
      </c>
      <c r="H551" s="1">
        <v>5518190000</v>
      </c>
      <c r="I551" s="1">
        <f t="shared" si="8"/>
        <v>-1.4478138338748918E-2</v>
      </c>
    </row>
    <row r="552" spans="1:9" x14ac:dyDescent="0.35">
      <c r="A552" s="1">
        <v>550</v>
      </c>
      <c r="B552" s="1" t="s">
        <v>559</v>
      </c>
      <c r="C552" s="1">
        <v>3855.76001</v>
      </c>
      <c r="D552" s="1">
        <v>3855.76001</v>
      </c>
      <c r="E552" s="1">
        <v>3905.0500489999999</v>
      </c>
      <c r="F552" s="1">
        <v>3808.860107</v>
      </c>
      <c r="G552" s="1">
        <v>3835.1201169999999</v>
      </c>
      <c r="H552" s="1">
        <v>6558020000</v>
      </c>
      <c r="I552" s="1">
        <f t="shared" si="8"/>
        <v>-1.5097609707765435E-3</v>
      </c>
    </row>
    <row r="553" spans="1:9" x14ac:dyDescent="0.35">
      <c r="A553" s="1">
        <v>551</v>
      </c>
      <c r="B553" s="1" t="s">
        <v>560</v>
      </c>
      <c r="C553" s="1">
        <v>3919.290039</v>
      </c>
      <c r="D553" s="1">
        <v>3919.290039</v>
      </c>
      <c r="E553" s="1">
        <v>3937.290039</v>
      </c>
      <c r="F553" s="1">
        <v>3873.6298830000001</v>
      </c>
      <c r="G553" s="1">
        <v>3894.01001</v>
      </c>
      <c r="H553" s="1">
        <v>5665870000</v>
      </c>
      <c r="I553" s="1">
        <f t="shared" si="8"/>
        <v>1.6476655402627098E-2</v>
      </c>
    </row>
    <row r="554" spans="1:9" x14ac:dyDescent="0.35">
      <c r="A554" s="1">
        <v>552</v>
      </c>
      <c r="B554" s="1" t="s">
        <v>561</v>
      </c>
      <c r="C554" s="1">
        <v>3891.929932</v>
      </c>
      <c r="D554" s="1">
        <v>3891.929932</v>
      </c>
      <c r="E554" s="1">
        <v>3894.26001</v>
      </c>
      <c r="F554" s="1">
        <v>3838.23999</v>
      </c>
      <c r="G554" s="1">
        <v>3876.73999</v>
      </c>
      <c r="H554" s="1">
        <v>6594010000</v>
      </c>
      <c r="I554" s="1">
        <f t="shared" si="8"/>
        <v>-6.9808834579083243E-3</v>
      </c>
    </row>
    <row r="555" spans="1:9" x14ac:dyDescent="0.35">
      <c r="A555" s="1">
        <v>553</v>
      </c>
      <c r="B555" s="1" t="s">
        <v>562</v>
      </c>
      <c r="C555" s="1">
        <v>3960.280029</v>
      </c>
      <c r="D555" s="1">
        <v>3960.280029</v>
      </c>
      <c r="E555" s="1">
        <v>3964.459961</v>
      </c>
      <c r="F555" s="1">
        <v>3864.110107</v>
      </c>
      <c r="G555" s="1">
        <v>3878.929932</v>
      </c>
      <c r="H555" s="1">
        <v>5695790000</v>
      </c>
      <c r="I555" s="1">
        <f t="shared" si="8"/>
        <v>1.7562006046926953E-2</v>
      </c>
    </row>
    <row r="556" spans="1:9" x14ac:dyDescent="0.35">
      <c r="A556" s="1">
        <v>554</v>
      </c>
      <c r="B556" s="1" t="s">
        <v>563</v>
      </c>
      <c r="C556" s="1">
        <v>3916.639893</v>
      </c>
      <c r="D556" s="1">
        <v>3916.639893</v>
      </c>
      <c r="E556" s="1">
        <v>3958.9099120000001</v>
      </c>
      <c r="F556" s="1">
        <v>3901.2700199999999</v>
      </c>
      <c r="G556" s="1">
        <v>3958.6899410000001</v>
      </c>
      <c r="H556" s="1">
        <v>9354280000</v>
      </c>
      <c r="I556" s="1">
        <f t="shared" si="8"/>
        <v>-1.1019457129403913E-2</v>
      </c>
    </row>
    <row r="557" spans="1:9" x14ac:dyDescent="0.35">
      <c r="A557" s="1">
        <v>555</v>
      </c>
      <c r="B557" s="1" t="s">
        <v>564</v>
      </c>
      <c r="C557" s="1">
        <v>3951.570068</v>
      </c>
      <c r="D557" s="1">
        <v>3951.570068</v>
      </c>
      <c r="E557" s="1">
        <v>3956.6201169999999</v>
      </c>
      <c r="F557" s="1">
        <v>3916.889893</v>
      </c>
      <c r="G557" s="1">
        <v>3917.469971</v>
      </c>
      <c r="H557" s="1">
        <v>5347140000</v>
      </c>
      <c r="I557" s="1">
        <f t="shared" si="8"/>
        <v>8.9184035178799023E-3</v>
      </c>
    </row>
    <row r="558" spans="1:9" x14ac:dyDescent="0.35">
      <c r="A558" s="1">
        <v>556</v>
      </c>
      <c r="B558" s="1" t="s">
        <v>565</v>
      </c>
      <c r="C558" s="1">
        <v>4002.8701169999999</v>
      </c>
      <c r="D558" s="1">
        <v>4002.8701169999999</v>
      </c>
      <c r="E558" s="1">
        <v>4009.080078</v>
      </c>
      <c r="F558" s="1">
        <v>3971.1899410000001</v>
      </c>
      <c r="G558" s="1">
        <v>3975.889893</v>
      </c>
      <c r="H558" s="1">
        <v>4920240000</v>
      </c>
      <c r="I558" s="1">
        <f t="shared" si="8"/>
        <v>1.2982193942461036E-2</v>
      </c>
    </row>
    <row r="559" spans="1:9" x14ac:dyDescent="0.35">
      <c r="A559" s="1">
        <v>557</v>
      </c>
      <c r="B559" s="1" t="s">
        <v>566</v>
      </c>
      <c r="C559" s="1">
        <v>3936.969971</v>
      </c>
      <c r="D559" s="1">
        <v>3936.969971</v>
      </c>
      <c r="E559" s="1">
        <v>4039.48999</v>
      </c>
      <c r="F559" s="1">
        <v>3936.169922</v>
      </c>
      <c r="G559" s="1">
        <v>4002.040039</v>
      </c>
      <c r="H559" s="1">
        <v>4533010000</v>
      </c>
      <c r="I559" s="1">
        <f t="shared" si="8"/>
        <v>-1.646322365547789E-2</v>
      </c>
    </row>
    <row r="560" spans="1:9" x14ac:dyDescent="0.35">
      <c r="A560" s="1">
        <v>558</v>
      </c>
      <c r="B560" s="1" t="s">
        <v>567</v>
      </c>
      <c r="C560" s="1">
        <v>3948.719971</v>
      </c>
      <c r="D560" s="1">
        <v>3948.719971</v>
      </c>
      <c r="E560" s="1">
        <v>4007.6599120000001</v>
      </c>
      <c r="F560" s="1">
        <v>3919.0500489999999</v>
      </c>
      <c r="G560" s="1">
        <v>3959.209961</v>
      </c>
      <c r="H560" s="1">
        <v>4991600000</v>
      </c>
      <c r="I560" s="1">
        <f t="shared" si="8"/>
        <v>2.9845287331504516E-3</v>
      </c>
    </row>
    <row r="561" spans="1:9" x14ac:dyDescent="0.35">
      <c r="A561" s="1">
        <v>559</v>
      </c>
      <c r="B561" s="1" t="s">
        <v>568</v>
      </c>
      <c r="C561" s="1">
        <v>3970.98999</v>
      </c>
      <c r="D561" s="1">
        <v>3970.98999</v>
      </c>
      <c r="E561" s="1">
        <v>3972.73999</v>
      </c>
      <c r="F561" s="1">
        <v>3909.1599120000001</v>
      </c>
      <c r="G561" s="1">
        <v>3939.209961</v>
      </c>
      <c r="H561" s="1">
        <v>4583970000</v>
      </c>
      <c r="I561" s="1">
        <f t="shared" si="8"/>
        <v>5.6398071181432098E-3</v>
      </c>
    </row>
    <row r="562" spans="1:9" x14ac:dyDescent="0.35">
      <c r="A562" s="1">
        <v>560</v>
      </c>
      <c r="B562" s="1" t="s">
        <v>569</v>
      </c>
      <c r="C562" s="1">
        <v>3977.530029</v>
      </c>
      <c r="D562" s="1">
        <v>3977.530029</v>
      </c>
      <c r="E562" s="1">
        <v>4003.830078</v>
      </c>
      <c r="F562" s="1">
        <v>3970.48999</v>
      </c>
      <c r="G562" s="1">
        <v>3982.929932</v>
      </c>
      <c r="H562" s="1">
        <v>4233540000</v>
      </c>
      <c r="I562" s="1">
        <f t="shared" si="8"/>
        <v>1.646954290106377E-3</v>
      </c>
    </row>
    <row r="563" spans="1:9" x14ac:dyDescent="0.35">
      <c r="A563" s="1">
        <v>561</v>
      </c>
      <c r="B563" s="1" t="s">
        <v>570</v>
      </c>
      <c r="C563" s="1">
        <v>3971.2700199999999</v>
      </c>
      <c r="D563" s="1">
        <v>3971.2700199999999</v>
      </c>
      <c r="E563" s="1">
        <v>3979.1999510000001</v>
      </c>
      <c r="F563" s="1">
        <v>3951.530029</v>
      </c>
      <c r="G563" s="1">
        <v>3974.1298830000001</v>
      </c>
      <c r="H563" s="1">
        <v>4014600000</v>
      </c>
      <c r="I563" s="1">
        <f t="shared" si="8"/>
        <v>-1.5738433033462037E-3</v>
      </c>
    </row>
    <row r="564" spans="1:9" x14ac:dyDescent="0.35">
      <c r="A564" s="1">
        <v>562</v>
      </c>
      <c r="B564" s="1" t="s">
        <v>571</v>
      </c>
      <c r="C564" s="1">
        <v>4027.8100589999999</v>
      </c>
      <c r="D564" s="1">
        <v>4027.8100589999999</v>
      </c>
      <c r="E564" s="1">
        <v>4030.5900879999999</v>
      </c>
      <c r="F564" s="1">
        <v>3999.530029</v>
      </c>
      <c r="G564" s="1">
        <v>3999.530029</v>
      </c>
      <c r="H564" s="1">
        <v>4145250000</v>
      </c>
      <c r="I564" s="1">
        <f t="shared" si="8"/>
        <v>1.4237268862417968E-2</v>
      </c>
    </row>
    <row r="565" spans="1:9" x14ac:dyDescent="0.35">
      <c r="A565" s="1">
        <v>563</v>
      </c>
      <c r="B565" s="1" t="s">
        <v>572</v>
      </c>
      <c r="C565" s="1">
        <v>4050.830078</v>
      </c>
      <c r="D565" s="1">
        <v>4050.830078</v>
      </c>
      <c r="E565" s="1">
        <v>4057.8500979999999</v>
      </c>
      <c r="F565" s="1">
        <v>4032.1000979999999</v>
      </c>
      <c r="G565" s="1">
        <v>4046.73999</v>
      </c>
      <c r="H565" s="1">
        <v>3930860000</v>
      </c>
      <c r="I565" s="1">
        <f t="shared" si="8"/>
        <v>5.7152692561960872E-3</v>
      </c>
    </row>
    <row r="566" spans="1:9" x14ac:dyDescent="0.35">
      <c r="A566" s="1">
        <v>564</v>
      </c>
      <c r="B566" s="1" t="s">
        <v>573</v>
      </c>
      <c r="C566" s="1">
        <v>4109.3100590000004</v>
      </c>
      <c r="D566" s="1">
        <v>4109.3100590000004</v>
      </c>
      <c r="E566" s="1">
        <v>4110.75</v>
      </c>
      <c r="F566" s="1">
        <v>4056.179932</v>
      </c>
      <c r="G566" s="1">
        <v>4056.179932</v>
      </c>
      <c r="H566" s="1">
        <v>4525120000</v>
      </c>
      <c r="I566" s="1">
        <f t="shared" si="8"/>
        <v>1.4436542603355383E-2</v>
      </c>
    </row>
    <row r="567" spans="1:9" x14ac:dyDescent="0.35">
      <c r="A567" s="1">
        <v>565</v>
      </c>
      <c r="B567" s="1" t="s">
        <v>574</v>
      </c>
      <c r="C567" s="1">
        <v>4124.5097660000001</v>
      </c>
      <c r="D567" s="1">
        <v>4124.5097660000001</v>
      </c>
      <c r="E567" s="1">
        <v>4127.6601559999999</v>
      </c>
      <c r="F567" s="1">
        <v>4098.7900390000004</v>
      </c>
      <c r="G567" s="1">
        <v>4102.2001950000003</v>
      </c>
      <c r="H567" s="1">
        <v>4234700000</v>
      </c>
      <c r="I567" s="1">
        <f t="shared" si="8"/>
        <v>3.6988464685720518E-3</v>
      </c>
    </row>
    <row r="568" spans="1:9" x14ac:dyDescent="0.35">
      <c r="A568" s="1">
        <v>566</v>
      </c>
      <c r="B568" s="1" t="s">
        <v>575</v>
      </c>
      <c r="C568" s="1">
        <v>4100.6000979999999</v>
      </c>
      <c r="D568" s="1">
        <v>4100.6000979999999</v>
      </c>
      <c r="E568" s="1">
        <v>4133.1298829999996</v>
      </c>
      <c r="F568" s="1">
        <v>4086.8701169999999</v>
      </c>
      <c r="G568" s="1">
        <v>4128.0297849999997</v>
      </c>
      <c r="H568" s="1">
        <v>4227800000</v>
      </c>
      <c r="I568" s="1">
        <f t="shared" si="8"/>
        <v>-5.7969720903796344E-3</v>
      </c>
    </row>
    <row r="569" spans="1:9" x14ac:dyDescent="0.35">
      <c r="A569" s="1">
        <v>567</v>
      </c>
      <c r="B569" s="1" t="s">
        <v>576</v>
      </c>
      <c r="C569" s="1">
        <v>4090.3798830000001</v>
      </c>
      <c r="D569" s="1">
        <v>4090.3798830000001</v>
      </c>
      <c r="E569" s="1">
        <v>4099.6899409999996</v>
      </c>
      <c r="F569" s="1">
        <v>4072.5600589999999</v>
      </c>
      <c r="G569" s="1">
        <v>4094.5</v>
      </c>
      <c r="H569" s="1">
        <v>3968020000</v>
      </c>
      <c r="I569" s="1">
        <f t="shared" si="8"/>
        <v>-2.4923705691234236E-3</v>
      </c>
    </row>
    <row r="570" spans="1:9" x14ac:dyDescent="0.35">
      <c r="A570" s="1">
        <v>568</v>
      </c>
      <c r="B570" s="1" t="s">
        <v>577</v>
      </c>
      <c r="C570" s="1">
        <v>4105.0200199999999</v>
      </c>
      <c r="D570" s="1">
        <v>4105.0200199999999</v>
      </c>
      <c r="E570" s="1">
        <v>4107.3198240000002</v>
      </c>
      <c r="F570" s="1">
        <v>4069.8400879999999</v>
      </c>
      <c r="G570" s="1">
        <v>4081.1499020000001</v>
      </c>
      <c r="H570" s="1">
        <v>3486690000</v>
      </c>
      <c r="I570" s="1">
        <f t="shared" si="8"/>
        <v>3.5791631630220071E-3</v>
      </c>
    </row>
    <row r="571" spans="1:9" x14ac:dyDescent="0.35">
      <c r="A571" s="1">
        <v>569</v>
      </c>
      <c r="B571" s="1" t="s">
        <v>578</v>
      </c>
      <c r="C571" s="1">
        <v>4109.1098629999997</v>
      </c>
      <c r="D571" s="1">
        <v>4109.1098629999997</v>
      </c>
      <c r="E571" s="1">
        <v>4109.5</v>
      </c>
      <c r="F571" s="1">
        <v>4072.5500489999999</v>
      </c>
      <c r="G571" s="1">
        <v>4085.1999510000001</v>
      </c>
      <c r="H571" s="1">
        <v>3423650000</v>
      </c>
      <c r="I571" s="1">
        <f t="shared" si="8"/>
        <v>9.9630281462055972E-4</v>
      </c>
    </row>
    <row r="572" spans="1:9" x14ac:dyDescent="0.35">
      <c r="A572" s="1">
        <v>570</v>
      </c>
      <c r="B572" s="1" t="s">
        <v>579</v>
      </c>
      <c r="C572" s="1">
        <v>4108.9399409999996</v>
      </c>
      <c r="D572" s="1">
        <v>4108.9399409999996</v>
      </c>
      <c r="E572" s="1">
        <v>4124.2597660000001</v>
      </c>
      <c r="F572" s="1">
        <v>4102.6098629999997</v>
      </c>
      <c r="G572" s="1">
        <v>4110.2900390000004</v>
      </c>
      <c r="H572" s="1">
        <v>3665830000</v>
      </c>
      <c r="I572" s="1">
        <f t="shared" si="8"/>
        <v>-4.1352508369290667E-5</v>
      </c>
    </row>
    <row r="573" spans="1:9" x14ac:dyDescent="0.35">
      <c r="A573" s="1">
        <v>571</v>
      </c>
      <c r="B573" s="1" t="s">
        <v>580</v>
      </c>
      <c r="C573" s="1">
        <v>4091.9499510000001</v>
      </c>
      <c r="D573" s="1">
        <v>4091.9499510000001</v>
      </c>
      <c r="E573" s="1">
        <v>4134.3701170000004</v>
      </c>
      <c r="F573" s="1">
        <v>4086.9399410000001</v>
      </c>
      <c r="G573" s="1">
        <v>4121.7202150000003</v>
      </c>
      <c r="H573" s="1">
        <v>3633120000</v>
      </c>
      <c r="I573" s="1">
        <f t="shared" si="8"/>
        <v>-4.1348839953753852E-3</v>
      </c>
    </row>
    <row r="574" spans="1:9" x14ac:dyDescent="0.35">
      <c r="A574" s="1">
        <v>572</v>
      </c>
      <c r="B574" s="1" t="s">
        <v>581</v>
      </c>
      <c r="C574" s="1">
        <v>4146.2202150000003</v>
      </c>
      <c r="D574" s="1">
        <v>4146.2202150000003</v>
      </c>
      <c r="E574" s="1">
        <v>4150.2597660000001</v>
      </c>
      <c r="F574" s="1">
        <v>4099.3999020000001</v>
      </c>
      <c r="G574" s="1">
        <v>4100.0400390000004</v>
      </c>
      <c r="H574" s="1">
        <v>3596590000</v>
      </c>
      <c r="I574" s="1">
        <f t="shared" si="8"/>
        <v>1.3262690074383127E-2</v>
      </c>
    </row>
    <row r="575" spans="1:9" x14ac:dyDescent="0.35">
      <c r="A575" s="1">
        <v>573</v>
      </c>
      <c r="B575" s="1" t="s">
        <v>582</v>
      </c>
      <c r="C575" s="1">
        <v>4137.6401370000003</v>
      </c>
      <c r="D575" s="1">
        <v>4137.6401370000003</v>
      </c>
      <c r="E575" s="1">
        <v>4163.1899409999996</v>
      </c>
      <c r="F575" s="1">
        <v>4113.2001950000003</v>
      </c>
      <c r="G575" s="1">
        <v>4140.1098629999997</v>
      </c>
      <c r="H575" s="1">
        <v>3575690000</v>
      </c>
      <c r="I575" s="1">
        <f t="shared" si="8"/>
        <v>-2.0693734425777377E-3</v>
      </c>
    </row>
    <row r="576" spans="1:9" x14ac:dyDescent="0.35">
      <c r="A576" s="1">
        <v>574</v>
      </c>
      <c r="B576" s="1" t="s">
        <v>583</v>
      </c>
      <c r="C576" s="1">
        <v>4151.3198240000002</v>
      </c>
      <c r="D576" s="1">
        <v>4151.3198240000002</v>
      </c>
      <c r="E576" s="1">
        <v>4151.7202150000003</v>
      </c>
      <c r="F576" s="1">
        <v>4123.1801759999998</v>
      </c>
      <c r="G576" s="1">
        <v>4137.169922</v>
      </c>
      <c r="H576" s="1">
        <v>3611180000</v>
      </c>
      <c r="I576" s="1">
        <f t="shared" si="8"/>
        <v>3.3061567818989451E-3</v>
      </c>
    </row>
    <row r="577" spans="1:9" x14ac:dyDescent="0.35">
      <c r="A577" s="1">
        <v>575</v>
      </c>
      <c r="B577" s="1" t="s">
        <v>584</v>
      </c>
      <c r="C577" s="1">
        <v>4154.8701170000004</v>
      </c>
      <c r="D577" s="1">
        <v>4154.8701170000004</v>
      </c>
      <c r="E577" s="1">
        <v>4169.4799800000001</v>
      </c>
      <c r="F577" s="1">
        <v>4140.3598629999997</v>
      </c>
      <c r="G577" s="1">
        <v>4164.2597660000001</v>
      </c>
      <c r="H577" s="1">
        <v>3536640000</v>
      </c>
      <c r="I577" s="1">
        <f t="shared" si="8"/>
        <v>8.5522030354658551E-4</v>
      </c>
    </row>
    <row r="578" spans="1:9" x14ac:dyDescent="0.35">
      <c r="A578" s="1">
        <v>576</v>
      </c>
      <c r="B578" s="1" t="s">
        <v>585</v>
      </c>
      <c r="C578" s="1">
        <v>4154.5200199999999</v>
      </c>
      <c r="D578" s="1">
        <v>4154.5200199999999</v>
      </c>
      <c r="E578" s="1">
        <v>4162.5698240000002</v>
      </c>
      <c r="F578" s="1">
        <v>4134.4902339999999</v>
      </c>
      <c r="G578" s="1">
        <v>4139.330078</v>
      </c>
      <c r="H578" s="1">
        <v>3572560000</v>
      </c>
      <c r="I578" s="1">
        <f t="shared" si="8"/>
        <v>-8.4261839754751574E-5</v>
      </c>
    </row>
    <row r="579" spans="1:9" x14ac:dyDescent="0.35">
      <c r="A579" s="1">
        <v>577</v>
      </c>
      <c r="B579" s="1" t="s">
        <v>586</v>
      </c>
      <c r="C579" s="1">
        <v>4129.7900390000004</v>
      </c>
      <c r="D579" s="1">
        <v>4129.7900390000004</v>
      </c>
      <c r="E579" s="1">
        <v>4148.5698240000002</v>
      </c>
      <c r="F579" s="1">
        <v>4114.5698240000002</v>
      </c>
      <c r="G579" s="1">
        <v>4130.4799800000001</v>
      </c>
      <c r="H579" s="1">
        <v>3772080000</v>
      </c>
      <c r="I579" s="1">
        <f t="shared" si="8"/>
        <v>-5.9525482801740109E-3</v>
      </c>
    </row>
    <row r="580" spans="1:9" x14ac:dyDescent="0.35">
      <c r="A580" s="1">
        <v>578</v>
      </c>
      <c r="B580" s="1" t="s">
        <v>587</v>
      </c>
      <c r="C580" s="1">
        <v>4133.5200199999999</v>
      </c>
      <c r="D580" s="1">
        <v>4133.5200199999999</v>
      </c>
      <c r="E580" s="1">
        <v>4138.0200199999999</v>
      </c>
      <c r="F580" s="1">
        <v>4113.8598629999997</v>
      </c>
      <c r="G580" s="1">
        <v>4132.1401370000003</v>
      </c>
      <c r="H580" s="1">
        <v>3611750000</v>
      </c>
      <c r="I580" s="1">
        <f t="shared" ref="I580:I643" si="9">(C580-C579)/C579</f>
        <v>9.0318901560978299E-4</v>
      </c>
    </row>
    <row r="581" spans="1:9" x14ac:dyDescent="0.35">
      <c r="A581" s="1">
        <v>579</v>
      </c>
      <c r="B581" s="1" t="s">
        <v>588</v>
      </c>
      <c r="C581" s="1">
        <v>4137.0400390000004</v>
      </c>
      <c r="D581" s="1">
        <v>4137.0400390000004</v>
      </c>
      <c r="E581" s="1">
        <v>4142.4101559999999</v>
      </c>
      <c r="F581" s="1">
        <v>4117.7700199999999</v>
      </c>
      <c r="G581" s="1">
        <v>4132.0698240000002</v>
      </c>
      <c r="H581" s="1">
        <v>3290940000</v>
      </c>
      <c r="I581" s="1">
        <f t="shared" si="9"/>
        <v>8.5157903747143393E-4</v>
      </c>
    </row>
    <row r="582" spans="1:9" x14ac:dyDescent="0.35">
      <c r="A582" s="1">
        <v>580</v>
      </c>
      <c r="B582" s="1" t="s">
        <v>589</v>
      </c>
      <c r="C582" s="1">
        <v>4071.6298830000001</v>
      </c>
      <c r="D582" s="1">
        <v>4071.6298830000001</v>
      </c>
      <c r="E582" s="1">
        <v>4126.4301759999998</v>
      </c>
      <c r="F582" s="1">
        <v>4071.3798830000001</v>
      </c>
      <c r="G582" s="1">
        <v>4126.4301759999998</v>
      </c>
      <c r="H582" s="1">
        <v>3978640000</v>
      </c>
      <c r="I582" s="1">
        <f t="shared" si="9"/>
        <v>-1.5810858822582541E-2</v>
      </c>
    </row>
    <row r="583" spans="1:9" x14ac:dyDescent="0.35">
      <c r="A583" s="1">
        <v>581</v>
      </c>
      <c r="B583" s="1" t="s">
        <v>590</v>
      </c>
      <c r="C583" s="1">
        <v>4055.98999</v>
      </c>
      <c r="D583" s="1">
        <v>4055.98999</v>
      </c>
      <c r="E583" s="1">
        <v>4089.669922</v>
      </c>
      <c r="F583" s="1">
        <v>4049.3500979999999</v>
      </c>
      <c r="G583" s="1">
        <v>4087.780029</v>
      </c>
      <c r="H583" s="1">
        <v>3837030000</v>
      </c>
      <c r="I583" s="1">
        <f t="shared" si="9"/>
        <v>-3.8411873007662637E-3</v>
      </c>
    </row>
    <row r="584" spans="1:9" x14ac:dyDescent="0.35">
      <c r="A584" s="1">
        <v>582</v>
      </c>
      <c r="B584" s="1" t="s">
        <v>591</v>
      </c>
      <c r="C584" s="1">
        <v>4135.3500979999999</v>
      </c>
      <c r="D584" s="1">
        <v>4135.3500979999999</v>
      </c>
      <c r="E584" s="1">
        <v>4138.2402339999999</v>
      </c>
      <c r="F584" s="1">
        <v>4075.290039</v>
      </c>
      <c r="G584" s="1">
        <v>4075.290039</v>
      </c>
      <c r="H584" s="1">
        <v>3750550000</v>
      </c>
      <c r="I584" s="1">
        <f t="shared" si="9"/>
        <v>1.9566149866163712E-2</v>
      </c>
    </row>
    <row r="585" spans="1:9" x14ac:dyDescent="0.35">
      <c r="A585" s="1">
        <v>583</v>
      </c>
      <c r="B585" s="1" t="s">
        <v>592</v>
      </c>
      <c r="C585" s="1">
        <v>4169.4799800000001</v>
      </c>
      <c r="D585" s="1">
        <v>4169.4799800000001</v>
      </c>
      <c r="E585" s="1">
        <v>4170.0600590000004</v>
      </c>
      <c r="F585" s="1">
        <v>4127.1801759999998</v>
      </c>
      <c r="G585" s="1">
        <v>4129.6298829999996</v>
      </c>
      <c r="H585" s="1">
        <v>4087800000</v>
      </c>
      <c r="I585" s="1">
        <f t="shared" si="9"/>
        <v>8.2532025562978544E-3</v>
      </c>
    </row>
    <row r="586" spans="1:9" x14ac:dyDescent="0.35">
      <c r="A586" s="1">
        <v>584</v>
      </c>
      <c r="B586" s="1" t="s">
        <v>593</v>
      </c>
      <c r="C586" s="1">
        <v>4167.8701170000004</v>
      </c>
      <c r="D586" s="1">
        <v>4167.8701170000004</v>
      </c>
      <c r="E586" s="1">
        <v>4186.919922</v>
      </c>
      <c r="F586" s="1">
        <v>4164.1201170000004</v>
      </c>
      <c r="G586" s="1">
        <v>4166.7900390000004</v>
      </c>
      <c r="H586" s="1">
        <v>3321370000</v>
      </c>
      <c r="I586" s="1">
        <f t="shared" si="9"/>
        <v>-3.8610642279656115E-4</v>
      </c>
    </row>
    <row r="587" spans="1:9" x14ac:dyDescent="0.35">
      <c r="A587" s="1">
        <v>585</v>
      </c>
      <c r="B587" s="1" t="s">
        <v>594</v>
      </c>
      <c r="C587" s="1">
        <v>4119.580078</v>
      </c>
      <c r="D587" s="1">
        <v>4119.580078</v>
      </c>
      <c r="E587" s="1">
        <v>4164.1000979999999</v>
      </c>
      <c r="F587" s="1">
        <v>4089.719971</v>
      </c>
      <c r="G587" s="1">
        <v>4164.1000979999999</v>
      </c>
      <c r="H587" s="1">
        <v>4486130000</v>
      </c>
      <c r="I587" s="1">
        <f t="shared" si="9"/>
        <v>-1.1586262921925989E-2</v>
      </c>
    </row>
    <row r="588" spans="1:9" x14ac:dyDescent="0.35">
      <c r="A588" s="1">
        <v>586</v>
      </c>
      <c r="B588" s="1" t="s">
        <v>595</v>
      </c>
      <c r="C588" s="1">
        <v>4090.75</v>
      </c>
      <c r="D588" s="1">
        <v>4090.75</v>
      </c>
      <c r="E588" s="1">
        <v>4148.2998049999997</v>
      </c>
      <c r="F588" s="1">
        <v>4088.860107</v>
      </c>
      <c r="G588" s="1">
        <v>4122.25</v>
      </c>
      <c r="H588" s="1">
        <v>4246510000</v>
      </c>
      <c r="I588" s="1">
        <f t="shared" si="9"/>
        <v>-6.9983050345258898E-3</v>
      </c>
    </row>
    <row r="589" spans="1:9" x14ac:dyDescent="0.35">
      <c r="A589" s="1">
        <v>587</v>
      </c>
      <c r="B589" s="1" t="s">
        <v>596</v>
      </c>
      <c r="C589" s="1">
        <v>4061.219971</v>
      </c>
      <c r="D589" s="1">
        <v>4061.219971</v>
      </c>
      <c r="E589" s="1">
        <v>4082.610107</v>
      </c>
      <c r="F589" s="1">
        <v>4048.280029</v>
      </c>
      <c r="G589" s="1">
        <v>4082.5500489999999</v>
      </c>
      <c r="H589" s="1">
        <v>4920090000</v>
      </c>
      <c r="I589" s="1">
        <f t="shared" si="9"/>
        <v>-7.2187322618101849E-3</v>
      </c>
    </row>
    <row r="590" spans="1:9" x14ac:dyDescent="0.35">
      <c r="A590" s="1">
        <v>588</v>
      </c>
      <c r="B590" s="1" t="s">
        <v>597</v>
      </c>
      <c r="C590" s="1">
        <v>4136.25</v>
      </c>
      <c r="D590" s="1">
        <v>4136.25</v>
      </c>
      <c r="E590" s="1">
        <v>4147.0200199999999</v>
      </c>
      <c r="F590" s="1">
        <v>4084.7299800000001</v>
      </c>
      <c r="G590" s="1">
        <v>4084.7299800000001</v>
      </c>
      <c r="H590" s="1">
        <v>4186270000</v>
      </c>
      <c r="I590" s="1">
        <f t="shared" si="9"/>
        <v>1.8474751315064881E-2</v>
      </c>
    </row>
    <row r="591" spans="1:9" x14ac:dyDescent="0.35">
      <c r="A591" s="1">
        <v>589</v>
      </c>
      <c r="B591" s="1" t="s">
        <v>598</v>
      </c>
      <c r="C591" s="1">
        <v>4138.1201170000004</v>
      </c>
      <c r="D591" s="1">
        <v>4138.1201170000004</v>
      </c>
      <c r="E591" s="1">
        <v>4142.2998049999997</v>
      </c>
      <c r="F591" s="1">
        <v>4123.8100590000004</v>
      </c>
      <c r="G591" s="1">
        <v>4136.9799800000001</v>
      </c>
      <c r="H591" s="1">
        <v>3641640000</v>
      </c>
      <c r="I591" s="1">
        <f t="shared" si="9"/>
        <v>4.5212861891819674E-4</v>
      </c>
    </row>
    <row r="592" spans="1:9" x14ac:dyDescent="0.35">
      <c r="A592" s="1">
        <v>590</v>
      </c>
      <c r="B592" s="1" t="s">
        <v>599</v>
      </c>
      <c r="C592" s="1">
        <v>4119.169922</v>
      </c>
      <c r="D592" s="1">
        <v>4119.169922</v>
      </c>
      <c r="E592" s="1">
        <v>4130.3500979999999</v>
      </c>
      <c r="F592" s="1">
        <v>4116.6499020000001</v>
      </c>
      <c r="G592" s="1">
        <v>4124.25</v>
      </c>
      <c r="H592" s="1">
        <v>3810140000</v>
      </c>
      <c r="I592" s="1">
        <f t="shared" si="9"/>
        <v>-4.579421201948727E-3</v>
      </c>
    </row>
    <row r="593" spans="1:9" x14ac:dyDescent="0.35">
      <c r="A593" s="1">
        <v>591</v>
      </c>
      <c r="B593" s="1" t="s">
        <v>600</v>
      </c>
      <c r="C593" s="1">
        <v>4137.6401370000003</v>
      </c>
      <c r="D593" s="1">
        <v>4137.6401370000003</v>
      </c>
      <c r="E593" s="1">
        <v>4154.2797849999997</v>
      </c>
      <c r="F593" s="1">
        <v>4098.919922</v>
      </c>
      <c r="G593" s="1">
        <v>4143.7402339999999</v>
      </c>
      <c r="H593" s="1">
        <v>4057160000</v>
      </c>
      <c r="I593" s="1">
        <f t="shared" si="9"/>
        <v>4.4839653012013524E-3</v>
      </c>
    </row>
    <row r="594" spans="1:9" x14ac:dyDescent="0.35">
      <c r="A594" s="1">
        <v>592</v>
      </c>
      <c r="B594" s="1" t="s">
        <v>601</v>
      </c>
      <c r="C594" s="1">
        <v>4130.6201170000004</v>
      </c>
      <c r="D594" s="1">
        <v>4130.6201170000004</v>
      </c>
      <c r="E594" s="1">
        <v>4132.7998049999997</v>
      </c>
      <c r="F594" s="1">
        <v>4109.2900390000004</v>
      </c>
      <c r="G594" s="1">
        <v>4132.2402339999999</v>
      </c>
      <c r="H594" s="1">
        <v>3752900000</v>
      </c>
      <c r="I594" s="1">
        <f t="shared" si="9"/>
        <v>-1.6966241063897363E-3</v>
      </c>
    </row>
    <row r="595" spans="1:9" x14ac:dyDescent="0.35">
      <c r="A595" s="1">
        <v>593</v>
      </c>
      <c r="B595" s="1" t="s">
        <v>602</v>
      </c>
      <c r="C595" s="1">
        <v>4124.080078</v>
      </c>
      <c r="D595" s="1">
        <v>4124.080078</v>
      </c>
      <c r="E595" s="1">
        <v>4143.7402339999999</v>
      </c>
      <c r="F595" s="1">
        <v>4099.1201170000004</v>
      </c>
      <c r="G595" s="1">
        <v>4138.5400390000004</v>
      </c>
      <c r="H595" s="1">
        <v>3533740000</v>
      </c>
      <c r="I595" s="1">
        <f t="shared" si="9"/>
        <v>-1.5833068194976868E-3</v>
      </c>
    </row>
    <row r="596" spans="1:9" x14ac:dyDescent="0.35">
      <c r="A596" s="1">
        <v>594</v>
      </c>
      <c r="B596" s="1" t="s">
        <v>603</v>
      </c>
      <c r="C596" s="1">
        <v>4136.2797849999997</v>
      </c>
      <c r="D596" s="1">
        <v>4136.2797849999997</v>
      </c>
      <c r="E596" s="1">
        <v>4141.25</v>
      </c>
      <c r="F596" s="1">
        <v>4110.2700199999999</v>
      </c>
      <c r="G596" s="1">
        <v>4126.6499020000001</v>
      </c>
      <c r="H596" s="1">
        <v>3562170000</v>
      </c>
      <c r="I596" s="1">
        <f t="shared" si="9"/>
        <v>2.9581644316460732E-3</v>
      </c>
    </row>
    <row r="597" spans="1:9" x14ac:dyDescent="0.35">
      <c r="A597" s="1">
        <v>595</v>
      </c>
      <c r="B597" s="1" t="s">
        <v>604</v>
      </c>
      <c r="C597" s="1">
        <v>4109.8999020000001</v>
      </c>
      <c r="D597" s="1">
        <v>4109.8999020000001</v>
      </c>
      <c r="E597" s="1">
        <v>4135.5400390000004</v>
      </c>
      <c r="F597" s="1">
        <v>4109.8598629999997</v>
      </c>
      <c r="G597" s="1">
        <v>4127.9501950000003</v>
      </c>
      <c r="H597" s="1">
        <v>3654200000</v>
      </c>
      <c r="I597" s="1">
        <f t="shared" si="9"/>
        <v>-6.3776834187244443E-3</v>
      </c>
    </row>
    <row r="598" spans="1:9" x14ac:dyDescent="0.35">
      <c r="A598" s="1">
        <v>596</v>
      </c>
      <c r="B598" s="1" t="s">
        <v>605</v>
      </c>
      <c r="C598" s="1">
        <v>4158.7700199999999</v>
      </c>
      <c r="D598" s="1">
        <v>4158.7700199999999</v>
      </c>
      <c r="E598" s="1">
        <v>4164.669922</v>
      </c>
      <c r="F598" s="1">
        <v>4113.6201170000004</v>
      </c>
      <c r="G598" s="1">
        <v>4122.8500979999999</v>
      </c>
      <c r="H598" s="1">
        <v>4039080000</v>
      </c>
      <c r="I598" s="1">
        <f t="shared" si="9"/>
        <v>1.1890829257476115E-2</v>
      </c>
    </row>
    <row r="599" spans="1:9" x14ac:dyDescent="0.35">
      <c r="A599" s="1">
        <v>597</v>
      </c>
      <c r="B599" s="1" t="s">
        <v>606</v>
      </c>
      <c r="C599" s="1">
        <v>4198.0498049999997</v>
      </c>
      <c r="D599" s="1">
        <v>4198.0498049999997</v>
      </c>
      <c r="E599" s="1">
        <v>4202.2001950000003</v>
      </c>
      <c r="F599" s="1">
        <v>4153.5</v>
      </c>
      <c r="G599" s="1">
        <v>4157.6801759999998</v>
      </c>
      <c r="H599" s="1">
        <v>3980500000</v>
      </c>
      <c r="I599" s="1">
        <f t="shared" si="9"/>
        <v>9.4450486107908703E-3</v>
      </c>
    </row>
    <row r="600" spans="1:9" x14ac:dyDescent="0.35">
      <c r="A600" s="1">
        <v>598</v>
      </c>
      <c r="B600" s="1" t="s">
        <v>607</v>
      </c>
      <c r="C600" s="1">
        <v>4191.9799800000001</v>
      </c>
      <c r="D600" s="1">
        <v>4191.9799800000001</v>
      </c>
      <c r="E600" s="1">
        <v>4212.9101559999999</v>
      </c>
      <c r="F600" s="1">
        <v>4180.2001950000003</v>
      </c>
      <c r="G600" s="1">
        <v>4204.1499020000001</v>
      </c>
      <c r="H600" s="1">
        <v>4041900000</v>
      </c>
      <c r="I600" s="1">
        <f t="shared" si="9"/>
        <v>-1.4458677914612266E-3</v>
      </c>
    </row>
    <row r="601" spans="1:9" x14ac:dyDescent="0.35">
      <c r="A601" s="1">
        <v>599</v>
      </c>
      <c r="B601" s="1" t="s">
        <v>608</v>
      </c>
      <c r="C601" s="1">
        <v>4192.6298829999996</v>
      </c>
      <c r="D601" s="1">
        <v>4192.6298829999996</v>
      </c>
      <c r="E601" s="1">
        <v>4209.2202150000003</v>
      </c>
      <c r="F601" s="1">
        <v>4179.6801759999998</v>
      </c>
      <c r="G601" s="1">
        <v>4190.7797849999997</v>
      </c>
      <c r="H601" s="1">
        <v>3728520000</v>
      </c>
      <c r="I601" s="1">
        <f t="shared" si="9"/>
        <v>1.5503485300508044E-4</v>
      </c>
    </row>
    <row r="602" spans="1:9" x14ac:dyDescent="0.35">
      <c r="A602" s="1">
        <v>600</v>
      </c>
      <c r="B602" s="1" t="s">
        <v>609</v>
      </c>
      <c r="C602" s="1">
        <v>4145.580078</v>
      </c>
      <c r="D602" s="1">
        <v>4145.580078</v>
      </c>
      <c r="E602" s="1">
        <v>4185.6801759999998</v>
      </c>
      <c r="F602" s="1">
        <v>4142.5400390000004</v>
      </c>
      <c r="G602" s="1">
        <v>4176.7998049999997</v>
      </c>
      <c r="H602" s="1">
        <v>4155320000</v>
      </c>
      <c r="I602" s="1">
        <f t="shared" si="9"/>
        <v>-1.1222026821583778E-2</v>
      </c>
    </row>
    <row r="603" spans="1:9" x14ac:dyDescent="0.35">
      <c r="A603" s="1">
        <v>601</v>
      </c>
      <c r="B603" s="1" t="s">
        <v>610</v>
      </c>
      <c r="C603" s="1">
        <v>4115.2402339999999</v>
      </c>
      <c r="D603" s="1">
        <v>4115.2402339999999</v>
      </c>
      <c r="E603" s="1">
        <v>4132.9599609999996</v>
      </c>
      <c r="F603" s="1">
        <v>4103.9799800000001</v>
      </c>
      <c r="G603" s="1">
        <v>4132.9599609999996</v>
      </c>
      <c r="H603" s="1">
        <v>0</v>
      </c>
      <c r="I603" s="1">
        <f t="shared" si="9"/>
        <v>-7.3186003958792866E-3</v>
      </c>
    </row>
    <row r="604" spans="1:9" x14ac:dyDescent="0.35">
      <c r="A604" s="1">
        <v>602</v>
      </c>
      <c r="B604" s="1" t="s">
        <v>611</v>
      </c>
      <c r="C604" s="1">
        <v>4151.2797849999997</v>
      </c>
      <c r="D604" s="1">
        <v>4151.2797849999997</v>
      </c>
      <c r="E604" s="1">
        <v>4165.7402339999999</v>
      </c>
      <c r="F604" s="1">
        <v>4129.7299800000001</v>
      </c>
      <c r="G604" s="1">
        <v>4155.7099609999996</v>
      </c>
      <c r="H604" s="1">
        <v>4147760000</v>
      </c>
      <c r="I604" s="1">
        <f t="shared" si="9"/>
        <v>8.7575813198563918E-3</v>
      </c>
    </row>
    <row r="605" spans="1:9" x14ac:dyDescent="0.35">
      <c r="A605" s="1">
        <v>603</v>
      </c>
      <c r="B605" s="1" t="s">
        <v>612</v>
      </c>
      <c r="C605" s="1">
        <v>4205.4501950000003</v>
      </c>
      <c r="D605" s="1">
        <v>4205.4501950000003</v>
      </c>
      <c r="E605" s="1">
        <v>4212.8701170000004</v>
      </c>
      <c r="F605" s="1">
        <v>4156.1601559999999</v>
      </c>
      <c r="G605" s="1">
        <v>4156.1601559999999</v>
      </c>
      <c r="H605" s="1">
        <v>3715460000</v>
      </c>
      <c r="I605" s="1">
        <f t="shared" si="9"/>
        <v>1.3049086740849637E-2</v>
      </c>
    </row>
    <row r="606" spans="1:9" x14ac:dyDescent="0.35">
      <c r="A606" s="1">
        <v>604</v>
      </c>
      <c r="B606" s="1" t="s">
        <v>613</v>
      </c>
      <c r="C606" s="1">
        <v>4205.5200199999999</v>
      </c>
      <c r="D606" s="1">
        <v>4205.5200199999999</v>
      </c>
      <c r="E606" s="1">
        <v>4231.1000979999999</v>
      </c>
      <c r="F606" s="1">
        <v>4192.1801759999998</v>
      </c>
      <c r="G606" s="1">
        <v>4226.7099609999996</v>
      </c>
      <c r="H606" s="1">
        <v>4228510000</v>
      </c>
      <c r="I606" s="1">
        <f t="shared" si="9"/>
        <v>1.6603454270508214E-5</v>
      </c>
    </row>
    <row r="607" spans="1:9" x14ac:dyDescent="0.35">
      <c r="A607" s="1">
        <v>605</v>
      </c>
      <c r="B607" s="1" t="s">
        <v>614</v>
      </c>
      <c r="C607" s="1">
        <v>4179.830078</v>
      </c>
      <c r="D607" s="1">
        <v>4179.830078</v>
      </c>
      <c r="E607" s="1">
        <v>4195.4399409999996</v>
      </c>
      <c r="F607" s="1">
        <v>4166.1499020000001</v>
      </c>
      <c r="G607" s="1">
        <v>4190.7402339999999</v>
      </c>
      <c r="H607" s="1">
        <v>5980670000</v>
      </c>
      <c r="I607" s="1">
        <f t="shared" si="9"/>
        <v>-6.1086243503365783E-3</v>
      </c>
    </row>
    <row r="608" spans="1:9" x14ac:dyDescent="0.35">
      <c r="A608" s="1">
        <v>606</v>
      </c>
      <c r="B608" s="1" t="s">
        <v>615</v>
      </c>
      <c r="C608" s="1">
        <v>4221.0200199999999</v>
      </c>
      <c r="D608" s="1">
        <v>4221.0200199999999</v>
      </c>
      <c r="E608" s="1">
        <v>4232.4301759999998</v>
      </c>
      <c r="F608" s="1">
        <v>4171.6401370000003</v>
      </c>
      <c r="G608" s="1">
        <v>4183.0297849999997</v>
      </c>
      <c r="H608" s="1">
        <v>4391860000</v>
      </c>
      <c r="I608" s="1">
        <f t="shared" si="9"/>
        <v>9.854453705378588E-3</v>
      </c>
    </row>
    <row r="609" spans="1:9" x14ac:dyDescent="0.35">
      <c r="A609" s="1">
        <v>607</v>
      </c>
      <c r="B609" s="1" t="s">
        <v>616</v>
      </c>
      <c r="C609" s="1">
        <v>4282.3701170000004</v>
      </c>
      <c r="D609" s="1">
        <v>4282.3701170000004</v>
      </c>
      <c r="E609" s="1">
        <v>4290.669922</v>
      </c>
      <c r="F609" s="1">
        <v>4241.0097660000001</v>
      </c>
      <c r="G609" s="1">
        <v>4241.0097660000001</v>
      </c>
      <c r="H609" s="1">
        <v>4454200000</v>
      </c>
      <c r="I609" s="1">
        <f t="shared" si="9"/>
        <v>1.4534424548879647E-2</v>
      </c>
    </row>
    <row r="610" spans="1:9" x14ac:dyDescent="0.35">
      <c r="A610" s="1">
        <v>608</v>
      </c>
      <c r="B610" s="1" t="s">
        <v>617</v>
      </c>
      <c r="C610" s="1">
        <v>4273.7900390000004</v>
      </c>
      <c r="D610" s="1">
        <v>4273.7900390000004</v>
      </c>
      <c r="E610" s="1">
        <v>4299.2797849999997</v>
      </c>
      <c r="F610" s="1">
        <v>4266.8198240000002</v>
      </c>
      <c r="G610" s="1">
        <v>4282.9902339999999</v>
      </c>
      <c r="H610" s="1">
        <v>3813290000</v>
      </c>
      <c r="I610" s="1">
        <f t="shared" si="9"/>
        <v>-2.0035816068160643E-3</v>
      </c>
    </row>
    <row r="611" spans="1:9" x14ac:dyDescent="0.35">
      <c r="A611" s="1">
        <v>609</v>
      </c>
      <c r="B611" s="1" t="s">
        <v>618</v>
      </c>
      <c r="C611" s="1">
        <v>4283.8500979999999</v>
      </c>
      <c r="D611" s="1">
        <v>4283.8500979999999</v>
      </c>
      <c r="E611" s="1">
        <v>4288.330078</v>
      </c>
      <c r="F611" s="1">
        <v>4263.0898440000001</v>
      </c>
      <c r="G611" s="1">
        <v>4271.3398440000001</v>
      </c>
      <c r="H611" s="1">
        <v>3996560000</v>
      </c>
      <c r="I611" s="1">
        <f t="shared" si="9"/>
        <v>2.3538964030047089E-3</v>
      </c>
    </row>
    <row r="612" spans="1:9" x14ac:dyDescent="0.35">
      <c r="A612" s="1">
        <v>610</v>
      </c>
      <c r="B612" s="1" t="s">
        <v>619</v>
      </c>
      <c r="C612" s="1">
        <v>4267.5200199999999</v>
      </c>
      <c r="D612" s="1">
        <v>4267.5200199999999</v>
      </c>
      <c r="E612" s="1">
        <v>4299.1899409999996</v>
      </c>
      <c r="F612" s="1">
        <v>4263.9599609999996</v>
      </c>
      <c r="G612" s="1">
        <v>4285.4702150000003</v>
      </c>
      <c r="H612" s="1">
        <v>4537800000</v>
      </c>
      <c r="I612" s="1">
        <f t="shared" si="9"/>
        <v>-3.8120096703719809E-3</v>
      </c>
    </row>
    <row r="613" spans="1:9" x14ac:dyDescent="0.35">
      <c r="A613" s="1">
        <v>611</v>
      </c>
      <c r="B613" s="1" t="s">
        <v>620</v>
      </c>
      <c r="C613" s="1">
        <v>4293.9301759999998</v>
      </c>
      <c r="D613" s="1">
        <v>4293.9301759999998</v>
      </c>
      <c r="E613" s="1">
        <v>4298.0097660000001</v>
      </c>
      <c r="F613" s="1">
        <v>4261.0698240000002</v>
      </c>
      <c r="G613" s="1">
        <v>4268.6899409999996</v>
      </c>
      <c r="H613" s="1">
        <v>3826740000</v>
      </c>
      <c r="I613" s="1">
        <f t="shared" si="9"/>
        <v>6.1886425549797222E-3</v>
      </c>
    </row>
    <row r="614" spans="1:9" x14ac:dyDescent="0.35">
      <c r="A614" s="1">
        <v>612</v>
      </c>
      <c r="B614" s="1" t="s">
        <v>621</v>
      </c>
      <c r="C614" s="1">
        <v>4298.8598629999997</v>
      </c>
      <c r="D614" s="1">
        <v>4298.8598629999997</v>
      </c>
      <c r="E614" s="1">
        <v>4322.6201170000004</v>
      </c>
      <c r="F614" s="1">
        <v>4291.7001950000003</v>
      </c>
      <c r="G614" s="1">
        <v>4304.8798829999996</v>
      </c>
      <c r="H614" s="1">
        <v>3786510000</v>
      </c>
      <c r="I614" s="1">
        <f t="shared" si="9"/>
        <v>1.1480594229392124E-3</v>
      </c>
    </row>
    <row r="615" spans="1:9" x14ac:dyDescent="0.35">
      <c r="A615" s="1">
        <v>613</v>
      </c>
      <c r="B615" s="1" t="s">
        <v>622</v>
      </c>
      <c r="C615" s="1">
        <v>4338.9301759999998</v>
      </c>
      <c r="D615" s="1">
        <v>4338.9301759999998</v>
      </c>
      <c r="E615" s="1">
        <v>4340.1298829999996</v>
      </c>
      <c r="F615" s="1">
        <v>4304.3701170000004</v>
      </c>
      <c r="G615" s="1">
        <v>4308.3198240000002</v>
      </c>
      <c r="H615" s="1">
        <v>3945670000</v>
      </c>
      <c r="I615" s="1">
        <f t="shared" si="9"/>
        <v>9.3211489271568682E-3</v>
      </c>
    </row>
    <row r="616" spans="1:9" x14ac:dyDescent="0.35">
      <c r="A616" s="1">
        <v>614</v>
      </c>
      <c r="B616" s="1" t="s">
        <v>623</v>
      </c>
      <c r="C616" s="1">
        <v>4369.0097660000001</v>
      </c>
      <c r="D616" s="1">
        <v>4369.0097660000001</v>
      </c>
      <c r="E616" s="1">
        <v>4375.3701170000004</v>
      </c>
      <c r="F616" s="1">
        <v>4349.3100590000004</v>
      </c>
      <c r="G616" s="1">
        <v>4352.6098629999997</v>
      </c>
      <c r="H616" s="1">
        <v>4275400000</v>
      </c>
      <c r="I616" s="1">
        <f t="shared" si="9"/>
        <v>6.9324899871355478E-3</v>
      </c>
    </row>
    <row r="617" spans="1:9" x14ac:dyDescent="0.35">
      <c r="A617" s="1">
        <v>615</v>
      </c>
      <c r="B617" s="1" t="s">
        <v>624</v>
      </c>
      <c r="C617" s="1">
        <v>4372.5898440000001</v>
      </c>
      <c r="D617" s="1">
        <v>4372.5898440000001</v>
      </c>
      <c r="E617" s="1">
        <v>4391.8198240000002</v>
      </c>
      <c r="F617" s="1">
        <v>4337.8500979999999</v>
      </c>
      <c r="G617" s="1">
        <v>4366.2900390000004</v>
      </c>
      <c r="H617" s="1">
        <v>4252110000</v>
      </c>
      <c r="I617" s="1">
        <f t="shared" si="9"/>
        <v>8.1942549725121344E-4</v>
      </c>
    </row>
    <row r="618" spans="1:9" x14ac:dyDescent="0.35">
      <c r="A618" s="1">
        <v>616</v>
      </c>
      <c r="B618" s="1" t="s">
        <v>625</v>
      </c>
      <c r="C618" s="1">
        <v>4425.8398440000001</v>
      </c>
      <c r="D618" s="1">
        <v>4425.8398440000001</v>
      </c>
      <c r="E618" s="1">
        <v>4439.2001950000003</v>
      </c>
      <c r="F618" s="1">
        <v>4362.6000979999999</v>
      </c>
      <c r="G618" s="1">
        <v>4365.330078</v>
      </c>
      <c r="H618" s="1">
        <v>4176690000</v>
      </c>
      <c r="I618" s="1">
        <f t="shared" si="9"/>
        <v>1.2178137419650467E-2</v>
      </c>
    </row>
    <row r="619" spans="1:9" x14ac:dyDescent="0.35">
      <c r="A619" s="1">
        <v>617</v>
      </c>
      <c r="B619" s="1" t="s">
        <v>626</v>
      </c>
      <c r="C619" s="1">
        <v>4409.5898440000001</v>
      </c>
      <c r="D619" s="1">
        <v>4409.5898440000001</v>
      </c>
      <c r="E619" s="1">
        <v>4448.4702150000003</v>
      </c>
      <c r="F619" s="1">
        <v>4407.4399409999996</v>
      </c>
      <c r="G619" s="1">
        <v>4440.9501950000003</v>
      </c>
      <c r="H619" s="1">
        <v>6848600000</v>
      </c>
      <c r="I619" s="1">
        <f t="shared" si="9"/>
        <v>-3.67161952821897E-3</v>
      </c>
    </row>
    <row r="620" spans="1:9" x14ac:dyDescent="0.35">
      <c r="A620" s="1">
        <v>618</v>
      </c>
      <c r="B620" s="1" t="s">
        <v>627</v>
      </c>
      <c r="C620" s="1">
        <v>4388.7099609999996</v>
      </c>
      <c r="D620" s="1">
        <v>4388.7099609999996</v>
      </c>
      <c r="E620" s="1">
        <v>4400.1499020000001</v>
      </c>
      <c r="F620" s="1">
        <v>4367.1899409999996</v>
      </c>
      <c r="G620" s="1">
        <v>4396.1098629999997</v>
      </c>
      <c r="H620" s="1">
        <v>4055790000</v>
      </c>
      <c r="I620" s="1">
        <f t="shared" si="9"/>
        <v>-4.7351077398754366E-3</v>
      </c>
    </row>
    <row r="621" spans="1:9" x14ac:dyDescent="0.35">
      <c r="A621" s="1">
        <v>619</v>
      </c>
      <c r="B621" s="1" t="s">
        <v>628</v>
      </c>
      <c r="C621" s="1">
        <v>4365.6899409999996</v>
      </c>
      <c r="D621" s="1">
        <v>4365.6899409999996</v>
      </c>
      <c r="E621" s="1">
        <v>4386.2202150000003</v>
      </c>
      <c r="F621" s="1">
        <v>4360.1401370000003</v>
      </c>
      <c r="G621" s="1">
        <v>4380.0097660000001</v>
      </c>
      <c r="H621" s="1">
        <v>3709330000</v>
      </c>
      <c r="I621" s="1">
        <f t="shared" si="9"/>
        <v>-5.2452816897370566E-3</v>
      </c>
    </row>
    <row r="622" spans="1:9" x14ac:dyDescent="0.35">
      <c r="A622" s="1">
        <v>620</v>
      </c>
      <c r="B622" s="1" t="s">
        <v>629</v>
      </c>
      <c r="C622" s="1">
        <v>4381.8901370000003</v>
      </c>
      <c r="D622" s="1">
        <v>4381.8901370000003</v>
      </c>
      <c r="E622" s="1">
        <v>4382.25</v>
      </c>
      <c r="F622" s="1">
        <v>4351.8198240000002</v>
      </c>
      <c r="G622" s="1">
        <v>4355.3999020000001</v>
      </c>
      <c r="H622" s="1">
        <v>3511000000</v>
      </c>
      <c r="I622" s="1">
        <f t="shared" si="9"/>
        <v>3.7107985722618429E-3</v>
      </c>
    </row>
    <row r="623" spans="1:9" x14ac:dyDescent="0.35">
      <c r="A623" s="1">
        <v>621</v>
      </c>
      <c r="B623" s="1" t="s">
        <v>630</v>
      </c>
      <c r="C623" s="1">
        <v>4348.330078</v>
      </c>
      <c r="D623" s="1">
        <v>4348.330078</v>
      </c>
      <c r="E623" s="1">
        <v>4366.5498049999997</v>
      </c>
      <c r="F623" s="1">
        <v>4341.3398440000001</v>
      </c>
      <c r="G623" s="1">
        <v>4354.169922</v>
      </c>
      <c r="H623" s="1">
        <v>6053620000</v>
      </c>
      <c r="I623" s="1">
        <f t="shared" si="9"/>
        <v>-7.6588088589041601E-3</v>
      </c>
    </row>
    <row r="624" spans="1:9" x14ac:dyDescent="0.35">
      <c r="A624" s="1">
        <v>622</v>
      </c>
      <c r="B624" s="1" t="s">
        <v>631</v>
      </c>
      <c r="C624" s="1">
        <v>4328.8198240000002</v>
      </c>
      <c r="D624" s="1">
        <v>4328.8198240000002</v>
      </c>
      <c r="E624" s="1">
        <v>4362.0600590000004</v>
      </c>
      <c r="F624" s="1">
        <v>4328.080078</v>
      </c>
      <c r="G624" s="1">
        <v>4344.8398440000001</v>
      </c>
      <c r="H624" s="1">
        <v>3415030000</v>
      </c>
      <c r="I624" s="1">
        <f t="shared" si="9"/>
        <v>-4.4868383149453735E-3</v>
      </c>
    </row>
    <row r="625" spans="1:9" x14ac:dyDescent="0.35">
      <c r="A625" s="1">
        <v>623</v>
      </c>
      <c r="B625" s="1" t="s">
        <v>632</v>
      </c>
      <c r="C625" s="1">
        <v>4378.4101559999999</v>
      </c>
      <c r="D625" s="1">
        <v>4378.4101559999999</v>
      </c>
      <c r="E625" s="1">
        <v>4384.419922</v>
      </c>
      <c r="F625" s="1">
        <v>4335</v>
      </c>
      <c r="G625" s="1">
        <v>4337.3598629999997</v>
      </c>
      <c r="H625" s="1">
        <v>3573500000</v>
      </c>
      <c r="I625" s="1">
        <f t="shared" si="9"/>
        <v>1.1455854948052872E-2</v>
      </c>
    </row>
    <row r="626" spans="1:9" x14ac:dyDescent="0.35">
      <c r="A626" s="1">
        <v>624</v>
      </c>
      <c r="B626" s="1" t="s">
        <v>633</v>
      </c>
      <c r="C626" s="1">
        <v>4376.8598629999997</v>
      </c>
      <c r="D626" s="1">
        <v>4376.8598629999997</v>
      </c>
      <c r="E626" s="1">
        <v>4390.3500979999999</v>
      </c>
      <c r="F626" s="1">
        <v>4360.2202150000003</v>
      </c>
      <c r="G626" s="1">
        <v>4367.4799800000001</v>
      </c>
      <c r="H626" s="1">
        <v>3739330000</v>
      </c>
      <c r="I626" s="1">
        <f t="shared" si="9"/>
        <v>-3.540766955959523E-4</v>
      </c>
    </row>
    <row r="627" spans="1:9" x14ac:dyDescent="0.35">
      <c r="A627" s="1">
        <v>625</v>
      </c>
      <c r="B627" s="1" t="s">
        <v>634</v>
      </c>
      <c r="C627" s="1">
        <v>4396.4399409999996</v>
      </c>
      <c r="D627" s="1">
        <v>4396.4399409999996</v>
      </c>
      <c r="E627" s="1">
        <v>4398.3901370000003</v>
      </c>
      <c r="F627" s="1">
        <v>4371.9702150000003</v>
      </c>
      <c r="G627" s="1">
        <v>4374.9399409999996</v>
      </c>
      <c r="H627" s="1">
        <v>3696660000</v>
      </c>
      <c r="I627" s="1">
        <f t="shared" si="9"/>
        <v>4.4735446445341122E-3</v>
      </c>
    </row>
    <row r="628" spans="1:9" x14ac:dyDescent="0.35">
      <c r="A628" s="1">
        <v>626</v>
      </c>
      <c r="B628" s="1" t="s">
        <v>635</v>
      </c>
      <c r="C628" s="1">
        <v>4450.3798829999996</v>
      </c>
      <c r="D628" s="1">
        <v>4450.3798829999996</v>
      </c>
      <c r="E628" s="1">
        <v>4458.4799800000001</v>
      </c>
      <c r="F628" s="1">
        <v>4422.4399409999996</v>
      </c>
      <c r="G628" s="1">
        <v>4422.4399409999996</v>
      </c>
      <c r="H628" s="1">
        <v>3923450000</v>
      </c>
      <c r="I628" s="1">
        <f t="shared" si="9"/>
        <v>1.2269004631900185E-2</v>
      </c>
    </row>
    <row r="629" spans="1:9" x14ac:dyDescent="0.35">
      <c r="A629" s="1">
        <v>627</v>
      </c>
      <c r="B629" s="1" t="s">
        <v>636</v>
      </c>
      <c r="C629" s="1">
        <v>4455.5898440000001</v>
      </c>
      <c r="D629" s="1">
        <v>4455.5898440000001</v>
      </c>
      <c r="E629" s="1">
        <v>4456.4599609999996</v>
      </c>
      <c r="F629" s="1">
        <v>4442.2900390000004</v>
      </c>
      <c r="G629" s="1">
        <v>4450.4799800000001</v>
      </c>
      <c r="H629" s="1">
        <v>2034280000</v>
      </c>
      <c r="I629" s="1">
        <f t="shared" si="9"/>
        <v>1.1706778155954728E-3</v>
      </c>
    </row>
    <row r="630" spans="1:9" x14ac:dyDescent="0.35">
      <c r="A630" s="1">
        <v>628</v>
      </c>
      <c r="B630" s="1" t="s">
        <v>637</v>
      </c>
      <c r="C630" s="1">
        <v>4446.8198240000002</v>
      </c>
      <c r="D630" s="1">
        <v>4446.8198240000002</v>
      </c>
      <c r="E630" s="1">
        <v>4454.0600590000004</v>
      </c>
      <c r="F630" s="1">
        <v>4436.6098629999997</v>
      </c>
      <c r="G630" s="1">
        <v>4442.0400390000004</v>
      </c>
      <c r="H630" s="1">
        <v>3482620000</v>
      </c>
      <c r="I630" s="1">
        <f t="shared" si="9"/>
        <v>-1.9683185183236385E-3</v>
      </c>
    </row>
    <row r="631" spans="1:9" x14ac:dyDescent="0.35">
      <c r="A631" s="1">
        <v>629</v>
      </c>
      <c r="B631" s="1" t="s">
        <v>638</v>
      </c>
      <c r="C631" s="1">
        <v>4411.5898440000001</v>
      </c>
      <c r="D631" s="1">
        <v>4411.5898440000001</v>
      </c>
      <c r="E631" s="1">
        <v>4422.6201170000004</v>
      </c>
      <c r="F631" s="1">
        <v>4385.0498049999997</v>
      </c>
      <c r="G631" s="1">
        <v>4422.6201170000004</v>
      </c>
      <c r="H631" s="1">
        <v>3682020000</v>
      </c>
      <c r="I631" s="1">
        <f t="shared" si="9"/>
        <v>-7.9225112314782343E-3</v>
      </c>
    </row>
    <row r="632" spans="1:9" x14ac:dyDescent="0.35">
      <c r="A632" s="1">
        <v>630</v>
      </c>
      <c r="B632" s="1" t="s">
        <v>639</v>
      </c>
      <c r="C632" s="1">
        <v>4398.9501950000003</v>
      </c>
      <c r="D632" s="1">
        <v>4398.9501950000003</v>
      </c>
      <c r="E632" s="1">
        <v>4440.3901370000003</v>
      </c>
      <c r="F632" s="1">
        <v>4397.3999020000001</v>
      </c>
      <c r="G632" s="1">
        <v>4404.5400390000004</v>
      </c>
      <c r="H632" s="1">
        <v>3630480000</v>
      </c>
      <c r="I632" s="1">
        <f t="shared" si="9"/>
        <v>-2.8651006659629382E-3</v>
      </c>
    </row>
    <row r="633" spans="1:9" x14ac:dyDescent="0.35">
      <c r="A633" s="1">
        <v>631</v>
      </c>
      <c r="B633" s="1" t="s">
        <v>640</v>
      </c>
      <c r="C633" s="1">
        <v>4409.5297849999997</v>
      </c>
      <c r="D633" s="1">
        <v>4409.5297849999997</v>
      </c>
      <c r="E633" s="1">
        <v>4412.6000979999999</v>
      </c>
      <c r="F633" s="1">
        <v>4389.919922</v>
      </c>
      <c r="G633" s="1">
        <v>4394.2299800000001</v>
      </c>
      <c r="H633" s="1">
        <v>3429600000</v>
      </c>
      <c r="I633" s="1">
        <f t="shared" si="9"/>
        <v>2.4050260928219873E-3</v>
      </c>
    </row>
    <row r="634" spans="1:9" x14ac:dyDescent="0.35">
      <c r="A634" s="1">
        <v>632</v>
      </c>
      <c r="B634" s="1" t="s">
        <v>641</v>
      </c>
      <c r="C634" s="1">
        <v>4439.2597660000001</v>
      </c>
      <c r="D634" s="1">
        <v>4439.2597660000001</v>
      </c>
      <c r="E634" s="1">
        <v>4443.6401370000003</v>
      </c>
      <c r="F634" s="1">
        <v>4408.4599609999996</v>
      </c>
      <c r="G634" s="1">
        <v>4415.5498049999997</v>
      </c>
      <c r="H634" s="1">
        <v>3624220000</v>
      </c>
      <c r="I634" s="1">
        <f t="shared" si="9"/>
        <v>6.7422111766051738E-3</v>
      </c>
    </row>
    <row r="635" spans="1:9" x14ac:dyDescent="0.35">
      <c r="A635" s="1">
        <v>633</v>
      </c>
      <c r="B635" s="1" t="s">
        <v>642</v>
      </c>
      <c r="C635" s="1">
        <v>4472.1601559999999</v>
      </c>
      <c r="D635" s="1">
        <v>4472.1601559999999</v>
      </c>
      <c r="E635" s="1">
        <v>4488.3398440000001</v>
      </c>
      <c r="F635" s="1">
        <v>4463.2299800000001</v>
      </c>
      <c r="G635" s="1">
        <v>4467.6899409999996</v>
      </c>
      <c r="H635" s="1">
        <v>3920290000</v>
      </c>
      <c r="I635" s="1">
        <f t="shared" si="9"/>
        <v>7.4112333438970434E-3</v>
      </c>
    </row>
    <row r="636" spans="1:9" x14ac:dyDescent="0.35">
      <c r="A636" s="1">
        <v>634</v>
      </c>
      <c r="B636" s="1" t="s">
        <v>643</v>
      </c>
      <c r="C636" s="1">
        <v>4510.0400390000004</v>
      </c>
      <c r="D636" s="1">
        <v>4510.0400390000004</v>
      </c>
      <c r="E636" s="1">
        <v>4517.3798829999996</v>
      </c>
      <c r="F636" s="1">
        <v>4489.3598629999997</v>
      </c>
      <c r="G636" s="1">
        <v>4491.5</v>
      </c>
      <c r="H636" s="1">
        <v>3839530000</v>
      </c>
      <c r="I636" s="1">
        <f t="shared" si="9"/>
        <v>8.4701535004688046E-3</v>
      </c>
    </row>
    <row r="637" spans="1:9" x14ac:dyDescent="0.35">
      <c r="A637" s="1">
        <v>635</v>
      </c>
      <c r="B637" s="1" t="s">
        <v>644</v>
      </c>
      <c r="C637" s="1">
        <v>4505.419922</v>
      </c>
      <c r="D637" s="1">
        <v>4505.419922</v>
      </c>
      <c r="E637" s="1">
        <v>4527.7597660000001</v>
      </c>
      <c r="F637" s="1">
        <v>4499.5600590000004</v>
      </c>
      <c r="G637" s="1">
        <v>4514.6098629999997</v>
      </c>
      <c r="H637" s="1">
        <v>3647450000</v>
      </c>
      <c r="I637" s="1">
        <f t="shared" si="9"/>
        <v>-1.0244070917438679E-3</v>
      </c>
    </row>
    <row r="638" spans="1:9" x14ac:dyDescent="0.35">
      <c r="A638" s="1">
        <v>636</v>
      </c>
      <c r="B638" s="1" t="s">
        <v>645</v>
      </c>
      <c r="C638" s="1">
        <v>4522.7900390000004</v>
      </c>
      <c r="D638" s="1">
        <v>4522.7900390000004</v>
      </c>
      <c r="E638" s="1">
        <v>4532.8500979999999</v>
      </c>
      <c r="F638" s="1">
        <v>4504.8999020000001</v>
      </c>
      <c r="G638" s="1">
        <v>4508.8598629999997</v>
      </c>
      <c r="H638" s="1">
        <v>3538240000</v>
      </c>
      <c r="I638" s="1">
        <f t="shared" si="9"/>
        <v>3.8553824728261125E-3</v>
      </c>
    </row>
    <row r="639" spans="1:9" x14ac:dyDescent="0.35">
      <c r="A639" s="1">
        <v>637</v>
      </c>
      <c r="B639" s="1" t="s">
        <v>646</v>
      </c>
      <c r="C639" s="1">
        <v>4554.9799800000001</v>
      </c>
      <c r="D639" s="1">
        <v>4554.9799800000001</v>
      </c>
      <c r="E639" s="1">
        <v>4562.2998049999997</v>
      </c>
      <c r="F639" s="1">
        <v>4514.5898440000001</v>
      </c>
      <c r="G639" s="1">
        <v>4521.7797849999997</v>
      </c>
      <c r="H639" s="1">
        <v>4090010000</v>
      </c>
      <c r="I639" s="1">
        <f t="shared" si="9"/>
        <v>7.1172751161176842E-3</v>
      </c>
    </row>
    <row r="640" spans="1:9" x14ac:dyDescent="0.35">
      <c r="A640" s="1">
        <v>638</v>
      </c>
      <c r="B640" s="1" t="s">
        <v>647</v>
      </c>
      <c r="C640" s="1">
        <v>4565.7202150000003</v>
      </c>
      <c r="D640" s="1">
        <v>4565.7202150000003</v>
      </c>
      <c r="E640" s="1">
        <v>4578.4301759999998</v>
      </c>
      <c r="F640" s="1">
        <v>4557.4799800000001</v>
      </c>
      <c r="G640" s="1">
        <v>4563.8701170000004</v>
      </c>
      <c r="H640" s="1">
        <v>4115670000</v>
      </c>
      <c r="I640" s="1">
        <f t="shared" si="9"/>
        <v>2.3579104731872415E-3</v>
      </c>
    </row>
    <row r="641" spans="1:9" x14ac:dyDescent="0.35">
      <c r="A641" s="1">
        <v>639</v>
      </c>
      <c r="B641" s="1" t="s">
        <v>648</v>
      </c>
      <c r="C641" s="1">
        <v>4534.8701170000004</v>
      </c>
      <c r="D641" s="1">
        <v>4534.8701170000004</v>
      </c>
      <c r="E641" s="1">
        <v>4564.7402339999999</v>
      </c>
      <c r="F641" s="1">
        <v>4527.5600590000004</v>
      </c>
      <c r="G641" s="1">
        <v>4554.3798829999996</v>
      </c>
      <c r="H641" s="1">
        <v>3761770000</v>
      </c>
      <c r="I641" s="1">
        <f t="shared" si="9"/>
        <v>-6.7568962939617812E-3</v>
      </c>
    </row>
    <row r="642" spans="1:9" x14ac:dyDescent="0.35">
      <c r="A642" s="1">
        <v>640</v>
      </c>
      <c r="B642" s="1" t="s">
        <v>649</v>
      </c>
      <c r="C642" s="1">
        <v>4536.3398440000001</v>
      </c>
      <c r="D642" s="1">
        <v>4536.3398440000001</v>
      </c>
      <c r="E642" s="1">
        <v>4555</v>
      </c>
      <c r="F642" s="1">
        <v>4535.7900390000004</v>
      </c>
      <c r="G642" s="1">
        <v>4550.1601559999999</v>
      </c>
      <c r="H642" s="1">
        <v>3570190000</v>
      </c>
      <c r="I642" s="1">
        <f t="shared" si="9"/>
        <v>3.2409461838611096E-4</v>
      </c>
    </row>
    <row r="643" spans="1:9" x14ac:dyDescent="0.35">
      <c r="A643" s="1">
        <v>641</v>
      </c>
      <c r="B643" s="1" t="s">
        <v>650</v>
      </c>
      <c r="C643" s="1">
        <v>4554.6401370000003</v>
      </c>
      <c r="D643" s="1">
        <v>4554.6401370000003</v>
      </c>
      <c r="E643" s="1">
        <v>4563.4101559999999</v>
      </c>
      <c r="F643" s="1">
        <v>4541.2900390000004</v>
      </c>
      <c r="G643" s="1">
        <v>4543.3901370000003</v>
      </c>
      <c r="H643" s="1">
        <v>3856250000</v>
      </c>
      <c r="I643" s="1">
        <f t="shared" si="9"/>
        <v>4.0341538838200497E-3</v>
      </c>
    </row>
    <row r="644" spans="1:9" x14ac:dyDescent="0.35">
      <c r="A644" s="1">
        <v>642</v>
      </c>
      <c r="B644" s="1" t="s">
        <v>651</v>
      </c>
      <c r="C644" s="1">
        <v>4567.4599609999996</v>
      </c>
      <c r="D644" s="1">
        <v>4567.4599609999996</v>
      </c>
      <c r="E644" s="1">
        <v>4580.6201170000004</v>
      </c>
      <c r="F644" s="1">
        <v>4552.419922</v>
      </c>
      <c r="G644" s="1">
        <v>4555.1899409999996</v>
      </c>
      <c r="H644" s="1">
        <v>3812470000</v>
      </c>
      <c r="I644" s="1">
        <f t="shared" ref="I644:I707" si="10">(C644-C643)/C643</f>
        <v>2.8146733033541618E-3</v>
      </c>
    </row>
    <row r="645" spans="1:9" x14ac:dyDescent="0.35">
      <c r="A645" s="1">
        <v>643</v>
      </c>
      <c r="B645" s="1" t="s">
        <v>652</v>
      </c>
      <c r="C645" s="1">
        <v>4566.75</v>
      </c>
      <c r="D645" s="1">
        <v>4566.75</v>
      </c>
      <c r="E645" s="1">
        <v>4582.4702150000003</v>
      </c>
      <c r="F645" s="1">
        <v>4547.580078</v>
      </c>
      <c r="G645" s="1">
        <v>4558.9599609999996</v>
      </c>
      <c r="H645" s="1">
        <v>3990290000</v>
      </c>
      <c r="I645" s="1">
        <f t="shared" si="10"/>
        <v>-1.5543891048015396E-4</v>
      </c>
    </row>
    <row r="646" spans="1:9" x14ac:dyDescent="0.35">
      <c r="A646" s="1">
        <v>644</v>
      </c>
      <c r="B646" s="1" t="s">
        <v>653</v>
      </c>
      <c r="C646" s="1">
        <v>4537.4101559999999</v>
      </c>
      <c r="D646" s="1">
        <v>4537.4101559999999</v>
      </c>
      <c r="E646" s="1">
        <v>4607.0698240000002</v>
      </c>
      <c r="F646" s="1">
        <v>4528.5600590000004</v>
      </c>
      <c r="G646" s="1">
        <v>4598.2597660000001</v>
      </c>
      <c r="H646" s="1">
        <v>4553210000</v>
      </c>
      <c r="I646" s="1">
        <f t="shared" si="10"/>
        <v>-6.4246661192314198E-3</v>
      </c>
    </row>
    <row r="647" spans="1:9" x14ac:dyDescent="0.35">
      <c r="A647" s="1">
        <v>645</v>
      </c>
      <c r="B647" s="1" t="s">
        <v>654</v>
      </c>
      <c r="C647" s="1">
        <v>4582.2299800000001</v>
      </c>
      <c r="D647" s="1">
        <v>4582.2299800000001</v>
      </c>
      <c r="E647" s="1">
        <v>4590.1601559999999</v>
      </c>
      <c r="F647" s="1">
        <v>4564.0097660000001</v>
      </c>
      <c r="G647" s="1">
        <v>4565.75</v>
      </c>
      <c r="H647" s="1">
        <v>3981010000</v>
      </c>
      <c r="I647" s="1">
        <f t="shared" si="10"/>
        <v>9.8778427470862639E-3</v>
      </c>
    </row>
    <row r="648" spans="1:9" x14ac:dyDescent="0.35">
      <c r="A648" s="1">
        <v>646</v>
      </c>
      <c r="B648" s="1" t="s">
        <v>655</v>
      </c>
      <c r="C648" s="1">
        <v>4588.9599609999996</v>
      </c>
      <c r="D648" s="1">
        <v>4588.9599609999996</v>
      </c>
      <c r="E648" s="1">
        <v>4594.2202150000003</v>
      </c>
      <c r="F648" s="1">
        <v>4573.1401370000003</v>
      </c>
      <c r="G648" s="1">
        <v>4584.8198240000002</v>
      </c>
      <c r="H648" s="1">
        <v>4503600000</v>
      </c>
      <c r="I648" s="1">
        <f t="shared" si="10"/>
        <v>1.4687130566064467E-3</v>
      </c>
    </row>
    <row r="649" spans="1:9" x14ac:dyDescent="0.35">
      <c r="A649" s="1">
        <v>647</v>
      </c>
      <c r="B649" s="1" t="s">
        <v>656</v>
      </c>
      <c r="C649" s="1">
        <v>4576.7299800000001</v>
      </c>
      <c r="D649" s="1">
        <v>4576.7299800000001</v>
      </c>
      <c r="E649" s="1">
        <v>4584.6201170000004</v>
      </c>
      <c r="F649" s="1">
        <v>4567.5297849999997</v>
      </c>
      <c r="G649" s="1">
        <v>4578.830078</v>
      </c>
      <c r="H649" s="1">
        <v>4042370000</v>
      </c>
      <c r="I649" s="1">
        <f t="shared" si="10"/>
        <v>-2.6650877549462015E-3</v>
      </c>
    </row>
    <row r="650" spans="1:9" x14ac:dyDescent="0.35">
      <c r="A650" s="1">
        <v>648</v>
      </c>
      <c r="B650" s="1" t="s">
        <v>657</v>
      </c>
      <c r="C650" s="1">
        <v>4513.3901370000003</v>
      </c>
      <c r="D650" s="1">
        <v>4513.3901370000003</v>
      </c>
      <c r="E650" s="1">
        <v>4550.9301759999998</v>
      </c>
      <c r="F650" s="1">
        <v>4505.75</v>
      </c>
      <c r="G650" s="1">
        <v>4550.9301759999998</v>
      </c>
      <c r="H650" s="1">
        <v>4270710000</v>
      </c>
      <c r="I650" s="1">
        <f t="shared" si="10"/>
        <v>-1.3839541173892838E-2</v>
      </c>
    </row>
    <row r="651" spans="1:9" x14ac:dyDescent="0.35">
      <c r="A651" s="1">
        <v>649</v>
      </c>
      <c r="B651" s="1" t="s">
        <v>658</v>
      </c>
      <c r="C651" s="1">
        <v>4501.8901370000003</v>
      </c>
      <c r="D651" s="1">
        <v>4501.8901370000003</v>
      </c>
      <c r="E651" s="1">
        <v>4519.4902339999999</v>
      </c>
      <c r="F651" s="1">
        <v>4485.5400390000004</v>
      </c>
      <c r="G651" s="1">
        <v>4494.2700199999999</v>
      </c>
      <c r="H651" s="1">
        <v>4149120000</v>
      </c>
      <c r="I651" s="1">
        <f t="shared" si="10"/>
        <v>-2.5479738402680876E-3</v>
      </c>
    </row>
    <row r="652" spans="1:9" x14ac:dyDescent="0.35">
      <c r="A652" s="1">
        <v>650</v>
      </c>
      <c r="B652" s="1" t="s">
        <v>659</v>
      </c>
      <c r="C652" s="1">
        <v>4478.0297849999997</v>
      </c>
      <c r="D652" s="1">
        <v>4478.0297849999997</v>
      </c>
      <c r="E652" s="1">
        <v>4540.3398440000001</v>
      </c>
      <c r="F652" s="1">
        <v>4474.5498049999997</v>
      </c>
      <c r="G652" s="1">
        <v>4513.9599609999996</v>
      </c>
      <c r="H652" s="1">
        <v>4143310000</v>
      </c>
      <c r="I652" s="1">
        <f t="shared" si="10"/>
        <v>-5.3000742519009637E-3</v>
      </c>
    </row>
    <row r="653" spans="1:9" x14ac:dyDescent="0.35">
      <c r="A653" s="1">
        <v>651</v>
      </c>
      <c r="B653" s="1" t="s">
        <v>660</v>
      </c>
      <c r="C653" s="1">
        <v>4518.4399409999996</v>
      </c>
      <c r="D653" s="1">
        <v>4518.4399409999996</v>
      </c>
      <c r="E653" s="1">
        <v>4519.8398440000001</v>
      </c>
      <c r="F653" s="1">
        <v>4491.1499020000001</v>
      </c>
      <c r="G653" s="1">
        <v>4491.580078</v>
      </c>
      <c r="H653" s="1">
        <v>3493920000</v>
      </c>
      <c r="I653" s="1">
        <f t="shared" si="10"/>
        <v>9.0240927238495177E-3</v>
      </c>
    </row>
    <row r="654" spans="1:9" x14ac:dyDescent="0.35">
      <c r="A654" s="1">
        <v>652</v>
      </c>
      <c r="B654" s="1" t="s">
        <v>661</v>
      </c>
      <c r="C654" s="1">
        <v>4499.3798829999996</v>
      </c>
      <c r="D654" s="1">
        <v>4499.3798829999996</v>
      </c>
      <c r="E654" s="1">
        <v>4503.3100590000004</v>
      </c>
      <c r="F654" s="1">
        <v>4464.3901370000003</v>
      </c>
      <c r="G654" s="1">
        <v>4498.0297849999997</v>
      </c>
      <c r="H654" s="1">
        <v>3884910000</v>
      </c>
      <c r="I654" s="1">
        <f t="shared" si="10"/>
        <v>-4.2182829137664152E-3</v>
      </c>
    </row>
    <row r="655" spans="1:9" x14ac:dyDescent="0.35">
      <c r="A655" s="1">
        <v>653</v>
      </c>
      <c r="B655" s="1" t="s">
        <v>662</v>
      </c>
      <c r="C655" s="1">
        <v>4467.7099609999996</v>
      </c>
      <c r="D655" s="1">
        <v>4467.7099609999996</v>
      </c>
      <c r="E655" s="1">
        <v>4502.4399409999996</v>
      </c>
      <c r="F655" s="1">
        <v>4461.330078</v>
      </c>
      <c r="G655" s="1">
        <v>4501.5698240000002</v>
      </c>
      <c r="H655" s="1">
        <v>3803100000</v>
      </c>
      <c r="I655" s="1">
        <f t="shared" si="10"/>
        <v>-7.0387304080854482E-3</v>
      </c>
    </row>
    <row r="656" spans="1:9" x14ac:dyDescent="0.35">
      <c r="A656" s="1">
        <v>654</v>
      </c>
      <c r="B656" s="1" t="s">
        <v>663</v>
      </c>
      <c r="C656" s="1">
        <v>4468.830078</v>
      </c>
      <c r="D656" s="1">
        <v>4468.830078</v>
      </c>
      <c r="E656" s="1">
        <v>4527.3701170000004</v>
      </c>
      <c r="F656" s="1">
        <v>4457.919922</v>
      </c>
      <c r="G656" s="1">
        <v>4487.1601559999999</v>
      </c>
      <c r="H656" s="1">
        <v>4504370000</v>
      </c>
      <c r="I656" s="1">
        <f t="shared" si="10"/>
        <v>2.5071390259847519E-4</v>
      </c>
    </row>
    <row r="657" spans="1:9" x14ac:dyDescent="0.35">
      <c r="A657" s="1">
        <v>655</v>
      </c>
      <c r="B657" s="1" t="s">
        <v>664</v>
      </c>
      <c r="C657" s="1">
        <v>4464.0498049999997</v>
      </c>
      <c r="D657" s="1">
        <v>4464.0498049999997</v>
      </c>
      <c r="E657" s="1">
        <v>4476.2299800000001</v>
      </c>
      <c r="F657" s="1">
        <v>4443.9799800000001</v>
      </c>
      <c r="G657" s="1">
        <v>4450.6899409999996</v>
      </c>
      <c r="H657" s="1">
        <v>3753290000</v>
      </c>
      <c r="I657" s="1">
        <f t="shared" si="10"/>
        <v>-1.0696922721527356E-3</v>
      </c>
    </row>
    <row r="658" spans="1:9" x14ac:dyDescent="0.35">
      <c r="A658" s="1">
        <v>656</v>
      </c>
      <c r="B658" s="1" t="s">
        <v>665</v>
      </c>
      <c r="C658" s="1">
        <v>4489.7202150000003</v>
      </c>
      <c r="D658" s="1">
        <v>4489.7202150000003</v>
      </c>
      <c r="E658" s="1">
        <v>4490.330078</v>
      </c>
      <c r="F658" s="1">
        <v>4453.4399409999996</v>
      </c>
      <c r="G658" s="1">
        <v>4458.1298829999996</v>
      </c>
      <c r="H658" s="1">
        <v>3896410000</v>
      </c>
      <c r="I658" s="1">
        <f t="shared" si="10"/>
        <v>5.7504757162987414E-3</v>
      </c>
    </row>
    <row r="659" spans="1:9" x14ac:dyDescent="0.35">
      <c r="A659" s="1">
        <v>657</v>
      </c>
      <c r="B659" s="1" t="s">
        <v>666</v>
      </c>
      <c r="C659" s="1">
        <v>4437.8598629999997</v>
      </c>
      <c r="D659" s="1">
        <v>4437.8598629999997</v>
      </c>
      <c r="E659" s="1">
        <v>4478.8701170000004</v>
      </c>
      <c r="F659" s="1">
        <v>4432.1899409999996</v>
      </c>
      <c r="G659" s="1">
        <v>4478.8701170000004</v>
      </c>
      <c r="H659" s="1">
        <v>3832250000</v>
      </c>
      <c r="I659" s="1">
        <f t="shared" si="10"/>
        <v>-1.1550909525884698E-2</v>
      </c>
    </row>
    <row r="660" spans="1:9" x14ac:dyDescent="0.35">
      <c r="A660" s="1">
        <v>658</v>
      </c>
      <c r="B660" s="1" t="s">
        <v>667</v>
      </c>
      <c r="C660" s="1">
        <v>4404.330078</v>
      </c>
      <c r="D660" s="1">
        <v>4404.330078</v>
      </c>
      <c r="E660" s="1">
        <v>4449.9501950000003</v>
      </c>
      <c r="F660" s="1">
        <v>4403.5498049999997</v>
      </c>
      <c r="G660" s="1">
        <v>4433.7900390000004</v>
      </c>
      <c r="H660" s="1">
        <v>3753910000</v>
      </c>
      <c r="I660" s="1">
        <f t="shared" si="10"/>
        <v>-7.5553951758480127E-3</v>
      </c>
    </row>
    <row r="661" spans="1:9" x14ac:dyDescent="0.35">
      <c r="A661" s="1">
        <v>659</v>
      </c>
      <c r="B661" s="1" t="s">
        <v>668</v>
      </c>
      <c r="C661" s="1">
        <v>4370.3598629999997</v>
      </c>
      <c r="D661" s="1">
        <v>4370.3598629999997</v>
      </c>
      <c r="E661" s="1">
        <v>4421.169922</v>
      </c>
      <c r="F661" s="1">
        <v>4364.830078</v>
      </c>
      <c r="G661" s="1">
        <v>4416.3198240000002</v>
      </c>
      <c r="H661" s="1">
        <v>3943700000</v>
      </c>
      <c r="I661" s="1">
        <f t="shared" si="10"/>
        <v>-7.7129130647324478E-3</v>
      </c>
    </row>
    <row r="662" spans="1:9" x14ac:dyDescent="0.35">
      <c r="A662" s="1">
        <v>660</v>
      </c>
      <c r="B662" s="1" t="s">
        <v>669</v>
      </c>
      <c r="C662" s="1">
        <v>4369.7099609999996</v>
      </c>
      <c r="D662" s="1">
        <v>4369.7099609999996</v>
      </c>
      <c r="E662" s="1">
        <v>4381.8198240000002</v>
      </c>
      <c r="F662" s="1">
        <v>4335.3100590000004</v>
      </c>
      <c r="G662" s="1">
        <v>4344.8798829999996</v>
      </c>
      <c r="H662" s="1">
        <v>3940400000</v>
      </c>
      <c r="I662" s="1">
        <f t="shared" si="10"/>
        <v>-1.4870674735558066E-4</v>
      </c>
    </row>
    <row r="663" spans="1:9" x14ac:dyDescent="0.35">
      <c r="A663" s="1">
        <v>661</v>
      </c>
      <c r="B663" s="1" t="s">
        <v>670</v>
      </c>
      <c r="C663" s="1">
        <v>4399.7700199999999</v>
      </c>
      <c r="D663" s="1">
        <v>4399.7700199999999</v>
      </c>
      <c r="E663" s="1">
        <v>4407.5498049999997</v>
      </c>
      <c r="F663" s="1">
        <v>4360.2998049999997</v>
      </c>
      <c r="G663" s="1">
        <v>4380.2797849999997</v>
      </c>
      <c r="H663" s="1">
        <v>3726850000</v>
      </c>
      <c r="I663" s="1">
        <f t="shared" si="10"/>
        <v>6.8791886116673015E-3</v>
      </c>
    </row>
    <row r="664" spans="1:9" x14ac:dyDescent="0.35">
      <c r="A664" s="1">
        <v>662</v>
      </c>
      <c r="B664" s="1" t="s">
        <v>671</v>
      </c>
      <c r="C664" s="1">
        <v>4387.5498049999997</v>
      </c>
      <c r="D664" s="1">
        <v>4387.5498049999997</v>
      </c>
      <c r="E664" s="1">
        <v>4418.5898440000001</v>
      </c>
      <c r="F664" s="1">
        <v>4382.7700199999999</v>
      </c>
      <c r="G664" s="1">
        <v>4415.330078</v>
      </c>
      <c r="H664" s="1">
        <v>3522760000</v>
      </c>
      <c r="I664" s="1">
        <f t="shared" si="10"/>
        <v>-2.7774667640469717E-3</v>
      </c>
    </row>
    <row r="665" spans="1:9" x14ac:dyDescent="0.35">
      <c r="A665" s="1">
        <v>663</v>
      </c>
      <c r="B665" s="1" t="s">
        <v>672</v>
      </c>
      <c r="C665" s="1">
        <v>4436.0097660000001</v>
      </c>
      <c r="D665" s="1">
        <v>4436.0097660000001</v>
      </c>
      <c r="E665" s="1">
        <v>4443.1801759999998</v>
      </c>
      <c r="F665" s="1">
        <v>4396.4399409999996</v>
      </c>
      <c r="G665" s="1">
        <v>4396.4399409999996</v>
      </c>
      <c r="H665" s="1">
        <v>3837270000</v>
      </c>
      <c r="I665" s="1">
        <f t="shared" si="10"/>
        <v>1.1044879979430907E-2</v>
      </c>
    </row>
    <row r="666" spans="1:9" x14ac:dyDescent="0.35">
      <c r="A666" s="1">
        <v>664</v>
      </c>
      <c r="B666" s="1" t="s">
        <v>673</v>
      </c>
      <c r="C666" s="1">
        <v>4376.3100590000004</v>
      </c>
      <c r="D666" s="1">
        <v>4376.3100590000004</v>
      </c>
      <c r="E666" s="1">
        <v>4458.2998049999997</v>
      </c>
      <c r="F666" s="1">
        <v>4375.5498049999997</v>
      </c>
      <c r="G666" s="1">
        <v>4455.1601559999999</v>
      </c>
      <c r="H666" s="1">
        <v>3723470000</v>
      </c>
      <c r="I666" s="1">
        <f t="shared" si="10"/>
        <v>-1.345797465496377E-2</v>
      </c>
    </row>
    <row r="667" spans="1:9" x14ac:dyDescent="0.35">
      <c r="A667" s="1">
        <v>665</v>
      </c>
      <c r="B667" s="1" t="s">
        <v>674</v>
      </c>
      <c r="C667" s="1">
        <v>4405.7099609999996</v>
      </c>
      <c r="D667" s="1">
        <v>4405.7099609999996</v>
      </c>
      <c r="E667" s="1">
        <v>4418.4599609999996</v>
      </c>
      <c r="F667" s="1">
        <v>4356.2900390000004</v>
      </c>
      <c r="G667" s="1">
        <v>4389.3798829999996</v>
      </c>
      <c r="H667" s="1">
        <v>3296180000</v>
      </c>
      <c r="I667" s="1">
        <f t="shared" si="10"/>
        <v>6.7179659584534019E-3</v>
      </c>
    </row>
    <row r="668" spans="1:9" x14ac:dyDescent="0.35">
      <c r="A668" s="1">
        <v>666</v>
      </c>
      <c r="B668" s="1" t="s">
        <v>675</v>
      </c>
      <c r="C668" s="1">
        <v>4433.3100590000004</v>
      </c>
      <c r="D668" s="1">
        <v>4433.3100590000004</v>
      </c>
      <c r="E668" s="1">
        <v>4439.5600590000004</v>
      </c>
      <c r="F668" s="1">
        <v>4414.9799800000001</v>
      </c>
      <c r="G668" s="1">
        <v>4426.0297849999997</v>
      </c>
      <c r="H668" s="1">
        <v>2957230000</v>
      </c>
      <c r="I668" s="1">
        <f t="shared" si="10"/>
        <v>6.2646198329715241E-3</v>
      </c>
    </row>
    <row r="669" spans="1:9" x14ac:dyDescent="0.35">
      <c r="A669" s="1">
        <v>667</v>
      </c>
      <c r="B669" s="1" t="s">
        <v>676</v>
      </c>
      <c r="C669" s="1">
        <v>4497.6298829999996</v>
      </c>
      <c r="D669" s="1">
        <v>4497.6298829999996</v>
      </c>
      <c r="E669" s="1">
        <v>4500.1401370000003</v>
      </c>
      <c r="F669" s="1">
        <v>4431.6801759999998</v>
      </c>
      <c r="G669" s="1">
        <v>4432.75</v>
      </c>
      <c r="H669" s="1">
        <v>3354820000</v>
      </c>
      <c r="I669" s="1">
        <f t="shared" si="10"/>
        <v>1.4508307143874242E-2</v>
      </c>
    </row>
    <row r="670" spans="1:9" x14ac:dyDescent="0.35">
      <c r="A670" s="1">
        <v>668</v>
      </c>
      <c r="B670" s="1" t="s">
        <v>677</v>
      </c>
      <c r="C670" s="1">
        <v>4514.8701170000004</v>
      </c>
      <c r="D670" s="1">
        <v>4514.8701170000004</v>
      </c>
      <c r="E670" s="1">
        <v>4521.6499020000001</v>
      </c>
      <c r="F670" s="1">
        <v>4493.5898440000001</v>
      </c>
      <c r="G670" s="1">
        <v>4500.3398440000001</v>
      </c>
      <c r="H670" s="1">
        <v>3064110000</v>
      </c>
      <c r="I670" s="1">
        <f t="shared" si="10"/>
        <v>3.8331820199712027E-3</v>
      </c>
    </row>
    <row r="671" spans="1:9" x14ac:dyDescent="0.35">
      <c r="A671" s="1">
        <v>669</v>
      </c>
      <c r="B671" s="1" t="s">
        <v>678</v>
      </c>
      <c r="C671" s="1">
        <v>4507.6601559999999</v>
      </c>
      <c r="D671" s="1">
        <v>4507.6601559999999</v>
      </c>
      <c r="E671" s="1">
        <v>4532.2597660000001</v>
      </c>
      <c r="F671" s="1">
        <v>4507.3901370000003</v>
      </c>
      <c r="G671" s="1">
        <v>4517.0097660000001</v>
      </c>
      <c r="H671" s="1">
        <v>3946360000</v>
      </c>
      <c r="I671" s="1">
        <f t="shared" si="10"/>
        <v>-1.5969365260038277E-3</v>
      </c>
    </row>
    <row r="672" spans="1:9" x14ac:dyDescent="0.35">
      <c r="A672" s="1">
        <v>670</v>
      </c>
      <c r="B672" s="1" t="s">
        <v>679</v>
      </c>
      <c r="C672" s="1">
        <v>4515.7700199999999</v>
      </c>
      <c r="D672" s="1">
        <v>4515.7700199999999</v>
      </c>
      <c r="E672" s="1">
        <v>4541.25</v>
      </c>
      <c r="F672" s="1">
        <v>4501.3500979999999</v>
      </c>
      <c r="G672" s="1">
        <v>4530.6000979999999</v>
      </c>
      <c r="H672" s="1">
        <v>3246260000</v>
      </c>
      <c r="I672" s="1">
        <f t="shared" si="10"/>
        <v>1.7991294195515693E-3</v>
      </c>
    </row>
    <row r="673" spans="1:9" x14ac:dyDescent="0.35">
      <c r="A673" s="1">
        <v>671</v>
      </c>
      <c r="B673" s="1" t="s">
        <v>680</v>
      </c>
      <c r="C673" s="1">
        <v>4496.830078</v>
      </c>
      <c r="D673" s="1">
        <v>4496.830078</v>
      </c>
      <c r="E673" s="1">
        <v>4514.2900390000004</v>
      </c>
      <c r="F673" s="1">
        <v>4496.0097660000001</v>
      </c>
      <c r="G673" s="1">
        <v>4510.0600590000004</v>
      </c>
      <c r="H673" s="1">
        <v>3526250000</v>
      </c>
      <c r="I673" s="1">
        <f t="shared" si="10"/>
        <v>-4.1941777185544038E-3</v>
      </c>
    </row>
    <row r="674" spans="1:9" x14ac:dyDescent="0.35">
      <c r="A674" s="1">
        <v>672</v>
      </c>
      <c r="B674" s="1" t="s">
        <v>681</v>
      </c>
      <c r="C674" s="1">
        <v>4465.4799800000001</v>
      </c>
      <c r="D674" s="1">
        <v>4465.4799800000001</v>
      </c>
      <c r="E674" s="1">
        <v>4490.3500979999999</v>
      </c>
      <c r="F674" s="1">
        <v>4442.3798829999996</v>
      </c>
      <c r="G674" s="1">
        <v>4490.3500979999999</v>
      </c>
      <c r="H674" s="1">
        <v>3418850000</v>
      </c>
      <c r="I674" s="1">
        <f t="shared" si="10"/>
        <v>-6.9715994280893723E-3</v>
      </c>
    </row>
    <row r="675" spans="1:9" x14ac:dyDescent="0.35">
      <c r="A675" s="1">
        <v>673</v>
      </c>
      <c r="B675" s="1" t="s">
        <v>682</v>
      </c>
      <c r="C675" s="1">
        <v>4451.1401370000003</v>
      </c>
      <c r="D675" s="1">
        <v>4451.1401370000003</v>
      </c>
      <c r="E675" s="1">
        <v>4457.8100590000004</v>
      </c>
      <c r="F675" s="1">
        <v>4430.4599609999996</v>
      </c>
      <c r="G675" s="1">
        <v>4434.5498049999997</v>
      </c>
      <c r="H675" s="1">
        <v>3763760000</v>
      </c>
      <c r="I675" s="1">
        <f t="shared" si="10"/>
        <v>-3.2112657685680066E-3</v>
      </c>
    </row>
    <row r="676" spans="1:9" x14ac:dyDescent="0.35">
      <c r="A676" s="1">
        <v>674</v>
      </c>
      <c r="B676" s="1" t="s">
        <v>683</v>
      </c>
      <c r="C676" s="1">
        <v>4457.4902339999999</v>
      </c>
      <c r="D676" s="1">
        <v>4457.4902339999999</v>
      </c>
      <c r="E676" s="1">
        <v>4473.5297849999997</v>
      </c>
      <c r="F676" s="1">
        <v>4448.3798829999996</v>
      </c>
      <c r="G676" s="1">
        <v>4451.2998049999997</v>
      </c>
      <c r="H676" s="1">
        <v>3259290000</v>
      </c>
      <c r="I676" s="1">
        <f t="shared" si="10"/>
        <v>1.4266225741163517E-3</v>
      </c>
    </row>
    <row r="677" spans="1:9" x14ac:dyDescent="0.35">
      <c r="A677" s="1">
        <v>675</v>
      </c>
      <c r="B677" s="1" t="s">
        <v>684</v>
      </c>
      <c r="C677" s="1">
        <v>4487.4599609999996</v>
      </c>
      <c r="D677" s="1">
        <v>4487.4599609999996</v>
      </c>
      <c r="E677" s="1">
        <v>4490.7700199999999</v>
      </c>
      <c r="F677" s="1">
        <v>4467.8901370000003</v>
      </c>
      <c r="G677" s="1">
        <v>4480.9799800000001</v>
      </c>
      <c r="H677" s="1">
        <v>3369920000</v>
      </c>
      <c r="I677" s="1">
        <f t="shared" si="10"/>
        <v>6.7234532049901723E-3</v>
      </c>
    </row>
    <row r="678" spans="1:9" x14ac:dyDescent="0.35">
      <c r="A678" s="1">
        <v>676</v>
      </c>
      <c r="B678" s="1" t="s">
        <v>685</v>
      </c>
      <c r="C678" s="1">
        <v>4461.8999020000001</v>
      </c>
      <c r="D678" s="1">
        <v>4461.8999020000001</v>
      </c>
      <c r="E678" s="1">
        <v>4487.1098629999997</v>
      </c>
      <c r="F678" s="1">
        <v>4456.830078</v>
      </c>
      <c r="G678" s="1">
        <v>4473.2700199999999</v>
      </c>
      <c r="H678" s="1">
        <v>3435740000</v>
      </c>
      <c r="I678" s="1">
        <f t="shared" si="10"/>
        <v>-5.6958856952795123E-3</v>
      </c>
    </row>
    <row r="679" spans="1:9" x14ac:dyDescent="0.35">
      <c r="A679" s="1">
        <v>677</v>
      </c>
      <c r="B679" s="1" t="s">
        <v>686</v>
      </c>
      <c r="C679" s="1">
        <v>4467.4399409999996</v>
      </c>
      <c r="D679" s="1">
        <v>4467.4399409999996</v>
      </c>
      <c r="E679" s="1">
        <v>4479.3901370000003</v>
      </c>
      <c r="F679" s="1">
        <v>4453.5200199999999</v>
      </c>
      <c r="G679" s="1">
        <v>4462.6499020000001</v>
      </c>
      <c r="H679" s="1">
        <v>3529430000</v>
      </c>
      <c r="I679" s="1">
        <f t="shared" si="10"/>
        <v>1.2416322915528113E-3</v>
      </c>
    </row>
    <row r="680" spans="1:9" x14ac:dyDescent="0.35">
      <c r="A680" s="1">
        <v>678</v>
      </c>
      <c r="B680" s="1" t="s">
        <v>687</v>
      </c>
      <c r="C680" s="1">
        <v>4505.1000979999999</v>
      </c>
      <c r="D680" s="1">
        <v>4505.1000979999999</v>
      </c>
      <c r="E680" s="1">
        <v>4511.9902339999999</v>
      </c>
      <c r="F680" s="1">
        <v>4478.6899409999996</v>
      </c>
      <c r="G680" s="1">
        <v>4487.7797849999997</v>
      </c>
      <c r="H680" s="1">
        <v>3648720000</v>
      </c>
      <c r="I680" s="1">
        <f t="shared" si="10"/>
        <v>8.4299190358159207E-3</v>
      </c>
    </row>
    <row r="681" spans="1:9" x14ac:dyDescent="0.35">
      <c r="A681" s="1">
        <v>679</v>
      </c>
      <c r="B681" s="1" t="s">
        <v>688</v>
      </c>
      <c r="C681" s="1">
        <v>4450.3198240000002</v>
      </c>
      <c r="D681" s="1">
        <v>4450.3198240000002</v>
      </c>
      <c r="E681" s="1">
        <v>4497.9799800000001</v>
      </c>
      <c r="F681" s="1">
        <v>4447.2099609999996</v>
      </c>
      <c r="G681" s="1">
        <v>4497.9799800000001</v>
      </c>
      <c r="H681" s="1">
        <v>6932230000</v>
      </c>
      <c r="I681" s="1">
        <f t="shared" si="10"/>
        <v>-1.2159613062608522E-2</v>
      </c>
    </row>
    <row r="682" spans="1:9" x14ac:dyDescent="0.35">
      <c r="A682" s="1">
        <v>680</v>
      </c>
      <c r="B682" s="1" t="s">
        <v>689</v>
      </c>
      <c r="C682" s="1">
        <v>4453.5297849999997</v>
      </c>
      <c r="D682" s="1">
        <v>4453.5297849999997</v>
      </c>
      <c r="E682" s="1">
        <v>4466.3598629999997</v>
      </c>
      <c r="F682" s="1">
        <v>4442.1098629999997</v>
      </c>
      <c r="G682" s="1">
        <v>4445.1298829999996</v>
      </c>
      <c r="H682" s="1">
        <v>3161230000</v>
      </c>
      <c r="I682" s="1">
        <f t="shared" si="10"/>
        <v>7.2128771120867792E-4</v>
      </c>
    </row>
    <row r="683" spans="1:9" x14ac:dyDescent="0.35">
      <c r="A683" s="1">
        <v>681</v>
      </c>
      <c r="B683" s="1" t="s">
        <v>690</v>
      </c>
      <c r="C683" s="1">
        <v>4443.9501950000003</v>
      </c>
      <c r="D683" s="1">
        <v>4443.9501950000003</v>
      </c>
      <c r="E683" s="1">
        <v>4449.8500979999999</v>
      </c>
      <c r="F683" s="1">
        <v>4416.6098629999997</v>
      </c>
      <c r="G683" s="1">
        <v>4445.4101559999999</v>
      </c>
      <c r="H683" s="1">
        <v>3614880000</v>
      </c>
      <c r="I683" s="1">
        <f t="shared" si="10"/>
        <v>-2.1510106505326474E-3</v>
      </c>
    </row>
    <row r="684" spans="1:9" x14ac:dyDescent="0.35">
      <c r="A684" s="1">
        <v>682</v>
      </c>
      <c r="B684" s="1" t="s">
        <v>691</v>
      </c>
      <c r="C684" s="1">
        <v>4402.2001950000003</v>
      </c>
      <c r="D684" s="1">
        <v>4402.2001950000003</v>
      </c>
      <c r="E684" s="1">
        <v>4461.0297849999997</v>
      </c>
      <c r="F684" s="1">
        <v>4401.3798829999996</v>
      </c>
      <c r="G684" s="1">
        <v>4452.8100590000004</v>
      </c>
      <c r="H684" s="1">
        <v>3308450000</v>
      </c>
      <c r="I684" s="1">
        <f t="shared" si="10"/>
        <v>-9.3947947587202877E-3</v>
      </c>
    </row>
    <row r="685" spans="1:9" x14ac:dyDescent="0.35">
      <c r="A685" s="1">
        <v>683</v>
      </c>
      <c r="B685" s="1" t="s">
        <v>692</v>
      </c>
      <c r="C685" s="1">
        <v>4330</v>
      </c>
      <c r="D685" s="1">
        <v>4330</v>
      </c>
      <c r="E685" s="1">
        <v>4375.7001950000003</v>
      </c>
      <c r="F685" s="1">
        <v>4329.169922</v>
      </c>
      <c r="G685" s="1">
        <v>4374.3598629999997</v>
      </c>
      <c r="H685" s="1">
        <v>3662340000</v>
      </c>
      <c r="I685" s="1">
        <f t="shared" si="10"/>
        <v>-1.6400934033396531E-2</v>
      </c>
    </row>
    <row r="686" spans="1:9" x14ac:dyDescent="0.35">
      <c r="A686" s="1">
        <v>684</v>
      </c>
      <c r="B686" s="1" t="s">
        <v>693</v>
      </c>
      <c r="C686" s="1">
        <v>4320.0600590000004</v>
      </c>
      <c r="D686" s="1">
        <v>4320.0600590000004</v>
      </c>
      <c r="E686" s="1">
        <v>4357.3999020000001</v>
      </c>
      <c r="F686" s="1">
        <v>4316.4902339999999</v>
      </c>
      <c r="G686" s="1">
        <v>4341.7402339999999</v>
      </c>
      <c r="H686" s="1">
        <v>3349570000</v>
      </c>
      <c r="I686" s="1">
        <f t="shared" si="10"/>
        <v>-2.29559838337174E-3</v>
      </c>
    </row>
    <row r="687" spans="1:9" x14ac:dyDescent="0.35">
      <c r="A687" s="1">
        <v>685</v>
      </c>
      <c r="B687" s="1" t="s">
        <v>694</v>
      </c>
      <c r="C687" s="1">
        <v>4337.4399409999996</v>
      </c>
      <c r="D687" s="1">
        <v>4337.4399409999996</v>
      </c>
      <c r="E687" s="1">
        <v>4338.5097660000001</v>
      </c>
      <c r="F687" s="1">
        <v>4302.7001950000003</v>
      </c>
      <c r="G687" s="1">
        <v>4310.6201170000004</v>
      </c>
      <c r="H687" s="1">
        <v>3195650000</v>
      </c>
      <c r="I687" s="1">
        <f t="shared" si="10"/>
        <v>4.023064902487104E-3</v>
      </c>
    </row>
    <row r="688" spans="1:9" x14ac:dyDescent="0.35">
      <c r="A688" s="1">
        <v>686</v>
      </c>
      <c r="B688" s="1" t="s">
        <v>695</v>
      </c>
      <c r="C688" s="1">
        <v>4273.5297849999997</v>
      </c>
      <c r="D688" s="1">
        <v>4273.5297849999997</v>
      </c>
      <c r="E688" s="1">
        <v>4313.0097660000001</v>
      </c>
      <c r="F688" s="1">
        <v>4265.9799800000001</v>
      </c>
      <c r="G688" s="1">
        <v>4312.8798829999996</v>
      </c>
      <c r="H688" s="1">
        <v>3472340000</v>
      </c>
      <c r="I688" s="1">
        <f t="shared" si="10"/>
        <v>-1.4734533934610605E-2</v>
      </c>
    </row>
    <row r="689" spans="1:9" x14ac:dyDescent="0.35">
      <c r="A689" s="1">
        <v>687</v>
      </c>
      <c r="B689" s="1" t="s">
        <v>696</v>
      </c>
      <c r="C689" s="1">
        <v>4274.5097660000001</v>
      </c>
      <c r="D689" s="1">
        <v>4274.5097660000001</v>
      </c>
      <c r="E689" s="1">
        <v>4292.0698240000002</v>
      </c>
      <c r="F689" s="1">
        <v>4238.6298829999996</v>
      </c>
      <c r="G689" s="1">
        <v>4282.6298829999996</v>
      </c>
      <c r="H689" s="1">
        <v>3875880000</v>
      </c>
      <c r="I689" s="1">
        <f t="shared" si="10"/>
        <v>2.2931418506549786E-4</v>
      </c>
    </row>
    <row r="690" spans="1:9" x14ac:dyDescent="0.35">
      <c r="A690" s="1">
        <v>688</v>
      </c>
      <c r="B690" s="1" t="s">
        <v>697</v>
      </c>
      <c r="C690" s="1">
        <v>4299.7001950000003</v>
      </c>
      <c r="D690" s="1">
        <v>4299.7001950000003</v>
      </c>
      <c r="E690" s="1">
        <v>4317.2700199999999</v>
      </c>
      <c r="F690" s="1">
        <v>4264.3798829999996</v>
      </c>
      <c r="G690" s="1">
        <v>4269.6499020000001</v>
      </c>
      <c r="H690" s="1">
        <v>3846230000</v>
      </c>
      <c r="I690" s="1">
        <f t="shared" si="10"/>
        <v>5.8931738091624287E-3</v>
      </c>
    </row>
    <row r="691" spans="1:9" x14ac:dyDescent="0.35">
      <c r="A691" s="1">
        <v>689</v>
      </c>
      <c r="B691" s="1" t="s">
        <v>698</v>
      </c>
      <c r="C691" s="1">
        <v>4288.0498049999997</v>
      </c>
      <c r="D691" s="1">
        <v>4288.0498049999997</v>
      </c>
      <c r="E691" s="1">
        <v>4333.1499020000001</v>
      </c>
      <c r="F691" s="1">
        <v>4274.8598629999997</v>
      </c>
      <c r="G691" s="1">
        <v>4328.1801759999998</v>
      </c>
      <c r="H691" s="1">
        <v>3865960000</v>
      </c>
      <c r="I691" s="1">
        <f t="shared" si="10"/>
        <v>-2.7095819409801193E-3</v>
      </c>
    </row>
    <row r="692" spans="1:9" x14ac:dyDescent="0.35">
      <c r="A692" s="1">
        <v>690</v>
      </c>
      <c r="B692" s="1" t="s">
        <v>699</v>
      </c>
      <c r="C692" s="1">
        <v>4288.3901370000003</v>
      </c>
      <c r="D692" s="1">
        <v>4288.3901370000003</v>
      </c>
      <c r="E692" s="1">
        <v>4300.580078</v>
      </c>
      <c r="F692" s="1">
        <v>4260.2099609999996</v>
      </c>
      <c r="G692" s="1">
        <v>4284.5200199999999</v>
      </c>
      <c r="H692" s="1">
        <v>3938660000</v>
      </c>
      <c r="I692" s="1">
        <f t="shared" si="10"/>
        <v>7.9367548297557978E-5</v>
      </c>
    </row>
    <row r="693" spans="1:9" x14ac:dyDescent="0.35">
      <c r="A693" s="1">
        <v>691</v>
      </c>
      <c r="B693" s="1" t="s">
        <v>700</v>
      </c>
      <c r="C693" s="1">
        <v>4229.4501950000003</v>
      </c>
      <c r="D693" s="1">
        <v>4229.4501950000003</v>
      </c>
      <c r="E693" s="1">
        <v>4281.1499020000001</v>
      </c>
      <c r="F693" s="1">
        <v>4216.4501950000003</v>
      </c>
      <c r="G693" s="1">
        <v>4269.75</v>
      </c>
      <c r="H693" s="1">
        <v>3953830000</v>
      </c>
      <c r="I693" s="1">
        <f t="shared" si="10"/>
        <v>-1.3744071811813321E-2</v>
      </c>
    </row>
    <row r="694" spans="1:9" x14ac:dyDescent="0.35">
      <c r="A694" s="1">
        <v>692</v>
      </c>
      <c r="B694" s="1" t="s">
        <v>701</v>
      </c>
      <c r="C694" s="1">
        <v>4263.75</v>
      </c>
      <c r="D694" s="1">
        <v>4263.75</v>
      </c>
      <c r="E694" s="1">
        <v>4268.5</v>
      </c>
      <c r="F694" s="1">
        <v>4220.4799800000001</v>
      </c>
      <c r="G694" s="1">
        <v>4233.830078</v>
      </c>
      <c r="H694" s="1">
        <v>3777600000</v>
      </c>
      <c r="I694" s="1">
        <f t="shared" si="10"/>
        <v>8.1097550316465306E-3</v>
      </c>
    </row>
    <row r="695" spans="1:9" x14ac:dyDescent="0.35">
      <c r="A695" s="1">
        <v>693</v>
      </c>
      <c r="B695" s="1" t="s">
        <v>702</v>
      </c>
      <c r="C695" s="1">
        <v>4258.1899409999996</v>
      </c>
      <c r="D695" s="1">
        <v>4258.1899409999996</v>
      </c>
      <c r="E695" s="1">
        <v>4267.1298829999996</v>
      </c>
      <c r="F695" s="1">
        <v>4225.9101559999999</v>
      </c>
      <c r="G695" s="1">
        <v>4259.3100590000004</v>
      </c>
      <c r="H695" s="1">
        <v>3581470000</v>
      </c>
      <c r="I695" s="1">
        <f t="shared" si="10"/>
        <v>-1.3040302550572536E-3</v>
      </c>
    </row>
    <row r="696" spans="1:9" x14ac:dyDescent="0.35">
      <c r="A696" s="1">
        <v>694</v>
      </c>
      <c r="B696" s="1" t="s">
        <v>703</v>
      </c>
      <c r="C696" s="1">
        <v>4308.5</v>
      </c>
      <c r="D696" s="1">
        <v>4308.5</v>
      </c>
      <c r="E696" s="1">
        <v>4324.1000979999999</v>
      </c>
      <c r="F696" s="1">
        <v>4219.5498049999997</v>
      </c>
      <c r="G696" s="1">
        <v>4234.7900390000004</v>
      </c>
      <c r="H696" s="1">
        <v>3902030000</v>
      </c>
      <c r="I696" s="1">
        <f t="shared" si="10"/>
        <v>1.1814893111176126E-2</v>
      </c>
    </row>
    <row r="697" spans="1:9" x14ac:dyDescent="0.35">
      <c r="A697" s="1">
        <v>695</v>
      </c>
      <c r="B697" s="1" t="s">
        <v>704</v>
      </c>
      <c r="C697" s="1">
        <v>4335.6601559999999</v>
      </c>
      <c r="D697" s="1">
        <v>4335.6601559999999</v>
      </c>
      <c r="E697" s="1">
        <v>4341.7299800000001</v>
      </c>
      <c r="F697" s="1">
        <v>4283.7900390000004</v>
      </c>
      <c r="G697" s="1">
        <v>4289.0200199999999</v>
      </c>
      <c r="H697" s="1">
        <v>3174630000</v>
      </c>
      <c r="I697" s="1">
        <f t="shared" si="10"/>
        <v>6.303854241615392E-3</v>
      </c>
    </row>
    <row r="698" spans="1:9" x14ac:dyDescent="0.35">
      <c r="A698" s="1">
        <v>696</v>
      </c>
      <c r="B698" s="1" t="s">
        <v>705</v>
      </c>
      <c r="C698" s="1">
        <v>4358.2402339999999</v>
      </c>
      <c r="D698" s="1">
        <v>4358.2402339999999</v>
      </c>
      <c r="E698" s="1">
        <v>4385.4599609999996</v>
      </c>
      <c r="F698" s="1">
        <v>4339.6401370000003</v>
      </c>
      <c r="G698" s="1">
        <v>4339.75</v>
      </c>
      <c r="H698" s="1">
        <v>3520240000</v>
      </c>
      <c r="I698" s="1">
        <f t="shared" si="10"/>
        <v>5.2079907528619403E-3</v>
      </c>
    </row>
    <row r="699" spans="1:9" x14ac:dyDescent="0.35">
      <c r="A699" s="1">
        <v>697</v>
      </c>
      <c r="B699" s="1" t="s">
        <v>706</v>
      </c>
      <c r="C699" s="1">
        <v>4376.9501950000003</v>
      </c>
      <c r="D699" s="1">
        <v>4376.9501950000003</v>
      </c>
      <c r="E699" s="1">
        <v>4378.6401370000003</v>
      </c>
      <c r="F699" s="1">
        <v>4345.3398440000001</v>
      </c>
      <c r="G699" s="1">
        <v>4366.5898440000001</v>
      </c>
      <c r="H699" s="1">
        <v>3601660000</v>
      </c>
      <c r="I699" s="1">
        <f t="shared" si="10"/>
        <v>4.2930081857439151E-3</v>
      </c>
    </row>
    <row r="700" spans="1:9" x14ac:dyDescent="0.35">
      <c r="A700" s="1">
        <v>698</v>
      </c>
      <c r="B700" s="1" t="s">
        <v>707</v>
      </c>
      <c r="C700" s="1">
        <v>4349.6098629999997</v>
      </c>
      <c r="D700" s="1">
        <v>4349.6098629999997</v>
      </c>
      <c r="E700" s="1">
        <v>4385.8500979999999</v>
      </c>
      <c r="F700" s="1">
        <v>4325.4301759999998</v>
      </c>
      <c r="G700" s="1">
        <v>4380.9399409999996</v>
      </c>
      <c r="H700" s="1">
        <v>3713140000</v>
      </c>
      <c r="I700" s="1">
        <f t="shared" si="10"/>
        <v>-6.2464343394249356E-3</v>
      </c>
    </row>
    <row r="701" spans="1:9" x14ac:dyDescent="0.35">
      <c r="A701" s="1">
        <v>699</v>
      </c>
      <c r="B701" s="1" t="s">
        <v>708</v>
      </c>
      <c r="C701" s="1">
        <v>4327.7797849999997</v>
      </c>
      <c r="D701" s="1">
        <v>4327.7797849999997</v>
      </c>
      <c r="E701" s="1">
        <v>4377.1000979999999</v>
      </c>
      <c r="F701" s="1">
        <v>4311.9702150000003</v>
      </c>
      <c r="G701" s="1">
        <v>4360.4902339999999</v>
      </c>
      <c r="H701" s="1">
        <v>3566560000</v>
      </c>
      <c r="I701" s="1">
        <f t="shared" si="10"/>
        <v>-5.01885886035383E-3</v>
      </c>
    </row>
    <row r="702" spans="1:9" x14ac:dyDescent="0.35">
      <c r="A702" s="1">
        <v>700</v>
      </c>
      <c r="B702" s="1" t="s">
        <v>709</v>
      </c>
      <c r="C702" s="1">
        <v>4373.6298829999996</v>
      </c>
      <c r="D702" s="1">
        <v>4373.6298829999996</v>
      </c>
      <c r="E702" s="1">
        <v>4383.330078</v>
      </c>
      <c r="F702" s="1">
        <v>4342.3701170000004</v>
      </c>
      <c r="G702" s="1">
        <v>4342.3701170000004</v>
      </c>
      <c r="H702" s="1">
        <v>3409960000</v>
      </c>
      <c r="I702" s="1">
        <f t="shared" si="10"/>
        <v>1.0594369463741069E-2</v>
      </c>
    </row>
    <row r="703" spans="1:9" x14ac:dyDescent="0.35">
      <c r="A703" s="1">
        <v>701</v>
      </c>
      <c r="B703" s="1" t="s">
        <v>710</v>
      </c>
      <c r="C703" s="1">
        <v>4373.2001950000003</v>
      </c>
      <c r="D703" s="1">
        <v>4373.2001950000003</v>
      </c>
      <c r="E703" s="1">
        <v>4393.5698240000002</v>
      </c>
      <c r="F703" s="1">
        <v>4337.5400390000004</v>
      </c>
      <c r="G703" s="1">
        <v>4345.2299800000001</v>
      </c>
      <c r="H703" s="1">
        <v>3794850000</v>
      </c>
      <c r="I703" s="1">
        <f t="shared" si="10"/>
        <v>-9.8245167399607284E-5</v>
      </c>
    </row>
    <row r="704" spans="1:9" x14ac:dyDescent="0.35">
      <c r="A704" s="1">
        <v>702</v>
      </c>
      <c r="B704" s="1" t="s">
        <v>711</v>
      </c>
      <c r="C704" s="1">
        <v>4314.6000979999999</v>
      </c>
      <c r="D704" s="1">
        <v>4314.6000979999999</v>
      </c>
      <c r="E704" s="1">
        <v>4364.2001950000003</v>
      </c>
      <c r="F704" s="1">
        <v>4303.8398440000001</v>
      </c>
      <c r="G704" s="1">
        <v>4357.3500979999999</v>
      </c>
      <c r="H704" s="1">
        <v>3686030000</v>
      </c>
      <c r="I704" s="1">
        <f t="shared" si="10"/>
        <v>-1.3399820357412303E-2</v>
      </c>
    </row>
    <row r="705" spans="1:9" x14ac:dyDescent="0.35">
      <c r="A705" s="1">
        <v>703</v>
      </c>
      <c r="B705" s="1" t="s">
        <v>712</v>
      </c>
      <c r="C705" s="1">
        <v>4278</v>
      </c>
      <c r="D705" s="1">
        <v>4278</v>
      </c>
      <c r="E705" s="1">
        <v>4339.5400390000004</v>
      </c>
      <c r="F705" s="1">
        <v>4269.6899409999996</v>
      </c>
      <c r="G705" s="1">
        <v>4321.3598629999997</v>
      </c>
      <c r="H705" s="1">
        <v>3969730000</v>
      </c>
      <c r="I705" s="1">
        <f t="shared" si="10"/>
        <v>-8.4828482753165433E-3</v>
      </c>
    </row>
    <row r="706" spans="1:9" x14ac:dyDescent="0.35">
      <c r="A706" s="1">
        <v>704</v>
      </c>
      <c r="B706" s="1" t="s">
        <v>713</v>
      </c>
      <c r="C706" s="1">
        <v>4224.1601559999999</v>
      </c>
      <c r="D706" s="1">
        <v>4224.1601559999999</v>
      </c>
      <c r="E706" s="1">
        <v>4276.5600590000004</v>
      </c>
      <c r="F706" s="1">
        <v>4223.0297849999997</v>
      </c>
      <c r="G706" s="1">
        <v>4273.8500979999999</v>
      </c>
      <c r="H706" s="1">
        <v>4004030000</v>
      </c>
      <c r="I706" s="1">
        <f t="shared" si="10"/>
        <v>-1.2585283777466125E-2</v>
      </c>
    </row>
    <row r="707" spans="1:9" x14ac:dyDescent="0.35">
      <c r="A707" s="1">
        <v>705</v>
      </c>
      <c r="B707" s="1" t="s">
        <v>714</v>
      </c>
      <c r="C707" s="1">
        <v>4217.0400390000004</v>
      </c>
      <c r="D707" s="1">
        <v>4217.0400390000004</v>
      </c>
      <c r="E707" s="1">
        <v>4255.8398440000001</v>
      </c>
      <c r="F707" s="1">
        <v>4189.2202150000003</v>
      </c>
      <c r="G707" s="1">
        <v>4210.3999020000001</v>
      </c>
      <c r="H707" s="1">
        <v>3776100000</v>
      </c>
      <c r="I707" s="1">
        <f t="shared" si="10"/>
        <v>-1.6855698498756168E-3</v>
      </c>
    </row>
    <row r="708" spans="1:9" x14ac:dyDescent="0.35">
      <c r="A708" s="1">
        <v>706</v>
      </c>
      <c r="B708" s="1" t="s">
        <v>715</v>
      </c>
      <c r="C708" s="1">
        <v>4247.6801759999998</v>
      </c>
      <c r="D708" s="1">
        <v>4247.6801759999998</v>
      </c>
      <c r="E708" s="1">
        <v>4259.3798829999996</v>
      </c>
      <c r="F708" s="1">
        <v>4219.4301759999998</v>
      </c>
      <c r="G708" s="1">
        <v>4235.7900390000004</v>
      </c>
      <c r="H708" s="1">
        <v>3821820000</v>
      </c>
      <c r="I708" s="1">
        <f t="shared" ref="I708:I771" si="11">(C708-C707)/C707</f>
        <v>7.2657922895285583E-3</v>
      </c>
    </row>
    <row r="709" spans="1:9" x14ac:dyDescent="0.35">
      <c r="A709" s="1">
        <v>707</v>
      </c>
      <c r="B709" s="1" t="s">
        <v>716</v>
      </c>
      <c r="C709" s="1">
        <v>4186.7700199999999</v>
      </c>
      <c r="D709" s="1">
        <v>4186.7700199999999</v>
      </c>
      <c r="E709" s="1">
        <v>4232.419922</v>
      </c>
      <c r="F709" s="1">
        <v>4181.419922</v>
      </c>
      <c r="G709" s="1">
        <v>4232.419922</v>
      </c>
      <c r="H709" s="1">
        <v>3869370000</v>
      </c>
      <c r="I709" s="1">
        <f t="shared" si="11"/>
        <v>-1.4339628568118429E-2</v>
      </c>
    </row>
    <row r="710" spans="1:9" x14ac:dyDescent="0.35">
      <c r="A710" s="1">
        <v>708</v>
      </c>
      <c r="B710" s="1" t="s">
        <v>717</v>
      </c>
      <c r="C710" s="1">
        <v>4137.2299800000001</v>
      </c>
      <c r="D710" s="1">
        <v>4137.2299800000001</v>
      </c>
      <c r="E710" s="1">
        <v>4183.6000979999999</v>
      </c>
      <c r="F710" s="1">
        <v>4127.8999020000001</v>
      </c>
      <c r="G710" s="1">
        <v>4175.9902339999999</v>
      </c>
      <c r="H710" s="1">
        <v>4277640000</v>
      </c>
      <c r="I710" s="1">
        <f t="shared" si="11"/>
        <v>-1.1832520000704472E-2</v>
      </c>
    </row>
    <row r="711" spans="1:9" x14ac:dyDescent="0.35">
      <c r="A711" s="1">
        <v>709</v>
      </c>
      <c r="B711" s="1" t="s">
        <v>718</v>
      </c>
      <c r="C711" s="1">
        <v>4117.3701170000004</v>
      </c>
      <c r="D711" s="1">
        <v>4117.3701170000004</v>
      </c>
      <c r="E711" s="1">
        <v>4156.7001950000003</v>
      </c>
      <c r="F711" s="1">
        <v>4103.7797849999997</v>
      </c>
      <c r="G711" s="1">
        <v>4152.9301759999998</v>
      </c>
      <c r="H711" s="1">
        <v>4019500000</v>
      </c>
      <c r="I711" s="1">
        <f t="shared" si="11"/>
        <v>-4.8002801623321109E-3</v>
      </c>
    </row>
    <row r="712" spans="1:9" x14ac:dyDescent="0.35">
      <c r="A712" s="1">
        <v>710</v>
      </c>
      <c r="B712" s="1" t="s">
        <v>719</v>
      </c>
      <c r="C712" s="1">
        <v>4166.8198240000002</v>
      </c>
      <c r="D712" s="1">
        <v>4166.8198240000002</v>
      </c>
      <c r="E712" s="1">
        <v>4177.4702150000003</v>
      </c>
      <c r="F712" s="1">
        <v>4132.9399409999996</v>
      </c>
      <c r="G712" s="1">
        <v>4139.3901370000003</v>
      </c>
      <c r="H712" s="1">
        <v>3911140000</v>
      </c>
      <c r="I712" s="1">
        <f t="shared" si="11"/>
        <v>1.2010022318816902E-2</v>
      </c>
    </row>
    <row r="713" spans="1:9" x14ac:dyDescent="0.35">
      <c r="A713" s="1">
        <v>711</v>
      </c>
      <c r="B713" s="1" t="s">
        <v>720</v>
      </c>
      <c r="C713" s="1">
        <v>4193.7998049999997</v>
      </c>
      <c r="D713" s="1">
        <v>4193.7998049999997</v>
      </c>
      <c r="E713" s="1">
        <v>4195.5498049999997</v>
      </c>
      <c r="F713" s="1">
        <v>4153.1201170000004</v>
      </c>
      <c r="G713" s="1">
        <v>4171.330078</v>
      </c>
      <c r="H713" s="1">
        <v>4249470000</v>
      </c>
      <c r="I713" s="1">
        <f t="shared" si="11"/>
        <v>6.4749574350684708E-3</v>
      </c>
    </row>
    <row r="714" spans="1:9" x14ac:dyDescent="0.35">
      <c r="A714" s="1">
        <v>712</v>
      </c>
      <c r="B714" s="1" t="s">
        <v>721</v>
      </c>
      <c r="C714" s="1">
        <v>4237.8598629999997</v>
      </c>
      <c r="D714" s="1">
        <v>4237.8598629999997</v>
      </c>
      <c r="E714" s="1">
        <v>4245.6401370000003</v>
      </c>
      <c r="F714" s="1">
        <v>4197.7402339999999</v>
      </c>
      <c r="G714" s="1">
        <v>4201.2700199999999</v>
      </c>
      <c r="H714" s="1">
        <v>4224900000</v>
      </c>
      <c r="I714" s="1">
        <f t="shared" si="11"/>
        <v>1.0505999343952955E-2</v>
      </c>
    </row>
    <row r="715" spans="1:9" x14ac:dyDescent="0.35">
      <c r="A715" s="1">
        <v>713</v>
      </c>
      <c r="B715" s="1" t="s">
        <v>722</v>
      </c>
      <c r="C715" s="1">
        <v>4317.7797849999997</v>
      </c>
      <c r="D715" s="1">
        <v>4317.7797849999997</v>
      </c>
      <c r="E715" s="1">
        <v>4319.7202150000003</v>
      </c>
      <c r="F715" s="1">
        <v>4268.2597660000001</v>
      </c>
      <c r="G715" s="1">
        <v>4268.2597660000001</v>
      </c>
      <c r="H715" s="1">
        <v>4669780000</v>
      </c>
      <c r="I715" s="1">
        <f t="shared" si="11"/>
        <v>1.8858557050875292E-2</v>
      </c>
    </row>
    <row r="716" spans="1:9" x14ac:dyDescent="0.35">
      <c r="A716" s="1">
        <v>714</v>
      </c>
      <c r="B716" s="1" t="s">
        <v>723</v>
      </c>
      <c r="C716" s="1">
        <v>4358.3398440000001</v>
      </c>
      <c r="D716" s="1">
        <v>4358.3398440000001</v>
      </c>
      <c r="E716" s="1">
        <v>4373.6201170000004</v>
      </c>
      <c r="F716" s="1">
        <v>4334.2299800000001</v>
      </c>
      <c r="G716" s="1">
        <v>4334.2299800000001</v>
      </c>
      <c r="H716" s="1">
        <v>4570960000</v>
      </c>
      <c r="I716" s="1">
        <f t="shared" si="11"/>
        <v>9.3937303474592015E-3</v>
      </c>
    </row>
    <row r="717" spans="1:9" x14ac:dyDescent="0.35">
      <c r="A717" s="1">
        <v>715</v>
      </c>
      <c r="B717" s="1" t="s">
        <v>724</v>
      </c>
      <c r="C717" s="1">
        <v>4365.9799800000001</v>
      </c>
      <c r="D717" s="1">
        <v>4365.9799800000001</v>
      </c>
      <c r="E717" s="1">
        <v>4372.2099609999996</v>
      </c>
      <c r="F717" s="1">
        <v>4347.5297849999997</v>
      </c>
      <c r="G717" s="1">
        <v>4364.2700199999999</v>
      </c>
      <c r="H717" s="1">
        <v>3656340000</v>
      </c>
      <c r="I717" s="1">
        <f t="shared" si="11"/>
        <v>1.7529922570214292E-3</v>
      </c>
    </row>
    <row r="718" spans="1:9" x14ac:dyDescent="0.35">
      <c r="A718" s="1">
        <v>716</v>
      </c>
      <c r="B718" s="1" t="s">
        <v>725</v>
      </c>
      <c r="C718" s="1">
        <v>4378.3798829999996</v>
      </c>
      <c r="D718" s="1">
        <v>4378.3798829999996</v>
      </c>
      <c r="E718" s="1">
        <v>4386.2597660000001</v>
      </c>
      <c r="F718" s="1">
        <v>4355.4101559999999</v>
      </c>
      <c r="G718" s="1">
        <v>4366.2099609999996</v>
      </c>
      <c r="H718" s="1">
        <v>3791230000</v>
      </c>
      <c r="I718" s="1">
        <f t="shared" si="11"/>
        <v>2.8401190698999815E-3</v>
      </c>
    </row>
    <row r="719" spans="1:9" x14ac:dyDescent="0.35">
      <c r="A719" s="1">
        <v>717</v>
      </c>
      <c r="B719" s="1" t="s">
        <v>726</v>
      </c>
      <c r="C719" s="1">
        <v>4382.7797849999997</v>
      </c>
      <c r="D719" s="1">
        <v>4382.7797849999997</v>
      </c>
      <c r="E719" s="1">
        <v>4391.2001950000003</v>
      </c>
      <c r="F719" s="1">
        <v>4359.7597660000001</v>
      </c>
      <c r="G719" s="1">
        <v>4384.3701170000004</v>
      </c>
      <c r="H719" s="1">
        <v>3729510000</v>
      </c>
      <c r="I719" s="1">
        <f t="shared" si="11"/>
        <v>1.0049155435515487E-3</v>
      </c>
    </row>
    <row r="720" spans="1:9" x14ac:dyDescent="0.35">
      <c r="A720" s="1">
        <v>718</v>
      </c>
      <c r="B720" s="1" t="s">
        <v>727</v>
      </c>
      <c r="C720" s="1">
        <v>4347.3500979999999</v>
      </c>
      <c r="D720" s="1">
        <v>4347.3500979999999</v>
      </c>
      <c r="E720" s="1">
        <v>4393.3999020000001</v>
      </c>
      <c r="F720" s="1">
        <v>4343.9399409999996</v>
      </c>
      <c r="G720" s="1">
        <v>4391.4101559999999</v>
      </c>
      <c r="H720" s="1">
        <v>3900780000</v>
      </c>
      <c r="I720" s="1">
        <f t="shared" si="11"/>
        <v>-8.0838391929381036E-3</v>
      </c>
    </row>
    <row r="721" spans="1:9" x14ac:dyDescent="0.35">
      <c r="A721" s="1">
        <v>719</v>
      </c>
      <c r="B721" s="1" t="s">
        <v>728</v>
      </c>
      <c r="C721" s="1">
        <v>4415.2402339999999</v>
      </c>
      <c r="D721" s="1">
        <v>4415.2402339999999</v>
      </c>
      <c r="E721" s="1">
        <v>4418.0297849999997</v>
      </c>
      <c r="F721" s="1">
        <v>4353.3398440000001</v>
      </c>
      <c r="G721" s="1">
        <v>4364.1499020000001</v>
      </c>
      <c r="H721" s="1">
        <v>3665080000</v>
      </c>
      <c r="I721" s="1">
        <f t="shared" si="11"/>
        <v>1.5616440928287066E-2</v>
      </c>
    </row>
    <row r="722" spans="1:9" x14ac:dyDescent="0.35">
      <c r="A722" s="1">
        <v>720</v>
      </c>
      <c r="B722" s="1" t="s">
        <v>729</v>
      </c>
      <c r="C722" s="1">
        <v>4411.5498049999997</v>
      </c>
      <c r="D722" s="1">
        <v>4411.5498049999997</v>
      </c>
      <c r="E722" s="1">
        <v>4421.7597660000001</v>
      </c>
      <c r="F722" s="1">
        <v>4393.8198240000002</v>
      </c>
      <c r="G722" s="1">
        <v>4406.6601559999999</v>
      </c>
      <c r="H722" s="1">
        <v>3326240000</v>
      </c>
      <c r="I722" s="1">
        <f t="shared" si="11"/>
        <v>-8.3583877760075287E-4</v>
      </c>
    </row>
    <row r="723" spans="1:9" x14ac:dyDescent="0.35">
      <c r="A723" s="1">
        <v>721</v>
      </c>
      <c r="B723" s="1" t="s">
        <v>730</v>
      </c>
      <c r="C723" s="1">
        <v>4495.7001950000003</v>
      </c>
      <c r="D723" s="1">
        <v>4495.7001950000003</v>
      </c>
      <c r="E723" s="1">
        <v>4508.669922</v>
      </c>
      <c r="F723" s="1">
        <v>4458.9702150000003</v>
      </c>
      <c r="G723" s="1">
        <v>4458.9702150000003</v>
      </c>
      <c r="H723" s="1">
        <v>4700350000</v>
      </c>
      <c r="I723" s="1">
        <f t="shared" si="11"/>
        <v>1.907501756063722E-2</v>
      </c>
    </row>
    <row r="724" spans="1:9" x14ac:dyDescent="0.35">
      <c r="A724" s="1">
        <v>722</v>
      </c>
      <c r="B724" s="1" t="s">
        <v>731</v>
      </c>
      <c r="C724" s="1">
        <v>4502.8798829999996</v>
      </c>
      <c r="D724" s="1">
        <v>4502.8798829999996</v>
      </c>
      <c r="E724" s="1">
        <v>4521.169922</v>
      </c>
      <c r="F724" s="1">
        <v>4495.3100590000004</v>
      </c>
      <c r="G724" s="1">
        <v>4505.2998049999997</v>
      </c>
      <c r="H724" s="1">
        <v>4347170000</v>
      </c>
      <c r="I724" s="1">
        <f t="shared" si="11"/>
        <v>1.5970121868856648E-3</v>
      </c>
    </row>
    <row r="725" spans="1:9" x14ac:dyDescent="0.35">
      <c r="A725" s="1">
        <v>723</v>
      </c>
      <c r="B725" s="1" t="s">
        <v>732</v>
      </c>
      <c r="C725" s="1">
        <v>4508.2402339999999</v>
      </c>
      <c r="D725" s="1">
        <v>4508.2402339999999</v>
      </c>
      <c r="E725" s="1">
        <v>4511.9902339999999</v>
      </c>
      <c r="F725" s="1">
        <v>4487.830078</v>
      </c>
      <c r="G725" s="1">
        <v>4497.080078</v>
      </c>
      <c r="H725" s="1">
        <v>3964520000</v>
      </c>
      <c r="I725" s="1">
        <f t="shared" si="11"/>
        <v>1.1904272686103683E-3</v>
      </c>
    </row>
    <row r="726" spans="1:9" x14ac:dyDescent="0.35">
      <c r="A726" s="1">
        <v>724</v>
      </c>
      <c r="B726" s="1" t="s">
        <v>733</v>
      </c>
      <c r="C726" s="1">
        <v>4514.0200199999999</v>
      </c>
      <c r="D726" s="1">
        <v>4514.0200199999999</v>
      </c>
      <c r="E726" s="1">
        <v>4520.1201170000004</v>
      </c>
      <c r="F726" s="1">
        <v>4499.6601559999999</v>
      </c>
      <c r="G726" s="1">
        <v>4509.5498049999997</v>
      </c>
      <c r="H726" s="1">
        <v>3777240000</v>
      </c>
      <c r="I726" s="1">
        <f t="shared" si="11"/>
        <v>1.2820492476000689E-3</v>
      </c>
    </row>
    <row r="727" spans="1:9" x14ac:dyDescent="0.35">
      <c r="A727" s="1">
        <v>725</v>
      </c>
      <c r="B727" s="1" t="s">
        <v>734</v>
      </c>
      <c r="C727" s="1">
        <v>4547.3798829999996</v>
      </c>
      <c r="D727" s="1">
        <v>4547.3798829999996</v>
      </c>
      <c r="E727" s="1">
        <v>4557.1098629999997</v>
      </c>
      <c r="F727" s="1">
        <v>4510.3598629999997</v>
      </c>
      <c r="G727" s="1">
        <v>4511.7001950000003</v>
      </c>
      <c r="H727" s="1">
        <v>3644790000</v>
      </c>
      <c r="I727" s="1">
        <f t="shared" si="11"/>
        <v>7.3902780342564095E-3</v>
      </c>
    </row>
    <row r="728" spans="1:9" x14ac:dyDescent="0.35">
      <c r="A728" s="1">
        <v>726</v>
      </c>
      <c r="B728" s="1" t="s">
        <v>735</v>
      </c>
      <c r="C728" s="1">
        <v>4538.1899409999996</v>
      </c>
      <c r="D728" s="1">
        <v>4538.1899409999996</v>
      </c>
      <c r="E728" s="1">
        <v>4542.1401370000003</v>
      </c>
      <c r="F728" s="1">
        <v>4525.5097660000001</v>
      </c>
      <c r="G728" s="1">
        <v>4538.7700199999999</v>
      </c>
      <c r="H728" s="1">
        <v>3511080000</v>
      </c>
      <c r="I728" s="1">
        <f t="shared" si="11"/>
        <v>-2.0209312255516205E-3</v>
      </c>
    </row>
    <row r="729" spans="1:9" x14ac:dyDescent="0.35">
      <c r="A729" s="1">
        <v>727</v>
      </c>
      <c r="B729" s="1" t="s">
        <v>736</v>
      </c>
      <c r="C729" s="1">
        <v>4556.6201170000004</v>
      </c>
      <c r="D729" s="1">
        <v>4556.6201170000004</v>
      </c>
      <c r="E729" s="1">
        <v>4568.4301759999998</v>
      </c>
      <c r="F729" s="1">
        <v>4545.0498049999997</v>
      </c>
      <c r="G729" s="1">
        <v>4553.0400390000004</v>
      </c>
      <c r="H729" s="1">
        <v>3042810000</v>
      </c>
      <c r="I729" s="1">
        <f t="shared" si="11"/>
        <v>4.0611292695121592E-3</v>
      </c>
    </row>
    <row r="730" spans="1:9" x14ac:dyDescent="0.35">
      <c r="A730" s="1">
        <v>728</v>
      </c>
      <c r="B730" s="1" t="s">
        <v>737</v>
      </c>
      <c r="C730" s="1">
        <v>4559.3398440000001</v>
      </c>
      <c r="D730" s="1">
        <v>4559.3398440000001</v>
      </c>
      <c r="E730" s="1">
        <v>4560.3100590000004</v>
      </c>
      <c r="F730" s="1">
        <v>4552.7998049999997</v>
      </c>
      <c r="G730" s="1">
        <v>4555.8398440000001</v>
      </c>
      <c r="H730" s="1">
        <v>1639500000</v>
      </c>
      <c r="I730" s="1">
        <f t="shared" si="11"/>
        <v>5.9687376392270205E-4</v>
      </c>
    </row>
    <row r="731" spans="1:9" x14ac:dyDescent="0.35">
      <c r="A731" s="1">
        <v>729</v>
      </c>
      <c r="B731" s="1" t="s">
        <v>738</v>
      </c>
      <c r="C731" s="1">
        <v>4550.4301759999998</v>
      </c>
      <c r="D731" s="1">
        <v>4550.4301759999998</v>
      </c>
      <c r="E731" s="1">
        <v>4560.5200199999999</v>
      </c>
      <c r="F731" s="1">
        <v>4546.3198240000002</v>
      </c>
      <c r="G731" s="1">
        <v>4554.8598629999997</v>
      </c>
      <c r="H731" s="1">
        <v>3403990000</v>
      </c>
      <c r="I731" s="1">
        <f t="shared" si="11"/>
        <v>-1.9541574668370428E-3</v>
      </c>
    </row>
    <row r="732" spans="1:9" x14ac:dyDescent="0.35">
      <c r="A732" s="1">
        <v>730</v>
      </c>
      <c r="B732" s="1" t="s">
        <v>739</v>
      </c>
      <c r="C732" s="1">
        <v>4554.8901370000003</v>
      </c>
      <c r="D732" s="1">
        <v>4554.8901370000003</v>
      </c>
      <c r="E732" s="1">
        <v>4568.1401370000003</v>
      </c>
      <c r="F732" s="1">
        <v>4540.5097660000001</v>
      </c>
      <c r="G732" s="1">
        <v>4545.5498049999997</v>
      </c>
      <c r="H732" s="1">
        <v>3586240000</v>
      </c>
      <c r="I732" s="1">
        <f t="shared" si="11"/>
        <v>9.8011854429133345E-4</v>
      </c>
    </row>
    <row r="733" spans="1:9" x14ac:dyDescent="0.35">
      <c r="A733" s="1">
        <v>731</v>
      </c>
      <c r="B733" s="1" t="s">
        <v>740</v>
      </c>
      <c r="C733" s="1">
        <v>4550.580078</v>
      </c>
      <c r="D733" s="1">
        <v>4550.580078</v>
      </c>
      <c r="E733" s="1">
        <v>4587.6401370000003</v>
      </c>
      <c r="F733" s="1">
        <v>4547.1499020000001</v>
      </c>
      <c r="G733" s="1">
        <v>4571.8398440000001</v>
      </c>
      <c r="H733" s="1">
        <v>4418760000</v>
      </c>
      <c r="I733" s="1">
        <f t="shared" si="11"/>
        <v>-9.4624872836979353E-4</v>
      </c>
    </row>
    <row r="734" spans="1:9" x14ac:dyDescent="0.35">
      <c r="A734" s="1">
        <v>732</v>
      </c>
      <c r="B734" s="1" t="s">
        <v>741</v>
      </c>
      <c r="C734" s="1">
        <v>4567.7998049999997</v>
      </c>
      <c r="D734" s="1">
        <v>4567.7998049999997</v>
      </c>
      <c r="E734" s="1">
        <v>4569.8901370000003</v>
      </c>
      <c r="F734" s="1">
        <v>4537.2402339999999</v>
      </c>
      <c r="G734" s="1">
        <v>4554.8701170000004</v>
      </c>
      <c r="H734" s="1">
        <v>5399300000</v>
      </c>
      <c r="I734" s="1">
        <f t="shared" si="11"/>
        <v>3.7840729544018573E-3</v>
      </c>
    </row>
    <row r="735" spans="1:9" x14ac:dyDescent="0.35">
      <c r="A735" s="1">
        <v>733</v>
      </c>
      <c r="B735" s="1" t="s">
        <v>742</v>
      </c>
      <c r="C735" s="1">
        <v>4594.6298829999996</v>
      </c>
      <c r="D735" s="1">
        <v>4594.6298829999996</v>
      </c>
      <c r="E735" s="1">
        <v>4599.3901370000003</v>
      </c>
      <c r="F735" s="1">
        <v>4554.7099609999996</v>
      </c>
      <c r="G735" s="1">
        <v>4559.4301759999998</v>
      </c>
      <c r="H735" s="1">
        <v>4397120000</v>
      </c>
      <c r="I735" s="1">
        <f t="shared" si="11"/>
        <v>5.8737420958403759E-3</v>
      </c>
    </row>
    <row r="736" spans="1:9" x14ac:dyDescent="0.35">
      <c r="A736" s="1">
        <v>734</v>
      </c>
      <c r="B736" s="1" t="s">
        <v>743</v>
      </c>
      <c r="C736" s="1">
        <v>4569.7797849999997</v>
      </c>
      <c r="D736" s="1">
        <v>4569.7797849999997</v>
      </c>
      <c r="E736" s="1">
        <v>4572.3701170000004</v>
      </c>
      <c r="F736" s="1">
        <v>4546.7202150000003</v>
      </c>
      <c r="G736" s="1">
        <v>4564.3701170000004</v>
      </c>
      <c r="H736" s="1">
        <v>4369910000</v>
      </c>
      <c r="I736" s="1">
        <f t="shared" si="11"/>
        <v>-5.4085092015669313E-3</v>
      </c>
    </row>
    <row r="737" spans="1:9" x14ac:dyDescent="0.35">
      <c r="A737" s="1">
        <v>735</v>
      </c>
      <c r="B737" s="1" t="s">
        <v>744</v>
      </c>
      <c r="C737" s="1">
        <v>4567.1801759999998</v>
      </c>
      <c r="D737" s="1">
        <v>4567.1801759999998</v>
      </c>
      <c r="E737" s="1">
        <v>4578.5600590000004</v>
      </c>
      <c r="F737" s="1">
        <v>4551.6801759999998</v>
      </c>
      <c r="G737" s="1">
        <v>4557.25</v>
      </c>
      <c r="H737" s="1">
        <v>3909950000</v>
      </c>
      <c r="I737" s="1">
        <f t="shared" si="11"/>
        <v>-5.6886964412003352E-4</v>
      </c>
    </row>
    <row r="738" spans="1:9" x14ac:dyDescent="0.35">
      <c r="A738" s="1">
        <v>736</v>
      </c>
      <c r="B738" s="1" t="s">
        <v>745</v>
      </c>
      <c r="C738" s="1">
        <v>4549.3398440000001</v>
      </c>
      <c r="D738" s="1">
        <v>4549.3398440000001</v>
      </c>
      <c r="E738" s="1">
        <v>4590.7402339999999</v>
      </c>
      <c r="F738" s="1">
        <v>4546.5</v>
      </c>
      <c r="G738" s="1">
        <v>4586.2299800000001</v>
      </c>
      <c r="H738" s="1">
        <v>4245680000</v>
      </c>
      <c r="I738" s="1">
        <f t="shared" si="11"/>
        <v>-3.9062028018401005E-3</v>
      </c>
    </row>
    <row r="739" spans="1:9" x14ac:dyDescent="0.35">
      <c r="A739" s="1">
        <v>737</v>
      </c>
      <c r="B739" s="1" t="s">
        <v>746</v>
      </c>
      <c r="C739" s="1">
        <v>4585.5898440000001</v>
      </c>
      <c r="D739" s="1">
        <v>4585.5898440000001</v>
      </c>
      <c r="E739" s="1">
        <v>4590.919922</v>
      </c>
      <c r="F739" s="1">
        <v>4565.2202150000003</v>
      </c>
      <c r="G739" s="1">
        <v>4568.8398440000001</v>
      </c>
      <c r="H739" s="1">
        <v>3818880000</v>
      </c>
      <c r="I739" s="1">
        <f t="shared" si="11"/>
        <v>7.9681890654550967E-3</v>
      </c>
    </row>
    <row r="740" spans="1:9" x14ac:dyDescent="0.35">
      <c r="A740" s="1">
        <v>738</v>
      </c>
      <c r="B740" s="1" t="s">
        <v>747</v>
      </c>
      <c r="C740" s="1">
        <v>4604.3701170000004</v>
      </c>
      <c r="D740" s="1">
        <v>4604.3701170000004</v>
      </c>
      <c r="E740" s="1">
        <v>4609.2299800000001</v>
      </c>
      <c r="F740" s="1">
        <v>4574.0600590000004</v>
      </c>
      <c r="G740" s="1">
        <v>4576.2001950000003</v>
      </c>
      <c r="H740" s="1">
        <v>3707010000</v>
      </c>
      <c r="I740" s="1">
        <f t="shared" si="11"/>
        <v>4.0954977743099487E-3</v>
      </c>
    </row>
    <row r="741" spans="1:9" x14ac:dyDescent="0.35">
      <c r="A741" s="1">
        <v>739</v>
      </c>
      <c r="B741" s="1" t="s">
        <v>748</v>
      </c>
      <c r="C741" s="1">
        <v>4622.4399409999996</v>
      </c>
      <c r="D741" s="1">
        <v>4622.4399409999996</v>
      </c>
      <c r="E741" s="1">
        <v>4623.7099609999996</v>
      </c>
      <c r="F741" s="1">
        <v>4593.3901370000003</v>
      </c>
      <c r="G741" s="1">
        <v>4593.3901370000003</v>
      </c>
      <c r="H741" s="1">
        <v>3823210000</v>
      </c>
      <c r="I741" s="1">
        <f t="shared" si="11"/>
        <v>3.924494239349448E-3</v>
      </c>
    </row>
    <row r="742" spans="1:9" x14ac:dyDescent="0.35">
      <c r="A742" s="1">
        <v>740</v>
      </c>
      <c r="B742" s="1" t="s">
        <v>749</v>
      </c>
      <c r="C742" s="1">
        <v>4643.7001950000003</v>
      </c>
      <c r="D742" s="1">
        <v>4643.7001950000003</v>
      </c>
      <c r="E742" s="1">
        <v>4643.9301759999998</v>
      </c>
      <c r="F742" s="1">
        <v>4608.0898440000001</v>
      </c>
      <c r="G742" s="1">
        <v>4618.2998049999997</v>
      </c>
      <c r="H742" s="1">
        <v>3808380000</v>
      </c>
      <c r="I742" s="1">
        <f t="shared" si="11"/>
        <v>4.5993575409010844E-3</v>
      </c>
    </row>
    <row r="743" spans="1:9" x14ac:dyDescent="0.35">
      <c r="A743" s="1">
        <v>741</v>
      </c>
      <c r="B743" s="1" t="s">
        <v>750</v>
      </c>
      <c r="C743" s="1">
        <v>4707.0898440000001</v>
      </c>
      <c r="D743" s="1">
        <v>4707.0898440000001</v>
      </c>
      <c r="E743" s="1">
        <v>4709.6899409999996</v>
      </c>
      <c r="F743" s="1">
        <v>4643.2299800000001</v>
      </c>
      <c r="G743" s="1">
        <v>4646.2001950000003</v>
      </c>
      <c r="H743" s="1">
        <v>5063650000</v>
      </c>
      <c r="I743" s="1">
        <f t="shared" si="11"/>
        <v>1.3650676473096415E-2</v>
      </c>
    </row>
    <row r="744" spans="1:9" x14ac:dyDescent="0.35">
      <c r="A744" s="1">
        <v>742</v>
      </c>
      <c r="B744" s="1" t="s">
        <v>751</v>
      </c>
      <c r="C744" s="1">
        <v>4719.5498049999997</v>
      </c>
      <c r="D744" s="1">
        <v>4719.5498049999997</v>
      </c>
      <c r="E744" s="1">
        <v>4738.5698240000002</v>
      </c>
      <c r="F744" s="1">
        <v>4694.3398440000001</v>
      </c>
      <c r="G744" s="1">
        <v>4721.0400390000004</v>
      </c>
      <c r="H744" s="1">
        <v>6314040000</v>
      </c>
      <c r="I744" s="1">
        <f t="shared" si="11"/>
        <v>2.6470624978365224E-3</v>
      </c>
    </row>
    <row r="745" spans="1:9" x14ac:dyDescent="0.35">
      <c r="A745" s="1">
        <v>743</v>
      </c>
      <c r="B745" s="1" t="s">
        <v>752</v>
      </c>
      <c r="C745" s="1">
        <v>4719.1899409999996</v>
      </c>
      <c r="D745" s="1">
        <v>4719.1899409999996</v>
      </c>
      <c r="E745" s="1">
        <v>4725.5297849999997</v>
      </c>
      <c r="F745" s="1">
        <v>4704.6899409999996</v>
      </c>
      <c r="G745" s="1">
        <v>4714.2299800000001</v>
      </c>
      <c r="H745" s="1">
        <v>8218980000</v>
      </c>
      <c r="I745" s="1">
        <f t="shared" si="11"/>
        <v>-7.6249645595172599E-5</v>
      </c>
    </row>
    <row r="746" spans="1:9" x14ac:dyDescent="0.35">
      <c r="A746" s="1">
        <v>744</v>
      </c>
      <c r="B746" s="1" t="s">
        <v>753</v>
      </c>
      <c r="C746" s="1">
        <v>4740.5600590000004</v>
      </c>
      <c r="D746" s="1">
        <v>4740.5600590000004</v>
      </c>
      <c r="E746" s="1">
        <v>4749.5200199999999</v>
      </c>
      <c r="F746" s="1">
        <v>4725.580078</v>
      </c>
      <c r="G746" s="1">
        <v>4725.580078</v>
      </c>
      <c r="H746" s="1">
        <v>4060340000</v>
      </c>
      <c r="I746" s="1">
        <f t="shared" si="11"/>
        <v>4.5283445394597504E-3</v>
      </c>
    </row>
    <row r="747" spans="1:9" x14ac:dyDescent="0.35">
      <c r="A747" s="1">
        <v>745</v>
      </c>
      <c r="B747" s="1" t="s">
        <v>754</v>
      </c>
      <c r="C747" s="1">
        <v>4768.3701170000004</v>
      </c>
      <c r="D747" s="1">
        <v>4768.3701170000004</v>
      </c>
      <c r="E747" s="1">
        <v>4768.6899409999996</v>
      </c>
      <c r="F747" s="1">
        <v>4743.7202150000003</v>
      </c>
      <c r="G747" s="1">
        <v>4743.7202150000003</v>
      </c>
      <c r="H747" s="1">
        <v>4026970000</v>
      </c>
      <c r="I747" s="1">
        <f t="shared" si="11"/>
        <v>5.8664076931590299E-3</v>
      </c>
    </row>
    <row r="748" spans="1:9" x14ac:dyDescent="0.35">
      <c r="A748" s="1">
        <v>746</v>
      </c>
      <c r="B748" s="1" t="s">
        <v>755</v>
      </c>
      <c r="C748" s="1">
        <v>4698.3500979999999</v>
      </c>
      <c r="D748" s="1">
        <v>4698.3500979999999</v>
      </c>
      <c r="E748" s="1">
        <v>4778.0097660000001</v>
      </c>
      <c r="F748" s="1">
        <v>4697.8198240000002</v>
      </c>
      <c r="G748" s="1">
        <v>4764.7299800000001</v>
      </c>
      <c r="H748" s="1">
        <v>4201320000</v>
      </c>
      <c r="I748" s="1">
        <f t="shared" si="11"/>
        <v>-1.4684266800173073E-2</v>
      </c>
    </row>
    <row r="749" spans="1:9" x14ac:dyDescent="0.35">
      <c r="A749" s="1">
        <v>747</v>
      </c>
      <c r="B749" s="1" t="s">
        <v>756</v>
      </c>
      <c r="C749" s="1">
        <v>4746.75</v>
      </c>
      <c r="D749" s="1">
        <v>4746.75</v>
      </c>
      <c r="E749" s="1">
        <v>4748.7099609999996</v>
      </c>
      <c r="F749" s="1">
        <v>4708.3500979999999</v>
      </c>
      <c r="G749" s="1">
        <v>4724.2900390000004</v>
      </c>
      <c r="H749" s="1">
        <v>3431180000</v>
      </c>
      <c r="I749" s="1">
        <f t="shared" si="11"/>
        <v>1.0301467747284956E-2</v>
      </c>
    </row>
    <row r="750" spans="1:9" x14ac:dyDescent="0.35">
      <c r="A750" s="1">
        <v>748</v>
      </c>
      <c r="B750" s="1" t="s">
        <v>757</v>
      </c>
      <c r="C750" s="1">
        <v>4754.6298829999996</v>
      </c>
      <c r="D750" s="1">
        <v>4754.6298829999996</v>
      </c>
      <c r="E750" s="1">
        <v>4772.9399409999996</v>
      </c>
      <c r="F750" s="1">
        <v>4736.7700199999999</v>
      </c>
      <c r="G750" s="1">
        <v>4753.919922</v>
      </c>
      <c r="H750" s="1">
        <v>3046770000</v>
      </c>
      <c r="I750" s="1">
        <f t="shared" si="11"/>
        <v>1.6600585663874459E-3</v>
      </c>
    </row>
    <row r="751" spans="1:9" x14ac:dyDescent="0.35">
      <c r="A751" s="1">
        <v>749</v>
      </c>
      <c r="B751" s="1" t="s">
        <v>758</v>
      </c>
      <c r="C751" s="1">
        <v>4774.75</v>
      </c>
      <c r="D751" s="1">
        <v>4774.75</v>
      </c>
      <c r="E751" s="1">
        <v>4784.7202150000003</v>
      </c>
      <c r="F751" s="1">
        <v>4758.4501950000003</v>
      </c>
      <c r="G751" s="1">
        <v>4758.8598629999997</v>
      </c>
      <c r="H751" s="1">
        <v>2513910000</v>
      </c>
      <c r="I751" s="1">
        <f t="shared" si="11"/>
        <v>4.2316894259086524E-3</v>
      </c>
    </row>
    <row r="752" spans="1:9" x14ac:dyDescent="0.35">
      <c r="A752" s="1">
        <v>750</v>
      </c>
      <c r="B752" s="1" t="s">
        <v>759</v>
      </c>
      <c r="C752" s="1">
        <v>4781.580078</v>
      </c>
      <c r="D752" s="1">
        <v>4781.580078</v>
      </c>
      <c r="E752" s="1">
        <v>4785.3901370000003</v>
      </c>
      <c r="F752" s="1">
        <v>4768.8999020000001</v>
      </c>
      <c r="G752" s="1">
        <v>4773.4501950000003</v>
      </c>
      <c r="H752" s="1">
        <v>2748450000</v>
      </c>
      <c r="I752" s="1">
        <f t="shared" si="11"/>
        <v>1.4304577202994832E-3</v>
      </c>
    </row>
    <row r="753" spans="1:9" x14ac:dyDescent="0.35">
      <c r="A753" s="1">
        <v>751</v>
      </c>
      <c r="B753" s="1" t="s">
        <v>760</v>
      </c>
      <c r="C753" s="1">
        <v>4783.3500979999999</v>
      </c>
      <c r="D753" s="1">
        <v>4783.3500979999999</v>
      </c>
      <c r="E753" s="1">
        <v>4793.2998049999997</v>
      </c>
      <c r="F753" s="1">
        <v>4780.9799800000001</v>
      </c>
      <c r="G753" s="1">
        <v>4786.4399409999996</v>
      </c>
      <c r="H753" s="1">
        <v>2698860000</v>
      </c>
      <c r="I753" s="1">
        <f t="shared" si="11"/>
        <v>3.7017470608591811E-4</v>
      </c>
    </row>
    <row r="754" spans="1:9" x14ac:dyDescent="0.35">
      <c r="A754" s="1">
        <v>752</v>
      </c>
      <c r="B754" s="1" t="s">
        <v>761</v>
      </c>
      <c r="C754" s="1">
        <v>4769.830078</v>
      </c>
      <c r="D754" s="1">
        <v>4769.830078</v>
      </c>
      <c r="E754" s="1">
        <v>4788.4301759999998</v>
      </c>
      <c r="F754" s="1">
        <v>4751.9902339999999</v>
      </c>
      <c r="G754" s="1">
        <v>4782.8798829999996</v>
      </c>
      <c r="H754" s="1">
        <v>3126060000</v>
      </c>
      <c r="I754" s="1">
        <f t="shared" si="11"/>
        <v>-2.826475111167983E-3</v>
      </c>
    </row>
    <row r="755" spans="1:9" x14ac:dyDescent="0.35">
      <c r="A755" s="1">
        <v>753</v>
      </c>
      <c r="B755" s="1" t="s">
        <v>762</v>
      </c>
      <c r="C755" s="1">
        <v>4742.830078</v>
      </c>
      <c r="D755" s="1">
        <v>4742.830078</v>
      </c>
      <c r="E755" s="1">
        <v>4754.330078</v>
      </c>
      <c r="F755" s="1">
        <v>4722.669922</v>
      </c>
      <c r="G755" s="1">
        <v>4745.2001950000003</v>
      </c>
      <c r="H755" s="1">
        <v>3743050000</v>
      </c>
      <c r="I755" s="1">
        <f t="shared" si="11"/>
        <v>-5.6605790056406284E-3</v>
      </c>
    </row>
    <row r="756" spans="1:9" x14ac:dyDescent="0.35">
      <c r="A756" s="1">
        <v>754</v>
      </c>
      <c r="B756" s="1" t="s">
        <v>763</v>
      </c>
      <c r="C756" s="1">
        <v>4704.8100590000004</v>
      </c>
      <c r="D756" s="1">
        <v>4704.8100590000004</v>
      </c>
      <c r="E756" s="1">
        <v>4729.2900390000004</v>
      </c>
      <c r="F756" s="1">
        <v>4699.7099609999996</v>
      </c>
      <c r="G756" s="1">
        <v>4725.0698240000002</v>
      </c>
      <c r="H756" s="1">
        <v>3950760000</v>
      </c>
      <c r="I756" s="1">
        <f t="shared" si="11"/>
        <v>-8.0163148109308243E-3</v>
      </c>
    </row>
    <row r="757" spans="1:9" x14ac:dyDescent="0.35">
      <c r="A757" s="1">
        <v>755</v>
      </c>
      <c r="B757" s="1" t="s">
        <v>764</v>
      </c>
      <c r="C757" s="1">
        <v>4688.6801759999998</v>
      </c>
      <c r="D757" s="1">
        <v>4688.6801759999998</v>
      </c>
      <c r="E757" s="1">
        <v>4726.7797849999997</v>
      </c>
      <c r="F757" s="1">
        <v>4687.5297849999997</v>
      </c>
      <c r="G757" s="1">
        <v>4697.419922</v>
      </c>
      <c r="H757" s="1">
        <v>3715480000</v>
      </c>
      <c r="I757" s="1">
        <f t="shared" si="11"/>
        <v>-3.4283813369139281E-3</v>
      </c>
    </row>
    <row r="758" spans="1:9" x14ac:dyDescent="0.35">
      <c r="A758" s="1">
        <v>756</v>
      </c>
      <c r="B758" s="1" t="s">
        <v>765</v>
      </c>
      <c r="C758" s="1">
        <v>4697.2402339999999</v>
      </c>
      <c r="D758" s="1">
        <v>4697.2402339999999</v>
      </c>
      <c r="E758" s="1">
        <v>4721.4902339999999</v>
      </c>
      <c r="F758" s="1">
        <v>4682.1098629999997</v>
      </c>
      <c r="G758" s="1">
        <v>4690.5698240000002</v>
      </c>
      <c r="H758" s="1">
        <v>3844370000</v>
      </c>
      <c r="I758" s="1">
        <f t="shared" si="11"/>
        <v>1.8256860520827357E-3</v>
      </c>
    </row>
    <row r="759" spans="1:9" x14ac:dyDescent="0.35">
      <c r="A759" s="1">
        <v>757</v>
      </c>
      <c r="B759" s="1" t="s">
        <v>766</v>
      </c>
      <c r="C759" s="1">
        <v>4763.5400390000004</v>
      </c>
      <c r="D759" s="1">
        <v>4763.5400390000004</v>
      </c>
      <c r="E759" s="1">
        <v>4764.5400390000004</v>
      </c>
      <c r="F759" s="1">
        <v>4699.8198240000002</v>
      </c>
      <c r="G759" s="1">
        <v>4703.7001950000003</v>
      </c>
      <c r="H759" s="1">
        <v>3742320000</v>
      </c>
      <c r="I759" s="1">
        <f t="shared" si="11"/>
        <v>1.4114629377501957E-2</v>
      </c>
    </row>
    <row r="760" spans="1:9" x14ac:dyDescent="0.35">
      <c r="A760" s="1">
        <v>758</v>
      </c>
      <c r="B760" s="1" t="s">
        <v>767</v>
      </c>
      <c r="C760" s="1">
        <v>4756.5</v>
      </c>
      <c r="D760" s="1">
        <v>4756.5</v>
      </c>
      <c r="E760" s="1">
        <v>4765.4702150000003</v>
      </c>
      <c r="F760" s="1">
        <v>4730.3500979999999</v>
      </c>
      <c r="G760" s="1">
        <v>4741.9301759999998</v>
      </c>
      <c r="H760" s="1">
        <v>3529960000</v>
      </c>
      <c r="I760" s="1">
        <f t="shared" si="11"/>
        <v>-1.4779006668071029E-3</v>
      </c>
    </row>
    <row r="761" spans="1:9" x14ac:dyDescent="0.35">
      <c r="A761" s="1">
        <v>759</v>
      </c>
      <c r="B761" s="1" t="s">
        <v>768</v>
      </c>
      <c r="C761" s="1">
        <v>4783.4501950000003</v>
      </c>
      <c r="D761" s="1">
        <v>4783.4501950000003</v>
      </c>
      <c r="E761" s="1">
        <v>4790.7998049999997</v>
      </c>
      <c r="F761" s="1">
        <v>4756.2001950000003</v>
      </c>
      <c r="G761" s="1">
        <v>4759.9399409999996</v>
      </c>
      <c r="H761" s="1">
        <v>3498680000</v>
      </c>
      <c r="I761" s="1">
        <f t="shared" si="11"/>
        <v>5.6659718280248818E-3</v>
      </c>
    </row>
    <row r="762" spans="1:9" x14ac:dyDescent="0.35">
      <c r="A762" s="1">
        <v>760</v>
      </c>
      <c r="B762" s="1" t="s">
        <v>769</v>
      </c>
      <c r="C762" s="1">
        <v>4780.2402339999999</v>
      </c>
      <c r="D762" s="1">
        <v>4780.2402339999999</v>
      </c>
      <c r="E762" s="1">
        <v>4798.5</v>
      </c>
      <c r="F762" s="1">
        <v>4739.580078</v>
      </c>
      <c r="G762" s="1">
        <v>4792.1298829999996</v>
      </c>
      <c r="H762" s="1">
        <v>3759890000</v>
      </c>
      <c r="I762" s="1">
        <f t="shared" si="11"/>
        <v>-6.7105559149664685E-4</v>
      </c>
    </row>
    <row r="763" spans="1:9" x14ac:dyDescent="0.35">
      <c r="A763" s="1">
        <v>761</v>
      </c>
      <c r="B763" s="1" t="s">
        <v>770</v>
      </c>
      <c r="C763" s="1">
        <v>4783.830078</v>
      </c>
      <c r="D763" s="1">
        <v>4783.830078</v>
      </c>
      <c r="E763" s="1">
        <v>4802.3999020000001</v>
      </c>
      <c r="F763" s="1">
        <v>4768.9799800000001</v>
      </c>
      <c r="G763" s="1">
        <v>4791.1801759999998</v>
      </c>
      <c r="H763" s="1">
        <v>3486340000</v>
      </c>
      <c r="I763" s="1">
        <f t="shared" si="11"/>
        <v>7.5097564646791444E-4</v>
      </c>
    </row>
    <row r="764" spans="1:9" x14ac:dyDescent="0.35">
      <c r="A764" s="1">
        <v>762</v>
      </c>
      <c r="B764" s="1" t="s">
        <v>771</v>
      </c>
      <c r="C764" s="1">
        <v>4765.9799800000001</v>
      </c>
      <c r="D764" s="1">
        <v>4765.9799800000001</v>
      </c>
      <c r="E764" s="1">
        <v>4782.3398440000001</v>
      </c>
      <c r="F764" s="1">
        <v>4747.1201170000004</v>
      </c>
      <c r="G764" s="1">
        <v>4772.3500979999999</v>
      </c>
      <c r="H764" s="1">
        <v>4260550000</v>
      </c>
      <c r="I764" s="1">
        <f t="shared" si="11"/>
        <v>-3.7313403086972874E-3</v>
      </c>
    </row>
    <row r="765" spans="1:9" x14ac:dyDescent="0.35">
      <c r="A765" s="1">
        <v>763</v>
      </c>
      <c r="B765" s="1" t="s">
        <v>772</v>
      </c>
      <c r="C765" s="1">
        <v>4739.2099609999996</v>
      </c>
      <c r="D765" s="1">
        <v>4739.2099609999996</v>
      </c>
      <c r="E765" s="1">
        <v>4744.2299800000001</v>
      </c>
      <c r="F765" s="1">
        <v>4714.8198240000002</v>
      </c>
      <c r="G765" s="1">
        <v>4739.1298829999996</v>
      </c>
      <c r="H765" s="1">
        <v>3928600000</v>
      </c>
      <c r="I765" s="1">
        <f t="shared" si="11"/>
        <v>-5.6168970730759351E-3</v>
      </c>
    </row>
    <row r="766" spans="1:9" x14ac:dyDescent="0.35">
      <c r="A766" s="1">
        <v>764</v>
      </c>
      <c r="B766" s="1" t="s">
        <v>773</v>
      </c>
      <c r="C766" s="1">
        <v>4780.9399409999996</v>
      </c>
      <c r="D766" s="1">
        <v>4780.9399409999996</v>
      </c>
      <c r="E766" s="1">
        <v>4785.7900390000004</v>
      </c>
      <c r="F766" s="1">
        <v>4740.5698240000002</v>
      </c>
      <c r="G766" s="1">
        <v>4760.1000979999999</v>
      </c>
      <c r="H766" s="1">
        <v>4019000000</v>
      </c>
      <c r="I766" s="1">
        <f t="shared" si="11"/>
        <v>8.8052608648709896E-3</v>
      </c>
    </row>
    <row r="767" spans="1:9" x14ac:dyDescent="0.35">
      <c r="A767" s="1">
        <v>765</v>
      </c>
      <c r="B767" s="1" t="s">
        <v>774</v>
      </c>
      <c r="C767" s="1">
        <v>4839.8100590000004</v>
      </c>
      <c r="D767" s="1">
        <v>4839.8100590000004</v>
      </c>
      <c r="E767" s="1">
        <v>4842.0698240000002</v>
      </c>
      <c r="F767" s="1">
        <v>4785.8701170000004</v>
      </c>
      <c r="G767" s="1">
        <v>4796.2797849999997</v>
      </c>
      <c r="H767" s="1">
        <v>4287200000</v>
      </c>
      <c r="I767" s="1">
        <f t="shared" si="11"/>
        <v>1.2313502935928375E-2</v>
      </c>
    </row>
    <row r="768" spans="1:9" x14ac:dyDescent="0.35">
      <c r="A768" s="1">
        <v>766</v>
      </c>
      <c r="B768" s="1" t="s">
        <v>775</v>
      </c>
      <c r="C768" s="1">
        <v>4850.4301759999998</v>
      </c>
      <c r="D768" s="1">
        <v>4850.4301759999998</v>
      </c>
      <c r="E768" s="1">
        <v>4868.4101559999999</v>
      </c>
      <c r="F768" s="1">
        <v>4844.0498049999997</v>
      </c>
      <c r="G768" s="1">
        <v>4853.419922</v>
      </c>
      <c r="H768" s="1">
        <v>4297610000</v>
      </c>
      <c r="I768" s="1">
        <f t="shared" si="11"/>
        <v>2.1943251637015289E-3</v>
      </c>
    </row>
    <row r="769" spans="1:9" x14ac:dyDescent="0.35">
      <c r="A769" s="1">
        <v>767</v>
      </c>
      <c r="B769" s="1" t="s">
        <v>776</v>
      </c>
      <c r="C769" s="1">
        <v>4864.6000979999999</v>
      </c>
      <c r="D769" s="1">
        <v>4864.6000979999999</v>
      </c>
      <c r="E769" s="1">
        <v>4866.4799800000001</v>
      </c>
      <c r="F769" s="1">
        <v>4844.3701170000004</v>
      </c>
      <c r="G769" s="1">
        <v>4856.7998049999997</v>
      </c>
      <c r="H769" s="1">
        <v>3912800000</v>
      </c>
      <c r="I769" s="1">
        <f t="shared" si="11"/>
        <v>2.9213742876071126E-3</v>
      </c>
    </row>
    <row r="770" spans="1:9" x14ac:dyDescent="0.35">
      <c r="A770" s="1">
        <v>768</v>
      </c>
      <c r="B770" s="1" t="s">
        <v>777</v>
      </c>
      <c r="C770" s="1">
        <v>4868.5498049999997</v>
      </c>
      <c r="D770" s="1">
        <v>4868.5498049999997</v>
      </c>
      <c r="E770" s="1">
        <v>4903.6801759999998</v>
      </c>
      <c r="F770" s="1">
        <v>4865.9399409999996</v>
      </c>
      <c r="G770" s="1">
        <v>4888.5600590000004</v>
      </c>
      <c r="H770" s="1">
        <v>4330030000</v>
      </c>
      <c r="I770" s="1">
        <f t="shared" si="11"/>
        <v>8.1192840530172649E-4</v>
      </c>
    </row>
    <row r="771" spans="1:9" x14ac:dyDescent="0.35">
      <c r="A771" s="1">
        <v>769</v>
      </c>
      <c r="B771" s="1" t="s">
        <v>778</v>
      </c>
      <c r="C771" s="1">
        <v>4894.1601559999999</v>
      </c>
      <c r="D771" s="1">
        <v>4894.1601559999999</v>
      </c>
      <c r="E771" s="1">
        <v>4898.1499020000001</v>
      </c>
      <c r="F771" s="1">
        <v>4869.3398440000001</v>
      </c>
      <c r="G771" s="1">
        <v>4886.6601559999999</v>
      </c>
      <c r="H771" s="1">
        <v>4020430000</v>
      </c>
      <c r="I771" s="1">
        <f t="shared" si="11"/>
        <v>5.2603654118313506E-3</v>
      </c>
    </row>
    <row r="772" spans="1:9" x14ac:dyDescent="0.35">
      <c r="A772" s="1">
        <v>770</v>
      </c>
      <c r="B772" s="1" t="s">
        <v>779</v>
      </c>
      <c r="C772" s="1">
        <v>4890.9702150000003</v>
      </c>
      <c r="D772" s="1">
        <v>4890.9702150000003</v>
      </c>
      <c r="E772" s="1">
        <v>4906.6899409999996</v>
      </c>
      <c r="F772" s="1">
        <v>4881.4702150000003</v>
      </c>
      <c r="G772" s="1">
        <v>4888.9101559999999</v>
      </c>
      <c r="H772" s="1">
        <v>3353400000</v>
      </c>
      <c r="I772" s="1">
        <f t="shared" ref="I772:I835" si="12">(C772-C771)/C771</f>
        <v>-6.5178516810262621E-4</v>
      </c>
    </row>
    <row r="773" spans="1:9" x14ac:dyDescent="0.35">
      <c r="A773" s="1">
        <v>771</v>
      </c>
      <c r="B773" s="1" t="s">
        <v>780</v>
      </c>
      <c r="C773" s="1">
        <v>4927.9301759999998</v>
      </c>
      <c r="D773" s="1">
        <v>4927.9301759999998</v>
      </c>
      <c r="E773" s="1">
        <v>4929.3100590000004</v>
      </c>
      <c r="F773" s="1">
        <v>4887.3999020000001</v>
      </c>
      <c r="G773" s="1">
        <v>4892.9501950000003</v>
      </c>
      <c r="H773" s="1">
        <v>3525160000</v>
      </c>
      <c r="I773" s="1">
        <f t="shared" si="12"/>
        <v>7.5567749087180986E-3</v>
      </c>
    </row>
    <row r="774" spans="1:9" x14ac:dyDescent="0.35">
      <c r="A774" s="1">
        <v>772</v>
      </c>
      <c r="B774" s="1" t="s">
        <v>781</v>
      </c>
      <c r="C774" s="1">
        <v>4924.9702150000003</v>
      </c>
      <c r="D774" s="1">
        <v>4924.9702150000003</v>
      </c>
      <c r="E774" s="1">
        <v>4931.0898440000001</v>
      </c>
      <c r="F774" s="1">
        <v>4916.2700199999999</v>
      </c>
      <c r="G774" s="1">
        <v>4925.8901370000003</v>
      </c>
      <c r="H774" s="1">
        <v>3836130000</v>
      </c>
      <c r="I774" s="1">
        <f t="shared" si="12"/>
        <v>-6.0064994719591716E-4</v>
      </c>
    </row>
    <row r="775" spans="1:9" x14ac:dyDescent="0.35">
      <c r="A775" s="1">
        <v>773</v>
      </c>
      <c r="B775" s="1" t="s">
        <v>782</v>
      </c>
      <c r="C775" s="1">
        <v>4845.6499020000001</v>
      </c>
      <c r="D775" s="1">
        <v>4845.6499020000001</v>
      </c>
      <c r="E775" s="1">
        <v>4906.75</v>
      </c>
      <c r="F775" s="1">
        <v>4845.1499020000001</v>
      </c>
      <c r="G775" s="1">
        <v>4899.1899409999996</v>
      </c>
      <c r="H775" s="1">
        <v>4696120000</v>
      </c>
      <c r="I775" s="1">
        <f t="shared" si="12"/>
        <v>-1.6105744712610441E-2</v>
      </c>
    </row>
    <row r="776" spans="1:9" x14ac:dyDescent="0.35">
      <c r="A776" s="1">
        <v>774</v>
      </c>
      <c r="B776" s="1" t="s">
        <v>783</v>
      </c>
      <c r="C776" s="1">
        <v>4906.1899409999996</v>
      </c>
      <c r="D776" s="1">
        <v>4906.1899409999996</v>
      </c>
      <c r="E776" s="1">
        <v>4906.9702150000003</v>
      </c>
      <c r="F776" s="1">
        <v>4853.5200199999999</v>
      </c>
      <c r="G776" s="1">
        <v>4861.1098629999997</v>
      </c>
      <c r="H776" s="1">
        <v>4386090000</v>
      </c>
      <c r="I776" s="1">
        <f t="shared" si="12"/>
        <v>1.2493688199597777E-2</v>
      </c>
    </row>
    <row r="777" spans="1:9" x14ac:dyDescent="0.35">
      <c r="A777" s="1">
        <v>775</v>
      </c>
      <c r="B777" s="1" t="s">
        <v>784</v>
      </c>
      <c r="C777" s="1">
        <v>4958.6098629999997</v>
      </c>
      <c r="D777" s="1">
        <v>4958.6098629999997</v>
      </c>
      <c r="E777" s="1">
        <v>4975.2900390000004</v>
      </c>
      <c r="F777" s="1">
        <v>4907.9902339999999</v>
      </c>
      <c r="G777" s="1">
        <v>4916.0600590000004</v>
      </c>
      <c r="H777" s="1">
        <v>3974350000</v>
      </c>
      <c r="I777" s="1">
        <f t="shared" si="12"/>
        <v>1.0684446103877421E-2</v>
      </c>
    </row>
    <row r="778" spans="1:9" x14ac:dyDescent="0.35">
      <c r="A778" s="1">
        <v>776</v>
      </c>
      <c r="B778" s="1" t="s">
        <v>785</v>
      </c>
      <c r="C778" s="1">
        <v>4942.8100590000004</v>
      </c>
      <c r="D778" s="1">
        <v>4942.8100590000004</v>
      </c>
      <c r="E778" s="1">
        <v>4957.1899409999996</v>
      </c>
      <c r="F778" s="1">
        <v>4918.0898440000001</v>
      </c>
      <c r="G778" s="1">
        <v>4957.1899409999996</v>
      </c>
      <c r="H778" s="1">
        <v>4023640000</v>
      </c>
      <c r="I778" s="1">
        <f t="shared" si="12"/>
        <v>-3.1863373882050688E-3</v>
      </c>
    </row>
    <row r="779" spans="1:9" x14ac:dyDescent="0.35">
      <c r="A779" s="1">
        <v>777</v>
      </c>
      <c r="B779" s="1" t="s">
        <v>786</v>
      </c>
      <c r="C779" s="1">
        <v>4954.2299800000001</v>
      </c>
      <c r="D779" s="1">
        <v>4954.2299800000001</v>
      </c>
      <c r="E779" s="1">
        <v>4957.7700199999999</v>
      </c>
      <c r="F779" s="1">
        <v>4934.8798829999996</v>
      </c>
      <c r="G779" s="1">
        <v>4950.1601559999999</v>
      </c>
      <c r="H779" s="1">
        <v>4440880000</v>
      </c>
      <c r="I779" s="1">
        <f t="shared" si="12"/>
        <v>2.3104106497489232E-3</v>
      </c>
    </row>
    <row r="780" spans="1:9" x14ac:dyDescent="0.35">
      <c r="A780" s="1">
        <v>778</v>
      </c>
      <c r="B780" s="1" t="s">
        <v>787</v>
      </c>
      <c r="C780" s="1">
        <v>4995.0600590000004</v>
      </c>
      <c r="D780" s="1">
        <v>4995.0600590000004</v>
      </c>
      <c r="E780" s="1">
        <v>4999.8901370000003</v>
      </c>
      <c r="F780" s="1">
        <v>4969.0498049999997</v>
      </c>
      <c r="G780" s="1">
        <v>4973.0498049999997</v>
      </c>
      <c r="H780" s="1">
        <v>4895590000</v>
      </c>
      <c r="I780" s="1">
        <f t="shared" si="12"/>
        <v>8.2414581407866533E-3</v>
      </c>
    </row>
    <row r="781" spans="1:9" x14ac:dyDescent="0.35">
      <c r="A781" s="1">
        <v>779</v>
      </c>
      <c r="B781" s="1" t="s">
        <v>788</v>
      </c>
      <c r="C781" s="1">
        <v>4997.9101559999999</v>
      </c>
      <c r="D781" s="1">
        <v>4997.9101559999999</v>
      </c>
      <c r="E781" s="1">
        <v>5000.3999020000001</v>
      </c>
      <c r="F781" s="1">
        <v>4987.0898440000001</v>
      </c>
      <c r="G781" s="1">
        <v>4995.1601559999999</v>
      </c>
      <c r="H781" s="1">
        <v>4341860000</v>
      </c>
      <c r="I781" s="1">
        <f t="shared" si="12"/>
        <v>5.7058312939887524E-4</v>
      </c>
    </row>
    <row r="782" spans="1:9" x14ac:dyDescent="0.35">
      <c r="A782" s="1">
        <v>780</v>
      </c>
      <c r="B782" s="1" t="s">
        <v>789</v>
      </c>
      <c r="C782" s="1">
        <v>5026.6098629999997</v>
      </c>
      <c r="D782" s="1">
        <v>5026.6098629999997</v>
      </c>
      <c r="E782" s="1">
        <v>5030.0600590000004</v>
      </c>
      <c r="F782" s="1">
        <v>5000.3398440000001</v>
      </c>
      <c r="G782" s="1">
        <v>5004.169922</v>
      </c>
      <c r="H782" s="1">
        <v>3912990000</v>
      </c>
      <c r="I782" s="1">
        <f t="shared" si="12"/>
        <v>5.7423415195940871E-3</v>
      </c>
    </row>
    <row r="783" spans="1:9" x14ac:dyDescent="0.35">
      <c r="A783" s="1">
        <v>781</v>
      </c>
      <c r="B783" s="1" t="s">
        <v>790</v>
      </c>
      <c r="C783" s="1">
        <v>5021.8398440000001</v>
      </c>
      <c r="D783" s="1">
        <v>5021.8398440000001</v>
      </c>
      <c r="E783" s="1">
        <v>5048.3901370000003</v>
      </c>
      <c r="F783" s="1">
        <v>5016.830078</v>
      </c>
      <c r="G783" s="1">
        <v>5026.830078</v>
      </c>
      <c r="H783" s="1">
        <v>3805740000</v>
      </c>
      <c r="I783" s="1">
        <f t="shared" si="12"/>
        <v>-9.4895349549820301E-4</v>
      </c>
    </row>
    <row r="784" spans="1:9" x14ac:dyDescent="0.35">
      <c r="A784" s="1">
        <v>782</v>
      </c>
      <c r="B784" s="1" t="s">
        <v>791</v>
      </c>
      <c r="C784" s="1">
        <v>4953.169922</v>
      </c>
      <c r="D784" s="1">
        <v>4953.169922</v>
      </c>
      <c r="E784" s="1">
        <v>4971.2998049999997</v>
      </c>
      <c r="F784" s="1">
        <v>4920.3100590000004</v>
      </c>
      <c r="G784" s="1">
        <v>4967.9399409999996</v>
      </c>
      <c r="H784" s="1">
        <v>4302190000</v>
      </c>
      <c r="I784" s="1">
        <f t="shared" si="12"/>
        <v>-1.3674255677835997E-2</v>
      </c>
    </row>
    <row r="785" spans="1:9" x14ac:dyDescent="0.35">
      <c r="A785" s="1">
        <v>783</v>
      </c>
      <c r="B785" s="1" t="s">
        <v>792</v>
      </c>
      <c r="C785" s="1">
        <v>5000.6201170000004</v>
      </c>
      <c r="D785" s="1">
        <v>5000.6201170000004</v>
      </c>
      <c r="E785" s="1">
        <v>5002.5200199999999</v>
      </c>
      <c r="F785" s="1">
        <v>4956.4501950000003</v>
      </c>
      <c r="G785" s="1">
        <v>4976.4399409999996</v>
      </c>
      <c r="H785" s="1">
        <v>3845600000</v>
      </c>
      <c r="I785" s="1">
        <f t="shared" si="12"/>
        <v>9.5797632116850183E-3</v>
      </c>
    </row>
    <row r="786" spans="1:9" x14ac:dyDescent="0.35">
      <c r="A786" s="1">
        <v>784</v>
      </c>
      <c r="B786" s="1" t="s">
        <v>793</v>
      </c>
      <c r="C786" s="1">
        <v>5029.7299800000001</v>
      </c>
      <c r="D786" s="1">
        <v>5029.7299800000001</v>
      </c>
      <c r="E786" s="1">
        <v>5032.7202150000003</v>
      </c>
      <c r="F786" s="1">
        <v>4999.4399409999996</v>
      </c>
      <c r="G786" s="1">
        <v>5003.1401370000003</v>
      </c>
      <c r="H786" s="1">
        <v>4137970000</v>
      </c>
      <c r="I786" s="1">
        <f t="shared" si="12"/>
        <v>5.8212506287047107E-3</v>
      </c>
    </row>
    <row r="787" spans="1:9" x14ac:dyDescent="0.35">
      <c r="A787" s="1">
        <v>785</v>
      </c>
      <c r="B787" s="1" t="s">
        <v>794</v>
      </c>
      <c r="C787" s="1">
        <v>5005.5698240000002</v>
      </c>
      <c r="D787" s="1">
        <v>5005.5698240000002</v>
      </c>
      <c r="E787" s="1">
        <v>5038.7001950000003</v>
      </c>
      <c r="F787" s="1">
        <v>4999.5200199999999</v>
      </c>
      <c r="G787" s="1">
        <v>5031.1298829999996</v>
      </c>
      <c r="H787" s="1">
        <v>3833270000</v>
      </c>
      <c r="I787" s="1">
        <f t="shared" si="12"/>
        <v>-4.8034697878552744E-3</v>
      </c>
    </row>
    <row r="788" spans="1:9" x14ac:dyDescent="0.35">
      <c r="A788" s="1">
        <v>786</v>
      </c>
      <c r="B788" s="1" t="s">
        <v>795</v>
      </c>
      <c r="C788" s="1">
        <v>4975.5097660000001</v>
      </c>
      <c r="D788" s="1">
        <v>4975.5097660000001</v>
      </c>
      <c r="E788" s="1">
        <v>4993.7099609999996</v>
      </c>
      <c r="F788" s="1">
        <v>4955.0200199999999</v>
      </c>
      <c r="G788" s="1">
        <v>4989.3198240000002</v>
      </c>
      <c r="H788" s="1">
        <v>4034880000</v>
      </c>
      <c r="I788" s="1">
        <f t="shared" si="12"/>
        <v>-6.0053218828098852E-3</v>
      </c>
    </row>
    <row r="789" spans="1:9" x14ac:dyDescent="0.35">
      <c r="A789" s="1">
        <v>787</v>
      </c>
      <c r="B789" s="1" t="s">
        <v>796</v>
      </c>
      <c r="C789" s="1">
        <v>4981.7998049999997</v>
      </c>
      <c r="D789" s="1">
        <v>4981.7998049999997</v>
      </c>
      <c r="E789" s="1">
        <v>4983.2099609999996</v>
      </c>
      <c r="F789" s="1">
        <v>4946</v>
      </c>
      <c r="G789" s="1">
        <v>4963.0297849999997</v>
      </c>
      <c r="H789" s="1">
        <v>3788390000</v>
      </c>
      <c r="I789" s="1">
        <f t="shared" si="12"/>
        <v>1.2641999103252335E-3</v>
      </c>
    </row>
    <row r="790" spans="1:9" x14ac:dyDescent="0.35">
      <c r="A790" s="1">
        <v>788</v>
      </c>
      <c r="B790" s="1" t="s">
        <v>797</v>
      </c>
      <c r="C790" s="1">
        <v>5087.0297849999997</v>
      </c>
      <c r="D790" s="1">
        <v>5087.0297849999997</v>
      </c>
      <c r="E790" s="1">
        <v>5094.3901370000003</v>
      </c>
      <c r="F790" s="1">
        <v>5038.830078</v>
      </c>
      <c r="G790" s="1">
        <v>5038.830078</v>
      </c>
      <c r="H790" s="1">
        <v>4051710000</v>
      </c>
      <c r="I790" s="1">
        <f t="shared" si="12"/>
        <v>2.1122884121996564E-2</v>
      </c>
    </row>
    <row r="791" spans="1:9" x14ac:dyDescent="0.35">
      <c r="A791" s="1">
        <v>789</v>
      </c>
      <c r="B791" s="1" t="s">
        <v>798</v>
      </c>
      <c r="C791" s="1">
        <v>5088.7998049999997</v>
      </c>
      <c r="D791" s="1">
        <v>5088.7998049999997</v>
      </c>
      <c r="E791" s="1">
        <v>5111.0600590000004</v>
      </c>
      <c r="F791" s="1">
        <v>5081.4599609999996</v>
      </c>
      <c r="G791" s="1">
        <v>5100.919922</v>
      </c>
      <c r="H791" s="1">
        <v>3672790000</v>
      </c>
      <c r="I791" s="1">
        <f t="shared" si="12"/>
        <v>3.4794763836829619E-4</v>
      </c>
    </row>
    <row r="792" spans="1:9" x14ac:dyDescent="0.35">
      <c r="A792" s="1">
        <v>790</v>
      </c>
      <c r="B792" s="1" t="s">
        <v>799</v>
      </c>
      <c r="C792" s="1">
        <v>5069.5297849999997</v>
      </c>
      <c r="D792" s="1">
        <v>5069.5297849999997</v>
      </c>
      <c r="E792" s="1">
        <v>5097.6601559999999</v>
      </c>
      <c r="F792" s="1">
        <v>5068.9101559999999</v>
      </c>
      <c r="G792" s="1">
        <v>5093</v>
      </c>
      <c r="H792" s="1">
        <v>3683930000</v>
      </c>
      <c r="I792" s="1">
        <f t="shared" si="12"/>
        <v>-3.7867514420720926E-3</v>
      </c>
    </row>
    <row r="793" spans="1:9" x14ac:dyDescent="0.35">
      <c r="A793" s="1">
        <v>791</v>
      </c>
      <c r="B793" s="1" t="s">
        <v>800</v>
      </c>
      <c r="C793" s="1">
        <v>5078.1801759999998</v>
      </c>
      <c r="D793" s="1">
        <v>5078.1801759999998</v>
      </c>
      <c r="E793" s="1">
        <v>5080.6899409999996</v>
      </c>
      <c r="F793" s="1">
        <v>5057.2900390000004</v>
      </c>
      <c r="G793" s="1">
        <v>5074.6000979999999</v>
      </c>
      <c r="H793" s="1">
        <v>3925950000</v>
      </c>
      <c r="I793" s="1">
        <f t="shared" si="12"/>
        <v>1.7063497734238339E-3</v>
      </c>
    </row>
    <row r="794" spans="1:9" x14ac:dyDescent="0.35">
      <c r="A794" s="1">
        <v>792</v>
      </c>
      <c r="B794" s="1" t="s">
        <v>801</v>
      </c>
      <c r="C794" s="1">
        <v>5069.7597660000001</v>
      </c>
      <c r="D794" s="1">
        <v>5069.7597660000001</v>
      </c>
      <c r="E794" s="1">
        <v>5077.3701170000004</v>
      </c>
      <c r="F794" s="1">
        <v>5058.3500979999999</v>
      </c>
      <c r="G794" s="1">
        <v>5067.2001950000003</v>
      </c>
      <c r="H794" s="1">
        <v>3789370000</v>
      </c>
      <c r="I794" s="1">
        <f t="shared" si="12"/>
        <v>-1.6581550295902143E-3</v>
      </c>
    </row>
    <row r="795" spans="1:9" x14ac:dyDescent="0.35">
      <c r="A795" s="1">
        <v>793</v>
      </c>
      <c r="B795" s="1" t="s">
        <v>802</v>
      </c>
      <c r="C795" s="1">
        <v>5096.2700199999999</v>
      </c>
      <c r="D795" s="1">
        <v>5096.2700199999999</v>
      </c>
      <c r="E795" s="1">
        <v>5104.9902339999999</v>
      </c>
      <c r="F795" s="1">
        <v>5061.8901370000003</v>
      </c>
      <c r="G795" s="1">
        <v>5085.3598629999997</v>
      </c>
      <c r="H795" s="1">
        <v>5219740000</v>
      </c>
      <c r="I795" s="1">
        <f t="shared" si="12"/>
        <v>5.2290947152543645E-3</v>
      </c>
    </row>
    <row r="796" spans="1:9" x14ac:dyDescent="0.35">
      <c r="A796" s="1">
        <v>794</v>
      </c>
      <c r="B796" s="1" t="s">
        <v>803</v>
      </c>
      <c r="C796" s="1">
        <v>5137.080078</v>
      </c>
      <c r="D796" s="1">
        <v>5137.080078</v>
      </c>
      <c r="E796" s="1">
        <v>5140.330078</v>
      </c>
      <c r="F796" s="1">
        <v>5094.1601559999999</v>
      </c>
      <c r="G796" s="1">
        <v>5098.5097660000001</v>
      </c>
      <c r="H796" s="1">
        <v>4748110000</v>
      </c>
      <c r="I796" s="1">
        <f t="shared" si="12"/>
        <v>8.0078288316442117E-3</v>
      </c>
    </row>
    <row r="797" spans="1:9" x14ac:dyDescent="0.35">
      <c r="A797" s="1">
        <v>795</v>
      </c>
      <c r="B797" s="1" t="s">
        <v>804</v>
      </c>
      <c r="C797" s="1">
        <v>5130.9501950000003</v>
      </c>
      <c r="D797" s="1">
        <v>5130.9501950000003</v>
      </c>
      <c r="E797" s="1">
        <v>5149.669922</v>
      </c>
      <c r="F797" s="1">
        <v>5127.1801759999998</v>
      </c>
      <c r="G797" s="1">
        <v>5130.9902339999999</v>
      </c>
      <c r="H797" s="1">
        <v>4758440000</v>
      </c>
      <c r="I797" s="1">
        <f t="shared" si="12"/>
        <v>-1.1932621074472588E-3</v>
      </c>
    </row>
    <row r="798" spans="1:9" x14ac:dyDescent="0.35">
      <c r="A798" s="1">
        <v>796</v>
      </c>
      <c r="B798" s="1" t="s">
        <v>805</v>
      </c>
      <c r="C798" s="1">
        <v>5078.6499020000001</v>
      </c>
      <c r="D798" s="1">
        <v>5078.6499020000001</v>
      </c>
      <c r="E798" s="1">
        <v>5114.5400390000004</v>
      </c>
      <c r="F798" s="1">
        <v>5056.8198240000002</v>
      </c>
      <c r="G798" s="1">
        <v>5110.5200199999999</v>
      </c>
      <c r="H798" s="1">
        <v>4418410000</v>
      </c>
      <c r="I798" s="1">
        <f t="shared" si="12"/>
        <v>-1.0193100890155928E-2</v>
      </c>
    </row>
    <row r="799" spans="1:9" x14ac:dyDescent="0.35">
      <c r="A799" s="1">
        <v>797</v>
      </c>
      <c r="B799" s="1" t="s">
        <v>806</v>
      </c>
      <c r="C799" s="1">
        <v>5104.7597660000001</v>
      </c>
      <c r="D799" s="1">
        <v>5104.7597660000001</v>
      </c>
      <c r="E799" s="1">
        <v>5127.9702150000003</v>
      </c>
      <c r="F799" s="1">
        <v>5092.2202150000003</v>
      </c>
      <c r="G799" s="1">
        <v>5108.0297849999997</v>
      </c>
      <c r="H799" s="1">
        <v>4559050000</v>
      </c>
      <c r="I799" s="1">
        <f t="shared" si="12"/>
        <v>5.1411033451464749E-3</v>
      </c>
    </row>
    <row r="800" spans="1:9" x14ac:dyDescent="0.35">
      <c r="A800" s="1">
        <v>798</v>
      </c>
      <c r="B800" s="1" t="s">
        <v>807</v>
      </c>
      <c r="C800" s="1">
        <v>5157.3598629999997</v>
      </c>
      <c r="D800" s="1">
        <v>5157.3598629999997</v>
      </c>
      <c r="E800" s="1">
        <v>5165.6201170000004</v>
      </c>
      <c r="F800" s="1">
        <v>5128.2099609999996</v>
      </c>
      <c r="G800" s="1">
        <v>5132.3798829999996</v>
      </c>
      <c r="H800" s="1">
        <v>4137980000</v>
      </c>
      <c r="I800" s="1">
        <f t="shared" si="12"/>
        <v>1.0304127796637932E-2</v>
      </c>
    </row>
    <row r="801" spans="1:9" x14ac:dyDescent="0.35">
      <c r="A801" s="1">
        <v>799</v>
      </c>
      <c r="B801" s="1" t="s">
        <v>808</v>
      </c>
      <c r="C801" s="1">
        <v>5123.6899409999996</v>
      </c>
      <c r="D801" s="1">
        <v>5123.6899409999996</v>
      </c>
      <c r="E801" s="1">
        <v>5189.2597660000001</v>
      </c>
      <c r="F801" s="1">
        <v>5117.5</v>
      </c>
      <c r="G801" s="1">
        <v>5164.4599609999996</v>
      </c>
      <c r="H801" s="1">
        <v>4208870000</v>
      </c>
      <c r="I801" s="1">
        <f t="shared" si="12"/>
        <v>-6.528519028031231E-3</v>
      </c>
    </row>
    <row r="802" spans="1:9" x14ac:dyDescent="0.35">
      <c r="A802" s="1">
        <v>800</v>
      </c>
      <c r="B802" s="1" t="s">
        <v>809</v>
      </c>
      <c r="C802" s="1">
        <v>5117.9399409999996</v>
      </c>
      <c r="D802" s="1">
        <v>5117.9399409999996</v>
      </c>
      <c r="E802" s="1">
        <v>5124.6601559999999</v>
      </c>
      <c r="F802" s="1">
        <v>5091.1401370000003</v>
      </c>
      <c r="G802" s="1">
        <v>5111.9599609999996</v>
      </c>
      <c r="H802" s="1">
        <v>3896430000</v>
      </c>
      <c r="I802" s="1">
        <f t="shared" si="12"/>
        <v>-1.1222380874354317E-3</v>
      </c>
    </row>
    <row r="803" spans="1:9" x14ac:dyDescent="0.35">
      <c r="A803" s="1">
        <v>801</v>
      </c>
      <c r="B803" s="1" t="s">
        <v>810</v>
      </c>
      <c r="C803" s="1">
        <v>5175.2700199999999</v>
      </c>
      <c r="D803" s="1">
        <v>5175.2700199999999</v>
      </c>
      <c r="E803" s="1">
        <v>5179.8701170000004</v>
      </c>
      <c r="F803" s="1">
        <v>5114.4799800000001</v>
      </c>
      <c r="G803" s="1">
        <v>5134.2998049999997</v>
      </c>
      <c r="H803" s="1">
        <v>4080510000</v>
      </c>
      <c r="I803" s="1">
        <f t="shared" si="12"/>
        <v>1.1201788153222937E-2</v>
      </c>
    </row>
    <row r="804" spans="1:9" x14ac:dyDescent="0.35">
      <c r="A804" s="1">
        <v>802</v>
      </c>
      <c r="B804" s="1" t="s">
        <v>811</v>
      </c>
      <c r="C804" s="1">
        <v>5165.3100590000004</v>
      </c>
      <c r="D804" s="1">
        <v>5165.3100590000004</v>
      </c>
      <c r="E804" s="1">
        <v>5179.1401370000003</v>
      </c>
      <c r="F804" s="1">
        <v>5151.8798829999996</v>
      </c>
      <c r="G804" s="1">
        <v>5173.4902339999999</v>
      </c>
      <c r="H804" s="1">
        <v>4282890000</v>
      </c>
      <c r="I804" s="1">
        <f t="shared" si="12"/>
        <v>-1.9245297272430177E-3</v>
      </c>
    </row>
    <row r="805" spans="1:9" x14ac:dyDescent="0.35">
      <c r="A805" s="1">
        <v>803</v>
      </c>
      <c r="B805" s="1" t="s">
        <v>812</v>
      </c>
      <c r="C805" s="1">
        <v>5150.4799800000001</v>
      </c>
      <c r="D805" s="1">
        <v>5150.4799800000001</v>
      </c>
      <c r="E805" s="1">
        <v>5176.8500979999999</v>
      </c>
      <c r="F805" s="1">
        <v>5123.2998049999997</v>
      </c>
      <c r="G805" s="1">
        <v>5175.1401370000003</v>
      </c>
      <c r="H805" s="1">
        <v>4687970000</v>
      </c>
      <c r="I805" s="1">
        <f t="shared" si="12"/>
        <v>-2.8710917313009062E-3</v>
      </c>
    </row>
    <row r="806" spans="1:9" x14ac:dyDescent="0.35">
      <c r="A806" s="1">
        <v>804</v>
      </c>
      <c r="B806" s="1" t="s">
        <v>813</v>
      </c>
      <c r="C806" s="1">
        <v>5117.0898440000001</v>
      </c>
      <c r="D806" s="1">
        <v>5117.0898440000001</v>
      </c>
      <c r="E806" s="1">
        <v>5136.8598629999997</v>
      </c>
      <c r="F806" s="1">
        <v>5104.3500979999999</v>
      </c>
      <c r="G806" s="1">
        <v>5123.3100590000004</v>
      </c>
      <c r="H806" s="1">
        <v>7753670000</v>
      </c>
      <c r="I806" s="1">
        <f t="shared" si="12"/>
        <v>-6.4829173455014542E-3</v>
      </c>
    </row>
    <row r="807" spans="1:9" x14ac:dyDescent="0.35">
      <c r="A807" s="1">
        <v>805</v>
      </c>
      <c r="B807" s="1" t="s">
        <v>814</v>
      </c>
      <c r="C807" s="1">
        <v>5149.419922</v>
      </c>
      <c r="D807" s="1">
        <v>5149.419922</v>
      </c>
      <c r="E807" s="1">
        <v>5175.6000979999999</v>
      </c>
      <c r="F807" s="1">
        <v>5145.4702150000003</v>
      </c>
      <c r="G807" s="1">
        <v>5154.7700199999999</v>
      </c>
      <c r="H807" s="1">
        <v>4036220000</v>
      </c>
      <c r="I807" s="1">
        <f t="shared" si="12"/>
        <v>6.3180594802157543E-3</v>
      </c>
    </row>
    <row r="808" spans="1:9" x14ac:dyDescent="0.35">
      <c r="A808" s="1">
        <v>806</v>
      </c>
      <c r="B808" s="1" t="s">
        <v>815</v>
      </c>
      <c r="C808" s="1">
        <v>5178.5097660000001</v>
      </c>
      <c r="D808" s="1">
        <v>5178.5097660000001</v>
      </c>
      <c r="E808" s="1">
        <v>5180.3100590000004</v>
      </c>
      <c r="F808" s="1">
        <v>5131.5898440000001</v>
      </c>
      <c r="G808" s="1">
        <v>5139.0898440000001</v>
      </c>
      <c r="H808" s="1">
        <v>4031760000</v>
      </c>
      <c r="I808" s="1">
        <f t="shared" si="12"/>
        <v>5.6491496985357111E-3</v>
      </c>
    </row>
    <row r="809" spans="1:9" x14ac:dyDescent="0.35">
      <c r="A809" s="1">
        <v>807</v>
      </c>
      <c r="B809" s="1" t="s">
        <v>816</v>
      </c>
      <c r="C809" s="1">
        <v>5224.6201170000004</v>
      </c>
      <c r="D809" s="1">
        <v>5224.6201170000004</v>
      </c>
      <c r="E809" s="1">
        <v>5226.1899409999996</v>
      </c>
      <c r="F809" s="1">
        <v>5171.5498049999997</v>
      </c>
      <c r="G809" s="1">
        <v>5181.6899409999996</v>
      </c>
      <c r="H809" s="1">
        <v>4064850000</v>
      </c>
      <c r="I809" s="1">
        <f t="shared" si="12"/>
        <v>8.9041738035799747E-3</v>
      </c>
    </row>
    <row r="810" spans="1:9" x14ac:dyDescent="0.35">
      <c r="A810" s="1">
        <v>808</v>
      </c>
      <c r="B810" s="1" t="s">
        <v>817</v>
      </c>
      <c r="C810" s="1">
        <v>5241.5297849999997</v>
      </c>
      <c r="D810" s="1">
        <v>5241.5297849999997</v>
      </c>
      <c r="E810" s="1">
        <v>5261.1000979999999</v>
      </c>
      <c r="F810" s="1">
        <v>5240.6601559999999</v>
      </c>
      <c r="G810" s="1">
        <v>5253.4301759999998</v>
      </c>
      <c r="H810" s="1">
        <v>4207730000</v>
      </c>
      <c r="I810" s="1">
        <f t="shared" si="12"/>
        <v>3.2365354076133164E-3</v>
      </c>
    </row>
    <row r="811" spans="1:9" x14ac:dyDescent="0.35">
      <c r="A811" s="1">
        <v>809</v>
      </c>
      <c r="B811" s="1" t="s">
        <v>818</v>
      </c>
      <c r="C811" s="1">
        <v>5234.1801759999998</v>
      </c>
      <c r="D811" s="1">
        <v>5234.1801759999998</v>
      </c>
      <c r="E811" s="1">
        <v>5246.0898440000001</v>
      </c>
      <c r="F811" s="1">
        <v>5229.8701170000004</v>
      </c>
      <c r="G811" s="1">
        <v>5242.4799800000001</v>
      </c>
      <c r="H811" s="1">
        <v>3374700000</v>
      </c>
      <c r="I811" s="1">
        <f t="shared" si="12"/>
        <v>-1.4021877775134829E-3</v>
      </c>
    </row>
    <row r="812" spans="1:9" x14ac:dyDescent="0.35">
      <c r="A812" s="1">
        <v>810</v>
      </c>
      <c r="B812" s="1" t="s">
        <v>819</v>
      </c>
      <c r="C812" s="1">
        <v>5218.1899409999996</v>
      </c>
      <c r="D812" s="1">
        <v>5218.1899409999996</v>
      </c>
      <c r="E812" s="1">
        <v>5229.0898440000001</v>
      </c>
      <c r="F812" s="1">
        <v>5216.0898440000001</v>
      </c>
      <c r="G812" s="1">
        <v>5219.5200199999999</v>
      </c>
      <c r="H812" s="1">
        <v>3331360000</v>
      </c>
      <c r="I812" s="1">
        <f t="shared" si="12"/>
        <v>-3.0549645717813387E-3</v>
      </c>
    </row>
    <row r="813" spans="1:9" x14ac:dyDescent="0.35">
      <c r="A813" s="1">
        <v>811</v>
      </c>
      <c r="B813" s="1" t="s">
        <v>820</v>
      </c>
      <c r="C813" s="1">
        <v>5203.580078</v>
      </c>
      <c r="D813" s="1">
        <v>5203.580078</v>
      </c>
      <c r="E813" s="1">
        <v>5235.1601559999999</v>
      </c>
      <c r="F813" s="1">
        <v>5203.419922</v>
      </c>
      <c r="G813" s="1">
        <v>5228.8500979999999</v>
      </c>
      <c r="H813" s="1">
        <v>3871790000</v>
      </c>
      <c r="I813" s="1">
        <f t="shared" si="12"/>
        <v>-2.7997951713501414E-3</v>
      </c>
    </row>
    <row r="814" spans="1:9" x14ac:dyDescent="0.35">
      <c r="A814" s="1">
        <v>812</v>
      </c>
      <c r="B814" s="1" t="s">
        <v>821</v>
      </c>
      <c r="C814" s="1">
        <v>5248.4902339999999</v>
      </c>
      <c r="D814" s="1">
        <v>5248.4902339999999</v>
      </c>
      <c r="E814" s="1">
        <v>5249.2597660000001</v>
      </c>
      <c r="F814" s="1">
        <v>5213.919922</v>
      </c>
      <c r="G814" s="1">
        <v>5226.3100590000004</v>
      </c>
      <c r="H814" s="1">
        <v>3850500000</v>
      </c>
      <c r="I814" s="1">
        <f t="shared" si="12"/>
        <v>8.6306264776963258E-3</v>
      </c>
    </row>
    <row r="815" spans="1:9" x14ac:dyDescent="0.35">
      <c r="A815" s="1">
        <v>813</v>
      </c>
      <c r="B815" s="1" t="s">
        <v>822</v>
      </c>
      <c r="C815" s="1">
        <v>5254.3500979999999</v>
      </c>
      <c r="D815" s="1">
        <v>5254.3500979999999</v>
      </c>
      <c r="E815" s="1">
        <v>5264.8500979999999</v>
      </c>
      <c r="F815" s="1">
        <v>5245.8198240000002</v>
      </c>
      <c r="G815" s="1">
        <v>5248.0297849999997</v>
      </c>
      <c r="H815" s="1">
        <v>3998270000</v>
      </c>
      <c r="I815" s="1">
        <f t="shared" si="12"/>
        <v>1.1164856442028802E-3</v>
      </c>
    </row>
    <row r="816" spans="1:9" x14ac:dyDescent="0.35">
      <c r="A816" s="1">
        <v>814</v>
      </c>
      <c r="B816" s="1" t="s">
        <v>823</v>
      </c>
      <c r="C816" s="1">
        <v>5243.7700199999999</v>
      </c>
      <c r="D816" s="1">
        <v>5243.7700199999999</v>
      </c>
      <c r="E816" s="1">
        <v>5263.9501950000003</v>
      </c>
      <c r="F816" s="1">
        <v>5229.2001950000003</v>
      </c>
      <c r="G816" s="1">
        <v>5257.9702150000003</v>
      </c>
      <c r="H816" s="1">
        <v>3325930000</v>
      </c>
      <c r="I816" s="1">
        <f t="shared" si="12"/>
        <v>-2.0135845161949003E-3</v>
      </c>
    </row>
    <row r="817" spans="1:9" x14ac:dyDescent="0.35">
      <c r="A817" s="1">
        <v>815</v>
      </c>
      <c r="B817" s="1" t="s">
        <v>824</v>
      </c>
      <c r="C817" s="1">
        <v>5205.8100590000004</v>
      </c>
      <c r="D817" s="1">
        <v>5205.8100590000004</v>
      </c>
      <c r="E817" s="1">
        <v>5208.3398440000001</v>
      </c>
      <c r="F817" s="1">
        <v>5184.0498049999997</v>
      </c>
      <c r="G817" s="1">
        <v>5204.2900390000004</v>
      </c>
      <c r="H817" s="1">
        <v>3886590000</v>
      </c>
      <c r="I817" s="1">
        <f t="shared" si="12"/>
        <v>-7.2390590844408484E-3</v>
      </c>
    </row>
    <row r="818" spans="1:9" x14ac:dyDescent="0.35">
      <c r="A818" s="1">
        <v>816</v>
      </c>
      <c r="B818" s="1" t="s">
        <v>825</v>
      </c>
      <c r="C818" s="1">
        <v>5211.4902339999999</v>
      </c>
      <c r="D818" s="1">
        <v>5211.4902339999999</v>
      </c>
      <c r="E818" s="1">
        <v>5228.75</v>
      </c>
      <c r="F818" s="1">
        <v>5194.3701170000004</v>
      </c>
      <c r="G818" s="1">
        <v>5194.3701170000004</v>
      </c>
      <c r="H818" s="1">
        <v>3703250000</v>
      </c>
      <c r="I818" s="1">
        <f t="shared" si="12"/>
        <v>1.0911222145301685E-3</v>
      </c>
    </row>
    <row r="819" spans="1:9" x14ac:dyDescent="0.35">
      <c r="A819" s="1">
        <v>817</v>
      </c>
      <c r="B819" s="1" t="s">
        <v>826</v>
      </c>
      <c r="C819" s="1">
        <v>5147.2099609999996</v>
      </c>
      <c r="D819" s="1">
        <v>5147.2099609999996</v>
      </c>
      <c r="E819" s="1">
        <v>5256.5898440000001</v>
      </c>
      <c r="F819" s="1">
        <v>5146.0600590000004</v>
      </c>
      <c r="G819" s="1">
        <v>5244.0498049999997</v>
      </c>
      <c r="H819" s="1">
        <v>4075680000</v>
      </c>
      <c r="I819" s="1">
        <f t="shared" si="12"/>
        <v>-1.2334336267318103E-2</v>
      </c>
    </row>
    <row r="820" spans="1:9" x14ac:dyDescent="0.35">
      <c r="A820" s="1">
        <v>818</v>
      </c>
      <c r="B820" s="1" t="s">
        <v>827</v>
      </c>
      <c r="C820" s="1">
        <v>5204.3398440000001</v>
      </c>
      <c r="D820" s="1">
        <v>5204.3398440000001</v>
      </c>
      <c r="E820" s="1">
        <v>5222.1801759999998</v>
      </c>
      <c r="F820" s="1">
        <v>5157.2099609999996</v>
      </c>
      <c r="G820" s="1">
        <v>5158.9501950000003</v>
      </c>
      <c r="H820" s="1">
        <v>3386780000</v>
      </c>
      <c r="I820" s="1">
        <f t="shared" si="12"/>
        <v>1.1099194210624609E-2</v>
      </c>
    </row>
    <row r="821" spans="1:9" x14ac:dyDescent="0.35">
      <c r="A821" s="1">
        <v>819</v>
      </c>
      <c r="B821" s="1" t="s">
        <v>828</v>
      </c>
      <c r="C821" s="1">
        <v>5202.3901370000003</v>
      </c>
      <c r="D821" s="1">
        <v>5202.3901370000003</v>
      </c>
      <c r="E821" s="1">
        <v>5219.5698240000002</v>
      </c>
      <c r="F821" s="1">
        <v>5197.3500979999999</v>
      </c>
      <c r="G821" s="1">
        <v>5211.3701170000004</v>
      </c>
      <c r="H821" s="1">
        <v>3278180000</v>
      </c>
      <c r="I821" s="1">
        <f t="shared" si="12"/>
        <v>-3.7463099229531448E-4</v>
      </c>
    </row>
    <row r="822" spans="1:9" x14ac:dyDescent="0.35">
      <c r="A822" s="1">
        <v>820</v>
      </c>
      <c r="B822" s="1" t="s">
        <v>829</v>
      </c>
      <c r="C822" s="1">
        <v>5209.9101559999999</v>
      </c>
      <c r="D822" s="1">
        <v>5209.9101559999999</v>
      </c>
      <c r="E822" s="1">
        <v>5224.8100590000004</v>
      </c>
      <c r="F822" s="1">
        <v>5160.7797849999997</v>
      </c>
      <c r="G822" s="1">
        <v>5217.0297849999997</v>
      </c>
      <c r="H822" s="1">
        <v>3400680000</v>
      </c>
      <c r="I822" s="1">
        <f t="shared" si="12"/>
        <v>1.4454930910537346E-3</v>
      </c>
    </row>
    <row r="823" spans="1:9" x14ac:dyDescent="0.35">
      <c r="A823" s="1">
        <v>821</v>
      </c>
      <c r="B823" s="1" t="s">
        <v>830</v>
      </c>
      <c r="C823" s="1">
        <v>5160.6401370000003</v>
      </c>
      <c r="D823" s="1">
        <v>5160.6401370000003</v>
      </c>
      <c r="E823" s="1">
        <v>5178.4301759999998</v>
      </c>
      <c r="F823" s="1">
        <v>5138.7001950000003</v>
      </c>
      <c r="G823" s="1">
        <v>5167.8798829999996</v>
      </c>
      <c r="H823" s="1">
        <v>3845930000</v>
      </c>
      <c r="I823" s="1">
        <f t="shared" si="12"/>
        <v>-9.4569805475930736E-3</v>
      </c>
    </row>
    <row r="824" spans="1:9" x14ac:dyDescent="0.35">
      <c r="A824" s="1">
        <v>822</v>
      </c>
      <c r="B824" s="1" t="s">
        <v>831</v>
      </c>
      <c r="C824" s="1">
        <v>5199.0600590000004</v>
      </c>
      <c r="D824" s="1">
        <v>5199.0600590000004</v>
      </c>
      <c r="E824" s="1">
        <v>5211.7797849999997</v>
      </c>
      <c r="F824" s="1">
        <v>5138.7700199999999</v>
      </c>
      <c r="G824" s="1">
        <v>5172.9501950000003</v>
      </c>
      <c r="H824" s="1">
        <v>3509380000</v>
      </c>
      <c r="I824" s="1">
        <f t="shared" si="12"/>
        <v>7.4447977344016926E-3</v>
      </c>
    </row>
    <row r="825" spans="1:9" x14ac:dyDescent="0.35">
      <c r="A825" s="1">
        <v>823</v>
      </c>
      <c r="B825" s="1" t="s">
        <v>832</v>
      </c>
      <c r="C825" s="1">
        <v>5123.4101559999999</v>
      </c>
      <c r="D825" s="1">
        <v>5123.4101559999999</v>
      </c>
      <c r="E825" s="1">
        <v>5175.0297849999997</v>
      </c>
      <c r="F825" s="1">
        <v>5107.9399409999996</v>
      </c>
      <c r="G825" s="1">
        <v>5171.5097660000001</v>
      </c>
      <c r="H825" s="1">
        <v>3963220000</v>
      </c>
      <c r="I825" s="1">
        <f t="shared" si="12"/>
        <v>-1.4550688420889512E-2</v>
      </c>
    </row>
    <row r="826" spans="1:9" x14ac:dyDescent="0.35">
      <c r="A826" s="1">
        <v>824</v>
      </c>
      <c r="B826" s="1" t="s">
        <v>833</v>
      </c>
      <c r="C826" s="1">
        <v>5061.8198240000002</v>
      </c>
      <c r="D826" s="1">
        <v>5061.8198240000002</v>
      </c>
      <c r="E826" s="1">
        <v>5168.4301759999998</v>
      </c>
      <c r="F826" s="1">
        <v>5052.4702150000003</v>
      </c>
      <c r="G826" s="1">
        <v>5149.669922</v>
      </c>
      <c r="H826" s="1">
        <v>3950210000</v>
      </c>
      <c r="I826" s="1">
        <f t="shared" si="12"/>
        <v>-1.2021354942249086E-2</v>
      </c>
    </row>
    <row r="827" spans="1:9" x14ac:dyDescent="0.35">
      <c r="A827" s="1">
        <v>825</v>
      </c>
      <c r="B827" s="1" t="s">
        <v>834</v>
      </c>
      <c r="C827" s="1">
        <v>5051.4101559999999</v>
      </c>
      <c r="D827" s="1">
        <v>5051.4101559999999</v>
      </c>
      <c r="E827" s="1">
        <v>5079.8398440000001</v>
      </c>
      <c r="F827" s="1">
        <v>5039.830078</v>
      </c>
      <c r="G827" s="1">
        <v>5064.5898440000001</v>
      </c>
      <c r="H827" s="1">
        <v>4006200000</v>
      </c>
      <c r="I827" s="1">
        <f t="shared" si="12"/>
        <v>-2.0565070195987752E-3</v>
      </c>
    </row>
    <row r="828" spans="1:9" x14ac:dyDescent="0.35">
      <c r="A828" s="1">
        <v>826</v>
      </c>
      <c r="B828" s="1" t="s">
        <v>835</v>
      </c>
      <c r="C828" s="1">
        <v>5022.2099609999996</v>
      </c>
      <c r="D828" s="1">
        <v>5022.2099609999996</v>
      </c>
      <c r="E828" s="1">
        <v>5077.9599609999996</v>
      </c>
      <c r="F828" s="1">
        <v>5007.25</v>
      </c>
      <c r="G828" s="1">
        <v>5068.9702150000003</v>
      </c>
      <c r="H828" s="1">
        <v>3596130000</v>
      </c>
      <c r="I828" s="1">
        <f t="shared" si="12"/>
        <v>-5.7806026630636467E-3</v>
      </c>
    </row>
    <row r="829" spans="1:9" x14ac:dyDescent="0.35">
      <c r="A829" s="1">
        <v>827</v>
      </c>
      <c r="B829" s="1" t="s">
        <v>836</v>
      </c>
      <c r="C829" s="1">
        <v>5011.1201170000004</v>
      </c>
      <c r="D829" s="1">
        <v>5011.1201170000004</v>
      </c>
      <c r="E829" s="1">
        <v>5056.6601559999999</v>
      </c>
      <c r="F829" s="1">
        <v>5001.8901370000003</v>
      </c>
      <c r="G829" s="1">
        <v>5031.5200199999999</v>
      </c>
      <c r="H829" s="1">
        <v>3619760000</v>
      </c>
      <c r="I829" s="1">
        <f t="shared" si="12"/>
        <v>-2.2081601697494574E-3</v>
      </c>
    </row>
    <row r="830" spans="1:9" x14ac:dyDescent="0.35">
      <c r="A830" s="1">
        <v>828</v>
      </c>
      <c r="B830" s="1" t="s">
        <v>837</v>
      </c>
      <c r="C830" s="1">
        <v>4967.2299800000001</v>
      </c>
      <c r="D830" s="1">
        <v>4967.2299800000001</v>
      </c>
      <c r="E830" s="1">
        <v>5019.0200199999999</v>
      </c>
      <c r="F830" s="1">
        <v>4953.5600590000004</v>
      </c>
      <c r="G830" s="1">
        <v>5005.4399409999996</v>
      </c>
      <c r="H830" s="1">
        <v>3878750000</v>
      </c>
      <c r="I830" s="1">
        <f t="shared" si="12"/>
        <v>-8.7585481838890668E-3</v>
      </c>
    </row>
    <row r="831" spans="1:9" x14ac:dyDescent="0.35">
      <c r="A831" s="1">
        <v>829</v>
      </c>
      <c r="B831" s="1" t="s">
        <v>838</v>
      </c>
      <c r="C831" s="1">
        <v>5010.6000979999999</v>
      </c>
      <c r="D831" s="1">
        <v>5010.6000979999999</v>
      </c>
      <c r="E831" s="1">
        <v>5038.8398440000001</v>
      </c>
      <c r="F831" s="1">
        <v>4969.3999020000001</v>
      </c>
      <c r="G831" s="1">
        <v>4987.330078</v>
      </c>
      <c r="H831" s="1">
        <v>3820250000</v>
      </c>
      <c r="I831" s="1">
        <f t="shared" si="12"/>
        <v>8.731248235862802E-3</v>
      </c>
    </row>
    <row r="832" spans="1:9" x14ac:dyDescent="0.35">
      <c r="A832" s="1">
        <v>830</v>
      </c>
      <c r="B832" s="1" t="s">
        <v>839</v>
      </c>
      <c r="C832" s="1">
        <v>5070.5498049999997</v>
      </c>
      <c r="D832" s="1">
        <v>5070.5498049999997</v>
      </c>
      <c r="E832" s="1">
        <v>5076.1201170000004</v>
      </c>
      <c r="F832" s="1">
        <v>5027.9599609999996</v>
      </c>
      <c r="G832" s="1">
        <v>5028.8500979999999</v>
      </c>
      <c r="H832" s="1">
        <v>3751400000</v>
      </c>
      <c r="I832" s="1">
        <f t="shared" si="12"/>
        <v>1.1964576263814971E-2</v>
      </c>
    </row>
    <row r="833" spans="1:9" x14ac:dyDescent="0.35">
      <c r="A833" s="1">
        <v>831</v>
      </c>
      <c r="B833" s="1" t="s">
        <v>840</v>
      </c>
      <c r="C833" s="1">
        <v>5071.6298829999996</v>
      </c>
      <c r="D833" s="1">
        <v>5071.6298829999996</v>
      </c>
      <c r="E833" s="1">
        <v>5089.4799800000001</v>
      </c>
      <c r="F833" s="1">
        <v>5047.0200199999999</v>
      </c>
      <c r="G833" s="1">
        <v>5084.8598629999997</v>
      </c>
      <c r="H833" s="1">
        <v>3656740000</v>
      </c>
      <c r="I833" s="1">
        <f t="shared" si="12"/>
        <v>2.1301003668969143E-4</v>
      </c>
    </row>
    <row r="834" spans="1:9" x14ac:dyDescent="0.35">
      <c r="A834" s="1">
        <v>832</v>
      </c>
      <c r="B834" s="1" t="s">
        <v>841</v>
      </c>
      <c r="C834" s="1">
        <v>5048.419922</v>
      </c>
      <c r="D834" s="1">
        <v>5048.419922</v>
      </c>
      <c r="E834" s="1">
        <v>5057.75</v>
      </c>
      <c r="F834" s="1">
        <v>4990.580078</v>
      </c>
      <c r="G834" s="1">
        <v>5019.8798829999996</v>
      </c>
      <c r="H834" s="1">
        <v>3958050000</v>
      </c>
      <c r="I834" s="1">
        <f t="shared" si="12"/>
        <v>-4.5764303656697985E-3</v>
      </c>
    </row>
    <row r="835" spans="1:9" x14ac:dyDescent="0.35">
      <c r="A835" s="1">
        <v>833</v>
      </c>
      <c r="B835" s="1" t="s">
        <v>842</v>
      </c>
      <c r="C835" s="1">
        <v>5099.9599609999996</v>
      </c>
      <c r="D835" s="1">
        <v>5099.9599609999996</v>
      </c>
      <c r="E835" s="1">
        <v>5114.6201170000004</v>
      </c>
      <c r="F835" s="1">
        <v>5073.1401370000003</v>
      </c>
      <c r="G835" s="1">
        <v>5084.6499020000001</v>
      </c>
      <c r="H835" s="1">
        <v>3604140000</v>
      </c>
      <c r="I835" s="1">
        <f t="shared" si="12"/>
        <v>1.0209142622110015E-2</v>
      </c>
    </row>
    <row r="836" spans="1:9" x14ac:dyDescent="0.35">
      <c r="A836" s="1">
        <v>834</v>
      </c>
      <c r="B836" s="1" t="s">
        <v>843</v>
      </c>
      <c r="C836" s="1">
        <v>5116.169922</v>
      </c>
      <c r="D836" s="1">
        <v>5116.169922</v>
      </c>
      <c r="E836" s="1">
        <v>5123.4902339999999</v>
      </c>
      <c r="F836" s="1">
        <v>5088.6499020000001</v>
      </c>
      <c r="G836" s="1">
        <v>5114.1298829999996</v>
      </c>
      <c r="H836" s="1">
        <v>3447450000</v>
      </c>
      <c r="I836" s="1">
        <f t="shared" ref="I836:I899" si="13">(C836-C835)/C835</f>
        <v>3.1784486788053192E-3</v>
      </c>
    </row>
    <row r="837" spans="1:9" x14ac:dyDescent="0.35">
      <c r="A837" s="1">
        <v>835</v>
      </c>
      <c r="B837" s="1" t="s">
        <v>844</v>
      </c>
      <c r="C837" s="1">
        <v>5035.6899409999996</v>
      </c>
      <c r="D837" s="1">
        <v>5035.6899409999996</v>
      </c>
      <c r="E837" s="1">
        <v>5110.830078</v>
      </c>
      <c r="F837" s="1">
        <v>5035.3100590000004</v>
      </c>
      <c r="G837" s="1">
        <v>5103.7797849999997</v>
      </c>
      <c r="H837" s="1">
        <v>4082470000</v>
      </c>
      <c r="I837" s="1">
        <f t="shared" si="13"/>
        <v>-1.573051369031531E-2</v>
      </c>
    </row>
    <row r="838" spans="1:9" x14ac:dyDescent="0.35">
      <c r="A838" s="1">
        <v>836</v>
      </c>
      <c r="B838" s="1" t="s">
        <v>845</v>
      </c>
      <c r="C838" s="1">
        <v>5018.3901370000003</v>
      </c>
      <c r="D838" s="1">
        <v>5018.3901370000003</v>
      </c>
      <c r="E838" s="1">
        <v>5096.1201170000004</v>
      </c>
      <c r="F838" s="1">
        <v>5013.4501950000003</v>
      </c>
      <c r="G838" s="1">
        <v>5029.0297849999997</v>
      </c>
      <c r="H838" s="1">
        <v>4544170000</v>
      </c>
      <c r="I838" s="1">
        <f t="shared" si="13"/>
        <v>-3.4354386792455841E-3</v>
      </c>
    </row>
    <row r="839" spans="1:9" x14ac:dyDescent="0.35">
      <c r="A839" s="1">
        <v>837</v>
      </c>
      <c r="B839" s="1" t="s">
        <v>846</v>
      </c>
      <c r="C839" s="1">
        <v>5064.2001950000003</v>
      </c>
      <c r="D839" s="1">
        <v>5064.2001950000003</v>
      </c>
      <c r="E839" s="1">
        <v>5073.2099609999996</v>
      </c>
      <c r="F839" s="1">
        <v>5011.0498049999997</v>
      </c>
      <c r="G839" s="1">
        <v>5049.3198240000002</v>
      </c>
      <c r="H839" s="1">
        <v>4381660000</v>
      </c>
      <c r="I839" s="1">
        <f t="shared" si="13"/>
        <v>9.1284369587465615E-3</v>
      </c>
    </row>
    <row r="840" spans="1:9" x14ac:dyDescent="0.35">
      <c r="A840" s="1">
        <v>838</v>
      </c>
      <c r="B840" s="1" t="s">
        <v>847</v>
      </c>
      <c r="C840" s="1">
        <v>5127.7900390000004</v>
      </c>
      <c r="D840" s="1">
        <v>5127.7900390000004</v>
      </c>
      <c r="E840" s="1">
        <v>5139.1201170000004</v>
      </c>
      <c r="F840" s="1">
        <v>5101.2202150000003</v>
      </c>
      <c r="G840" s="1">
        <v>5122.7797849999997</v>
      </c>
      <c r="H840" s="1">
        <v>3924990000</v>
      </c>
      <c r="I840" s="1">
        <f t="shared" si="13"/>
        <v>1.2556739771619569E-2</v>
      </c>
    </row>
    <row r="841" spans="1:9" x14ac:dyDescent="0.35">
      <c r="A841" s="1">
        <v>839</v>
      </c>
      <c r="B841" s="1" t="s">
        <v>848</v>
      </c>
      <c r="C841" s="1">
        <v>5180.7402339999999</v>
      </c>
      <c r="D841" s="1">
        <v>5180.7402339999999</v>
      </c>
      <c r="E841" s="1">
        <v>5181</v>
      </c>
      <c r="F841" s="1">
        <v>5142.419922</v>
      </c>
      <c r="G841" s="1">
        <v>5142.419922</v>
      </c>
      <c r="H841" s="1">
        <v>3683250000</v>
      </c>
      <c r="I841" s="1">
        <f t="shared" si="13"/>
        <v>1.0326123846195067E-2</v>
      </c>
    </row>
    <row r="842" spans="1:9" x14ac:dyDescent="0.35">
      <c r="A842" s="1">
        <v>840</v>
      </c>
      <c r="B842" s="1" t="s">
        <v>849</v>
      </c>
      <c r="C842" s="1">
        <v>5187.7001950000003</v>
      </c>
      <c r="D842" s="1">
        <v>5187.7001950000003</v>
      </c>
      <c r="E842" s="1">
        <v>5200.2299800000001</v>
      </c>
      <c r="F842" s="1">
        <v>5178.9599609999996</v>
      </c>
      <c r="G842" s="1">
        <v>5187.2001950000003</v>
      </c>
      <c r="H842" s="1">
        <v>3987890000</v>
      </c>
      <c r="I842" s="1">
        <f t="shared" si="13"/>
        <v>1.3434298354362301E-3</v>
      </c>
    </row>
    <row r="843" spans="1:9" x14ac:dyDescent="0.35">
      <c r="A843" s="1">
        <v>841</v>
      </c>
      <c r="B843" s="1" t="s">
        <v>850</v>
      </c>
      <c r="C843" s="1">
        <v>5187.669922</v>
      </c>
      <c r="D843" s="1">
        <v>5187.669922</v>
      </c>
      <c r="E843" s="1">
        <v>5191.9501950000003</v>
      </c>
      <c r="F843" s="1">
        <v>5165.8598629999997</v>
      </c>
      <c r="G843" s="1">
        <v>5168.9799800000001</v>
      </c>
      <c r="H843" s="1">
        <v>3842100000</v>
      </c>
      <c r="I843" s="1">
        <f t="shared" si="13"/>
        <v>-5.8355338324069504E-6</v>
      </c>
    </row>
    <row r="844" spans="1:9" x14ac:dyDescent="0.35">
      <c r="A844" s="1">
        <v>842</v>
      </c>
      <c r="B844" s="1" t="s">
        <v>851</v>
      </c>
      <c r="C844" s="1">
        <v>5214.080078</v>
      </c>
      <c r="D844" s="1">
        <v>5214.080078</v>
      </c>
      <c r="E844" s="1">
        <v>5215.2998049999997</v>
      </c>
      <c r="F844" s="1">
        <v>5180.4101559999999</v>
      </c>
      <c r="G844" s="1">
        <v>5189.0297849999997</v>
      </c>
      <c r="H844" s="1">
        <v>3727370000</v>
      </c>
      <c r="I844" s="1">
        <f t="shared" si="13"/>
        <v>5.0909476503119572E-3</v>
      </c>
    </row>
    <row r="845" spans="1:9" x14ac:dyDescent="0.35">
      <c r="A845" s="1">
        <v>843</v>
      </c>
      <c r="B845" s="1" t="s">
        <v>852</v>
      </c>
      <c r="C845" s="1">
        <v>5222.6801759999998</v>
      </c>
      <c r="D845" s="1">
        <v>5222.6801759999998</v>
      </c>
      <c r="E845" s="1">
        <v>5239.6601559999999</v>
      </c>
      <c r="F845" s="1">
        <v>5209.6801759999998</v>
      </c>
      <c r="G845" s="1">
        <v>5225.4902339999999</v>
      </c>
      <c r="H845" s="1">
        <v>3617900000</v>
      </c>
      <c r="I845" s="1">
        <f t="shared" si="13"/>
        <v>1.649398910516673E-3</v>
      </c>
    </row>
    <row r="846" spans="1:9" x14ac:dyDescent="0.35">
      <c r="A846" s="1">
        <v>844</v>
      </c>
      <c r="B846" s="1" t="s">
        <v>853</v>
      </c>
      <c r="C846" s="1">
        <v>5221.419922</v>
      </c>
      <c r="D846" s="1">
        <v>5221.419922</v>
      </c>
      <c r="E846" s="1">
        <v>5237.2597660000001</v>
      </c>
      <c r="F846" s="1">
        <v>5211.1601559999999</v>
      </c>
      <c r="G846" s="1">
        <v>5233.080078</v>
      </c>
      <c r="H846" s="1">
        <v>4255710000</v>
      </c>
      <c r="I846" s="1">
        <f t="shared" si="13"/>
        <v>-2.4130407329767237E-4</v>
      </c>
    </row>
    <row r="847" spans="1:9" x14ac:dyDescent="0.35">
      <c r="A847" s="1">
        <v>845</v>
      </c>
      <c r="B847" s="1" t="s">
        <v>854</v>
      </c>
      <c r="C847" s="1">
        <v>5246.6801759999998</v>
      </c>
      <c r="D847" s="1">
        <v>5246.6801759999998</v>
      </c>
      <c r="E847" s="1">
        <v>5250.3701170000004</v>
      </c>
      <c r="F847" s="1">
        <v>5217.9799800000001</v>
      </c>
      <c r="G847" s="1">
        <v>5221.1000979999999</v>
      </c>
      <c r="H847" s="1">
        <v>4763580000</v>
      </c>
      <c r="I847" s="1">
        <f t="shared" si="13"/>
        <v>4.8378131575987429E-3</v>
      </c>
    </row>
    <row r="848" spans="1:9" x14ac:dyDescent="0.35">
      <c r="A848" s="1">
        <v>846</v>
      </c>
      <c r="B848" s="1" t="s">
        <v>855</v>
      </c>
      <c r="C848" s="1">
        <v>5308.1499020000001</v>
      </c>
      <c r="D848" s="1">
        <v>5308.1499020000001</v>
      </c>
      <c r="E848" s="1">
        <v>5311.7597660000001</v>
      </c>
      <c r="F848" s="1">
        <v>5263.2597660000001</v>
      </c>
      <c r="G848" s="1">
        <v>5263.2597660000001</v>
      </c>
      <c r="H848" s="1">
        <v>4360810000</v>
      </c>
      <c r="I848" s="1">
        <f t="shared" si="13"/>
        <v>1.1715927774897073E-2</v>
      </c>
    </row>
    <row r="849" spans="1:9" x14ac:dyDescent="0.35">
      <c r="A849" s="1">
        <v>847</v>
      </c>
      <c r="B849" s="1" t="s">
        <v>856</v>
      </c>
      <c r="C849" s="1">
        <v>5297.1000979999999</v>
      </c>
      <c r="D849" s="1">
        <v>5297.1000979999999</v>
      </c>
      <c r="E849" s="1">
        <v>5325.4902339999999</v>
      </c>
      <c r="F849" s="1">
        <v>5296.1899409999996</v>
      </c>
      <c r="G849" s="1">
        <v>5310.0698240000002</v>
      </c>
      <c r="H849" s="1">
        <v>3817470000</v>
      </c>
      <c r="I849" s="1">
        <f t="shared" si="13"/>
        <v>-2.0816676627457122E-3</v>
      </c>
    </row>
    <row r="850" spans="1:9" x14ac:dyDescent="0.35">
      <c r="A850" s="1">
        <v>848</v>
      </c>
      <c r="B850" s="1" t="s">
        <v>857</v>
      </c>
      <c r="C850" s="1">
        <v>5303.2700199999999</v>
      </c>
      <c r="D850" s="1">
        <v>5303.2700199999999</v>
      </c>
      <c r="E850" s="1">
        <v>5305.4501950000003</v>
      </c>
      <c r="F850" s="1">
        <v>5283.5898440000001</v>
      </c>
      <c r="G850" s="1">
        <v>5303.1000979999999</v>
      </c>
      <c r="H850" s="1">
        <v>3578120000</v>
      </c>
      <c r="I850" s="1">
        <f t="shared" si="13"/>
        <v>1.164773533792497E-3</v>
      </c>
    </row>
    <row r="851" spans="1:9" x14ac:dyDescent="0.35">
      <c r="A851" s="1">
        <v>849</v>
      </c>
      <c r="B851" s="1" t="s">
        <v>858</v>
      </c>
      <c r="C851" s="1">
        <v>5308.1298829999996</v>
      </c>
      <c r="D851" s="1">
        <v>5308.1298829999996</v>
      </c>
      <c r="E851" s="1">
        <v>5325.3198240000002</v>
      </c>
      <c r="F851" s="1">
        <v>5302.3999020000001</v>
      </c>
      <c r="G851" s="1">
        <v>5305.3500979999999</v>
      </c>
      <c r="H851" s="1">
        <v>3420100000</v>
      </c>
      <c r="I851" s="1">
        <f t="shared" si="13"/>
        <v>9.1638988429249869E-4</v>
      </c>
    </row>
    <row r="852" spans="1:9" x14ac:dyDescent="0.35">
      <c r="A852" s="1">
        <v>850</v>
      </c>
      <c r="B852" s="1" t="s">
        <v>859</v>
      </c>
      <c r="C852" s="1">
        <v>5321.4101559999999</v>
      </c>
      <c r="D852" s="1">
        <v>5321.4101559999999</v>
      </c>
      <c r="E852" s="1">
        <v>5324.3198240000002</v>
      </c>
      <c r="F852" s="1">
        <v>5297.8701170000004</v>
      </c>
      <c r="G852" s="1">
        <v>5298.6899409999996</v>
      </c>
      <c r="H852" s="1">
        <v>3662240000</v>
      </c>
      <c r="I852" s="1">
        <f t="shared" si="13"/>
        <v>2.501874161469215E-3</v>
      </c>
    </row>
    <row r="853" spans="1:9" x14ac:dyDescent="0.35">
      <c r="A853" s="1">
        <v>851</v>
      </c>
      <c r="B853" s="1" t="s">
        <v>860</v>
      </c>
      <c r="C853" s="1">
        <v>5307.0097660000001</v>
      </c>
      <c r="D853" s="1">
        <v>5307.0097660000001</v>
      </c>
      <c r="E853" s="1">
        <v>5323.1801759999998</v>
      </c>
      <c r="F853" s="1">
        <v>5286.0097660000001</v>
      </c>
      <c r="G853" s="1">
        <v>5319.2797849999997</v>
      </c>
      <c r="H853" s="1">
        <v>3847130000</v>
      </c>
      <c r="I853" s="1">
        <f t="shared" si="13"/>
        <v>-2.7061229219031446E-3</v>
      </c>
    </row>
    <row r="854" spans="1:9" x14ac:dyDescent="0.35">
      <c r="A854" s="1">
        <v>852</v>
      </c>
      <c r="B854" s="1" t="s">
        <v>861</v>
      </c>
      <c r="C854" s="1">
        <v>5267.8398440000001</v>
      </c>
      <c r="D854" s="1">
        <v>5267.8398440000001</v>
      </c>
      <c r="E854" s="1">
        <v>5341.8798829999996</v>
      </c>
      <c r="F854" s="1">
        <v>5256.9301759999998</v>
      </c>
      <c r="G854" s="1">
        <v>5340.2597660000001</v>
      </c>
      <c r="H854" s="1">
        <v>3869520000</v>
      </c>
      <c r="I854" s="1">
        <f t="shared" si="13"/>
        <v>-7.3807895080478057E-3</v>
      </c>
    </row>
    <row r="855" spans="1:9" x14ac:dyDescent="0.35">
      <c r="A855" s="1">
        <v>853</v>
      </c>
      <c r="B855" s="1" t="s">
        <v>862</v>
      </c>
      <c r="C855" s="1">
        <v>5304.7202150000003</v>
      </c>
      <c r="D855" s="1">
        <v>5304.7202150000003</v>
      </c>
      <c r="E855" s="1">
        <v>5311.6499020000001</v>
      </c>
      <c r="F855" s="1">
        <v>5278.3901370000003</v>
      </c>
      <c r="G855" s="1">
        <v>5281.4501950000003</v>
      </c>
      <c r="H855" s="1">
        <v>3005510000</v>
      </c>
      <c r="I855" s="1">
        <f t="shared" si="13"/>
        <v>7.0010425700406309E-3</v>
      </c>
    </row>
    <row r="856" spans="1:9" x14ac:dyDescent="0.35">
      <c r="A856" s="1">
        <v>854</v>
      </c>
      <c r="B856" s="1" t="s">
        <v>863</v>
      </c>
      <c r="C856" s="1">
        <v>5306.0400390000004</v>
      </c>
      <c r="D856" s="1">
        <v>5306.0400390000004</v>
      </c>
      <c r="E856" s="1">
        <v>5315.9101559999999</v>
      </c>
      <c r="F856" s="1">
        <v>5280.8901370000003</v>
      </c>
      <c r="G856" s="1">
        <v>5315.9101559999999</v>
      </c>
      <c r="H856" s="1">
        <v>3751540000</v>
      </c>
      <c r="I856" s="1">
        <f t="shared" si="13"/>
        <v>2.4880181168992214E-4</v>
      </c>
    </row>
    <row r="857" spans="1:9" x14ac:dyDescent="0.35">
      <c r="A857" s="1">
        <v>855</v>
      </c>
      <c r="B857" s="1" t="s">
        <v>864</v>
      </c>
      <c r="C857" s="1">
        <v>5266.9501950000003</v>
      </c>
      <c r="D857" s="1">
        <v>5266.9501950000003</v>
      </c>
      <c r="E857" s="1">
        <v>5282.2700199999999</v>
      </c>
      <c r="F857" s="1">
        <v>5262.7001950000003</v>
      </c>
      <c r="G857" s="1">
        <v>5278.7299800000001</v>
      </c>
      <c r="H857" s="1">
        <v>3552750000</v>
      </c>
      <c r="I857" s="1">
        <f t="shared" si="13"/>
        <v>-7.3670465568833375E-3</v>
      </c>
    </row>
    <row r="858" spans="1:9" x14ac:dyDescent="0.35">
      <c r="A858" s="1">
        <v>856</v>
      </c>
      <c r="B858" s="1" t="s">
        <v>865</v>
      </c>
      <c r="C858" s="1">
        <v>5235.4799800000001</v>
      </c>
      <c r="D858" s="1">
        <v>5235.4799800000001</v>
      </c>
      <c r="E858" s="1">
        <v>5260.2099609999996</v>
      </c>
      <c r="F858" s="1">
        <v>5222.1000979999999</v>
      </c>
      <c r="G858" s="1">
        <v>5259.7700199999999</v>
      </c>
      <c r="H858" s="1">
        <v>3818750000</v>
      </c>
      <c r="I858" s="1">
        <f t="shared" si="13"/>
        <v>-5.9750356154640418E-3</v>
      </c>
    </row>
    <row r="859" spans="1:9" x14ac:dyDescent="0.35">
      <c r="A859" s="1">
        <v>857</v>
      </c>
      <c r="B859" s="1" t="s">
        <v>866</v>
      </c>
      <c r="C859" s="1">
        <v>5277.5097660000001</v>
      </c>
      <c r="D859" s="1">
        <v>5277.5097660000001</v>
      </c>
      <c r="E859" s="1">
        <v>5280.330078</v>
      </c>
      <c r="F859" s="1">
        <v>5191.6801759999998</v>
      </c>
      <c r="G859" s="1">
        <v>5243.2099609999996</v>
      </c>
      <c r="H859" s="1">
        <v>5437160000</v>
      </c>
      <c r="I859" s="1">
        <f t="shared" si="13"/>
        <v>8.0278763667433715E-3</v>
      </c>
    </row>
    <row r="860" spans="1:9" x14ac:dyDescent="0.35">
      <c r="A860" s="1">
        <v>858</v>
      </c>
      <c r="B860" s="1" t="s">
        <v>867</v>
      </c>
      <c r="C860" s="1">
        <v>5283.3999020000001</v>
      </c>
      <c r="D860" s="1">
        <v>5283.3999020000001</v>
      </c>
      <c r="E860" s="1">
        <v>5302.1098629999997</v>
      </c>
      <c r="F860" s="1">
        <v>5234.3198240000002</v>
      </c>
      <c r="G860" s="1">
        <v>5297.1499020000001</v>
      </c>
      <c r="H860" s="1">
        <v>4046920000</v>
      </c>
      <c r="I860" s="1">
        <f t="shared" si="13"/>
        <v>1.1160824444033789E-3</v>
      </c>
    </row>
    <row r="861" spans="1:9" x14ac:dyDescent="0.35">
      <c r="A861" s="1">
        <v>859</v>
      </c>
      <c r="B861" s="1" t="s">
        <v>868</v>
      </c>
      <c r="C861" s="1">
        <v>5291.3398440000001</v>
      </c>
      <c r="D861" s="1">
        <v>5291.3398440000001</v>
      </c>
      <c r="E861" s="1">
        <v>5298.7998049999997</v>
      </c>
      <c r="F861" s="1">
        <v>5257.6298829999996</v>
      </c>
      <c r="G861" s="1">
        <v>5278.2402339999999</v>
      </c>
      <c r="H861" s="1">
        <v>3707900000</v>
      </c>
      <c r="I861" s="1">
        <f t="shared" si="13"/>
        <v>1.5028092037845469E-3</v>
      </c>
    </row>
    <row r="862" spans="1:9" x14ac:dyDescent="0.35">
      <c r="A862" s="1">
        <v>860</v>
      </c>
      <c r="B862" s="1" t="s">
        <v>869</v>
      </c>
      <c r="C862" s="1">
        <v>5354.0297849999997</v>
      </c>
      <c r="D862" s="1">
        <v>5354.0297849999997</v>
      </c>
      <c r="E862" s="1">
        <v>5354.1601559999999</v>
      </c>
      <c r="F862" s="1">
        <v>5297.6401370000003</v>
      </c>
      <c r="G862" s="1">
        <v>5314.4799800000001</v>
      </c>
      <c r="H862" s="1">
        <v>3591460000</v>
      </c>
      <c r="I862" s="1">
        <f t="shared" si="13"/>
        <v>1.1847649715995001E-2</v>
      </c>
    </row>
    <row r="863" spans="1:9" x14ac:dyDescent="0.35">
      <c r="A863" s="1">
        <v>861</v>
      </c>
      <c r="B863" s="1" t="s">
        <v>870</v>
      </c>
      <c r="C863" s="1">
        <v>5352.9599609999996</v>
      </c>
      <c r="D863" s="1">
        <v>5352.9599609999996</v>
      </c>
      <c r="E863" s="1">
        <v>5362.3500979999999</v>
      </c>
      <c r="F863" s="1">
        <v>5335.3598629999997</v>
      </c>
      <c r="G863" s="1">
        <v>5357.7998049999997</v>
      </c>
      <c r="H863" s="1">
        <v>3609990000</v>
      </c>
      <c r="I863" s="1">
        <f t="shared" si="13"/>
        <v>-1.998165947820093E-4</v>
      </c>
    </row>
    <row r="864" spans="1:9" x14ac:dyDescent="0.35">
      <c r="A864" s="1">
        <v>862</v>
      </c>
      <c r="B864" s="1" t="s">
        <v>871</v>
      </c>
      <c r="C864" s="1">
        <v>5346.9902339999999</v>
      </c>
      <c r="D864" s="1">
        <v>5346.9902339999999</v>
      </c>
      <c r="E864" s="1">
        <v>5375.080078</v>
      </c>
      <c r="F864" s="1">
        <v>5331.330078</v>
      </c>
      <c r="G864" s="1">
        <v>5343.8100590000004</v>
      </c>
      <c r="H864" s="1">
        <v>3692760000</v>
      </c>
      <c r="I864" s="1">
        <f t="shared" si="13"/>
        <v>-1.1152198117477558E-3</v>
      </c>
    </row>
    <row r="865" spans="1:9" x14ac:dyDescent="0.35">
      <c r="A865" s="1">
        <v>863</v>
      </c>
      <c r="B865" s="1" t="s">
        <v>872</v>
      </c>
      <c r="C865" s="1">
        <v>5360.7900390000004</v>
      </c>
      <c r="D865" s="1">
        <v>5360.7900390000004</v>
      </c>
      <c r="E865" s="1">
        <v>5365.7900390000004</v>
      </c>
      <c r="F865" s="1">
        <v>5331.5200199999999</v>
      </c>
      <c r="G865" s="1">
        <v>5341.2202150000003</v>
      </c>
      <c r="H865" s="1">
        <v>3622280000</v>
      </c>
      <c r="I865" s="1">
        <f t="shared" si="13"/>
        <v>2.5808547231396645E-3</v>
      </c>
    </row>
    <row r="866" spans="1:9" x14ac:dyDescent="0.35">
      <c r="A866" s="1">
        <v>864</v>
      </c>
      <c r="B866" s="1" t="s">
        <v>873</v>
      </c>
      <c r="C866" s="1">
        <v>5375.3198240000002</v>
      </c>
      <c r="D866" s="1">
        <v>5375.3198240000002</v>
      </c>
      <c r="E866" s="1">
        <v>5375.9501950000003</v>
      </c>
      <c r="F866" s="1">
        <v>5327.25</v>
      </c>
      <c r="G866" s="1">
        <v>5353</v>
      </c>
      <c r="H866" s="1">
        <v>3568030000</v>
      </c>
      <c r="I866" s="1">
        <f t="shared" si="13"/>
        <v>2.7103812860221812E-3</v>
      </c>
    </row>
    <row r="867" spans="1:9" x14ac:dyDescent="0.35">
      <c r="A867" s="1">
        <v>865</v>
      </c>
      <c r="B867" s="1" t="s">
        <v>874</v>
      </c>
      <c r="C867" s="1">
        <v>5421.0297849999997</v>
      </c>
      <c r="D867" s="1">
        <v>5421.0297849999997</v>
      </c>
      <c r="E867" s="1">
        <v>5447.25</v>
      </c>
      <c r="F867" s="1">
        <v>5409.1298829999996</v>
      </c>
      <c r="G867" s="1">
        <v>5409.1298829999996</v>
      </c>
      <c r="H867" s="1">
        <v>3962840000</v>
      </c>
      <c r="I867" s="1">
        <f t="shared" si="13"/>
        <v>8.5036728039718529E-3</v>
      </c>
    </row>
    <row r="868" spans="1:9" x14ac:dyDescent="0.35">
      <c r="A868" s="1">
        <v>866</v>
      </c>
      <c r="B868" s="1" t="s">
        <v>875</v>
      </c>
      <c r="C868" s="1">
        <v>5433.7402339999999</v>
      </c>
      <c r="D868" s="1">
        <v>5433.7402339999999</v>
      </c>
      <c r="E868" s="1">
        <v>5441.9301759999998</v>
      </c>
      <c r="F868" s="1">
        <v>5402.5097660000001</v>
      </c>
      <c r="G868" s="1">
        <v>5441.9301759999998</v>
      </c>
      <c r="H868" s="1">
        <v>3530380000</v>
      </c>
      <c r="I868" s="1">
        <f t="shared" si="13"/>
        <v>2.344655813397298E-3</v>
      </c>
    </row>
    <row r="869" spans="1:9" x14ac:dyDescent="0.35">
      <c r="A869" s="1">
        <v>867</v>
      </c>
      <c r="B869" s="1" t="s">
        <v>876</v>
      </c>
      <c r="C869" s="1">
        <v>5431.6000979999999</v>
      </c>
      <c r="D869" s="1">
        <v>5431.6000979999999</v>
      </c>
      <c r="E869" s="1">
        <v>5432.3901370000003</v>
      </c>
      <c r="F869" s="1">
        <v>5403.75</v>
      </c>
      <c r="G869" s="1">
        <v>5424.080078</v>
      </c>
      <c r="H869" s="1">
        <v>3438650000</v>
      </c>
      <c r="I869" s="1">
        <f t="shared" si="13"/>
        <v>-3.9386056525277465E-4</v>
      </c>
    </row>
    <row r="870" spans="1:9" x14ac:dyDescent="0.35">
      <c r="A870" s="1">
        <v>868</v>
      </c>
      <c r="B870" s="1" t="s">
        <v>877</v>
      </c>
      <c r="C870" s="1">
        <v>5473.2299800000001</v>
      </c>
      <c r="D870" s="1">
        <v>5473.2299800000001</v>
      </c>
      <c r="E870" s="1">
        <v>5488.5</v>
      </c>
      <c r="F870" s="1">
        <v>5420.3999020000001</v>
      </c>
      <c r="G870" s="1">
        <v>5431.1098629999997</v>
      </c>
      <c r="H870" s="1">
        <v>3447840000</v>
      </c>
      <c r="I870" s="1">
        <f t="shared" si="13"/>
        <v>7.6643864144801373E-3</v>
      </c>
    </row>
    <row r="871" spans="1:9" x14ac:dyDescent="0.35">
      <c r="A871" s="1">
        <v>869</v>
      </c>
      <c r="B871" s="1" t="s">
        <v>878</v>
      </c>
      <c r="C871" s="1">
        <v>5487.0297849999997</v>
      </c>
      <c r="D871" s="1">
        <v>5487.0297849999997</v>
      </c>
      <c r="E871" s="1">
        <v>5490.3798829999996</v>
      </c>
      <c r="F871" s="1">
        <v>5471.3198240000002</v>
      </c>
      <c r="G871" s="1">
        <v>5476.1499020000001</v>
      </c>
      <c r="H871" s="1">
        <v>3544330000</v>
      </c>
      <c r="I871" s="1">
        <f t="shared" si="13"/>
        <v>2.5213274520577795E-3</v>
      </c>
    </row>
    <row r="872" spans="1:9" x14ac:dyDescent="0.35">
      <c r="A872" s="1">
        <v>870</v>
      </c>
      <c r="B872" s="1" t="s">
        <v>879</v>
      </c>
      <c r="C872" s="1">
        <v>5473.169922</v>
      </c>
      <c r="D872" s="1">
        <v>5473.169922</v>
      </c>
      <c r="E872" s="1">
        <v>5505.5297849999997</v>
      </c>
      <c r="F872" s="1">
        <v>5455.5600590000004</v>
      </c>
      <c r="G872" s="1">
        <v>5499.9902339999999</v>
      </c>
      <c r="H872" s="1">
        <v>3847060000</v>
      </c>
      <c r="I872" s="1">
        <f t="shared" si="13"/>
        <v>-2.5259317960854987E-3</v>
      </c>
    </row>
    <row r="873" spans="1:9" x14ac:dyDescent="0.35">
      <c r="A873" s="1">
        <v>871</v>
      </c>
      <c r="B873" s="1" t="s">
        <v>880</v>
      </c>
      <c r="C873" s="1">
        <v>5464.6201170000004</v>
      </c>
      <c r="D873" s="1">
        <v>5464.6201170000004</v>
      </c>
      <c r="E873" s="1">
        <v>5478.3100590000004</v>
      </c>
      <c r="F873" s="1">
        <v>5452.0297849999997</v>
      </c>
      <c r="G873" s="1">
        <v>5466.7700199999999</v>
      </c>
      <c r="H873" s="1">
        <v>6773800000</v>
      </c>
      <c r="I873" s="1">
        <f t="shared" si="13"/>
        <v>-1.5621303781621658E-3</v>
      </c>
    </row>
    <row r="874" spans="1:9" x14ac:dyDescent="0.35">
      <c r="A874" s="1">
        <v>872</v>
      </c>
      <c r="B874" s="1" t="s">
        <v>881</v>
      </c>
      <c r="C874" s="1">
        <v>5447.8701170000004</v>
      </c>
      <c r="D874" s="1">
        <v>5447.8701170000004</v>
      </c>
      <c r="E874" s="1">
        <v>5490.6601559999999</v>
      </c>
      <c r="F874" s="1">
        <v>5447.5898440000001</v>
      </c>
      <c r="G874" s="1">
        <v>5459.580078</v>
      </c>
      <c r="H874" s="1">
        <v>3696750000</v>
      </c>
      <c r="I874" s="1">
        <f t="shared" si="13"/>
        <v>-3.0651718950951553E-3</v>
      </c>
    </row>
    <row r="875" spans="1:9" x14ac:dyDescent="0.35">
      <c r="A875" s="1">
        <v>873</v>
      </c>
      <c r="B875" s="1" t="s">
        <v>882</v>
      </c>
      <c r="C875" s="1">
        <v>5469.2998049999997</v>
      </c>
      <c r="D875" s="1">
        <v>5469.2998049999997</v>
      </c>
      <c r="E875" s="1">
        <v>5472.8798829999996</v>
      </c>
      <c r="F875" s="1">
        <v>5446.5600590000004</v>
      </c>
      <c r="G875" s="1">
        <v>5460.7299800000001</v>
      </c>
      <c r="H875" s="1">
        <v>3591960000</v>
      </c>
      <c r="I875" s="1">
        <f t="shared" si="13"/>
        <v>3.9335901076511031E-3</v>
      </c>
    </row>
    <row r="876" spans="1:9" x14ac:dyDescent="0.35">
      <c r="A876" s="1">
        <v>874</v>
      </c>
      <c r="B876" s="1" t="s">
        <v>883</v>
      </c>
      <c r="C876" s="1">
        <v>5477.8999020000001</v>
      </c>
      <c r="D876" s="1">
        <v>5477.8999020000001</v>
      </c>
      <c r="E876" s="1">
        <v>5483.1401370000003</v>
      </c>
      <c r="F876" s="1">
        <v>5451.8701170000004</v>
      </c>
      <c r="G876" s="1">
        <v>5460.7099609999996</v>
      </c>
      <c r="H876" s="1">
        <v>3563920000</v>
      </c>
      <c r="I876" s="1">
        <f t="shared" si="13"/>
        <v>1.5724310801427095E-3</v>
      </c>
    </row>
    <row r="877" spans="1:9" x14ac:dyDescent="0.35">
      <c r="A877" s="1">
        <v>875</v>
      </c>
      <c r="B877" s="1" t="s">
        <v>884</v>
      </c>
      <c r="C877" s="1">
        <v>5482.8701170000004</v>
      </c>
      <c r="D877" s="1">
        <v>5482.8701170000004</v>
      </c>
      <c r="E877" s="1">
        <v>5490.8100590000004</v>
      </c>
      <c r="F877" s="1">
        <v>5467.5400390000004</v>
      </c>
      <c r="G877" s="1">
        <v>5473.5898440000001</v>
      </c>
      <c r="H877" s="1">
        <v>3589530000</v>
      </c>
      <c r="I877" s="1">
        <f t="shared" si="13"/>
        <v>9.0732125247225447E-4</v>
      </c>
    </row>
    <row r="878" spans="1:9" x14ac:dyDescent="0.35">
      <c r="A878" s="1">
        <v>876</v>
      </c>
      <c r="B878" s="1" t="s">
        <v>885</v>
      </c>
      <c r="C878" s="1">
        <v>5460.4799800000001</v>
      </c>
      <c r="D878" s="1">
        <v>5460.4799800000001</v>
      </c>
      <c r="E878" s="1">
        <v>5523.6401370000003</v>
      </c>
      <c r="F878" s="1">
        <v>5451.1201170000004</v>
      </c>
      <c r="G878" s="1">
        <v>5488.4799800000001</v>
      </c>
      <c r="H878" s="1">
        <v>7199220000</v>
      </c>
      <c r="I878" s="1">
        <f t="shared" si="13"/>
        <v>-4.0836526348815424E-3</v>
      </c>
    </row>
    <row r="879" spans="1:9" x14ac:dyDescent="0.35">
      <c r="A879" s="1">
        <v>877</v>
      </c>
      <c r="B879" s="1" t="s">
        <v>886</v>
      </c>
      <c r="C879" s="1">
        <v>5475.0898440000001</v>
      </c>
      <c r="D879" s="1">
        <v>5475.0898440000001</v>
      </c>
      <c r="E879" s="1">
        <v>5479.5498049999997</v>
      </c>
      <c r="F879" s="1">
        <v>5446.5297849999997</v>
      </c>
      <c r="G879" s="1">
        <v>5471.080078</v>
      </c>
      <c r="H879" s="1">
        <v>3488760000</v>
      </c>
      <c r="I879" s="1">
        <f t="shared" si="13"/>
        <v>2.67556406277677E-3</v>
      </c>
    </row>
    <row r="880" spans="1:9" x14ac:dyDescent="0.35">
      <c r="A880" s="1">
        <v>878</v>
      </c>
      <c r="B880" s="1" t="s">
        <v>887</v>
      </c>
      <c r="C880" s="1">
        <v>5509.0097660000001</v>
      </c>
      <c r="D880" s="1">
        <v>5509.0097660000001</v>
      </c>
      <c r="E880" s="1">
        <v>5509.6899409999996</v>
      </c>
      <c r="F880" s="1">
        <v>5458.4301759999998</v>
      </c>
      <c r="G880" s="1">
        <v>5461.8398440000001</v>
      </c>
      <c r="H880" s="1">
        <v>3329950000</v>
      </c>
      <c r="I880" s="1">
        <f t="shared" si="13"/>
        <v>6.1953178790612818E-3</v>
      </c>
    </row>
    <row r="881" spans="1:9" x14ac:dyDescent="0.35">
      <c r="A881" s="1">
        <v>879</v>
      </c>
      <c r="B881" s="1" t="s">
        <v>888</v>
      </c>
      <c r="C881" s="1">
        <v>5537.0200199999999</v>
      </c>
      <c r="D881" s="1">
        <v>5537.0200199999999</v>
      </c>
      <c r="E881" s="1">
        <v>5539.2700199999999</v>
      </c>
      <c r="F881" s="1">
        <v>5507.419922</v>
      </c>
      <c r="G881" s="1">
        <v>5507.4399409999996</v>
      </c>
      <c r="H881" s="1">
        <v>2179470000</v>
      </c>
      <c r="I881" s="1">
        <f t="shared" si="13"/>
        <v>5.0844444264504509E-3</v>
      </c>
    </row>
    <row r="882" spans="1:9" x14ac:dyDescent="0.35">
      <c r="A882" s="1">
        <v>880</v>
      </c>
      <c r="B882" s="1" t="s">
        <v>889</v>
      </c>
      <c r="C882" s="1">
        <v>5567.1899409999996</v>
      </c>
      <c r="D882" s="1">
        <v>5567.1899409999996</v>
      </c>
      <c r="E882" s="1">
        <v>5570.330078</v>
      </c>
      <c r="F882" s="1">
        <v>5531.6298829999996</v>
      </c>
      <c r="G882" s="1">
        <v>5537.9101559999999</v>
      </c>
      <c r="H882" s="1">
        <v>3253080000</v>
      </c>
      <c r="I882" s="1">
        <f t="shared" si="13"/>
        <v>5.4487650199971111E-3</v>
      </c>
    </row>
    <row r="883" spans="1:9" x14ac:dyDescent="0.35">
      <c r="A883" s="1">
        <v>881</v>
      </c>
      <c r="B883" s="1" t="s">
        <v>890</v>
      </c>
      <c r="C883" s="1">
        <v>5572.8500979999999</v>
      </c>
      <c r="D883" s="1">
        <v>5572.8500979999999</v>
      </c>
      <c r="E883" s="1">
        <v>5583.1098629999997</v>
      </c>
      <c r="F883" s="1">
        <v>5562.5097660000001</v>
      </c>
      <c r="G883" s="1">
        <v>5572.75</v>
      </c>
      <c r="H883" s="1">
        <v>3185670000</v>
      </c>
      <c r="I883" s="1">
        <f t="shared" si="13"/>
        <v>1.016699099543127E-3</v>
      </c>
    </row>
    <row r="884" spans="1:9" x14ac:dyDescent="0.35">
      <c r="A884" s="1">
        <v>882</v>
      </c>
      <c r="B884" s="1" t="s">
        <v>891</v>
      </c>
      <c r="C884" s="1">
        <v>5576.9799800000001</v>
      </c>
      <c r="D884" s="1">
        <v>5576.9799800000001</v>
      </c>
      <c r="E884" s="1">
        <v>5590.75</v>
      </c>
      <c r="F884" s="1">
        <v>5574.5698240000002</v>
      </c>
      <c r="G884" s="1">
        <v>5584.2402339999999</v>
      </c>
      <c r="H884" s="1">
        <v>3232920000</v>
      </c>
      <c r="I884" s="1">
        <f t="shared" si="13"/>
        <v>7.4107179044387425E-4</v>
      </c>
    </row>
    <row r="885" spans="1:9" x14ac:dyDescent="0.35">
      <c r="A885" s="1">
        <v>883</v>
      </c>
      <c r="B885" s="1" t="s">
        <v>892</v>
      </c>
      <c r="C885" s="1">
        <v>5633.9101559999999</v>
      </c>
      <c r="D885" s="1">
        <v>5633.9101559999999</v>
      </c>
      <c r="E885" s="1">
        <v>5635.3901370000003</v>
      </c>
      <c r="F885" s="1">
        <v>5586.4399409999996</v>
      </c>
      <c r="G885" s="1">
        <v>5591.2597660000001</v>
      </c>
      <c r="H885" s="1">
        <v>3336100000</v>
      </c>
      <c r="I885" s="1">
        <f t="shared" si="13"/>
        <v>1.0208065333596526E-2</v>
      </c>
    </row>
    <row r="886" spans="1:9" x14ac:dyDescent="0.35">
      <c r="A886" s="1">
        <v>884</v>
      </c>
      <c r="B886" s="1" t="s">
        <v>893</v>
      </c>
      <c r="C886" s="1">
        <v>5584.5400390000004</v>
      </c>
      <c r="D886" s="1">
        <v>5584.5400390000004</v>
      </c>
      <c r="E886" s="1">
        <v>5642.4501950000003</v>
      </c>
      <c r="F886" s="1">
        <v>5576.5297849999997</v>
      </c>
      <c r="G886" s="1">
        <v>5635.2099609999996</v>
      </c>
      <c r="H886" s="1">
        <v>4020950000</v>
      </c>
      <c r="I886" s="1">
        <f t="shared" si="13"/>
        <v>-8.763028808228563E-3</v>
      </c>
    </row>
    <row r="887" spans="1:9" x14ac:dyDescent="0.35">
      <c r="A887" s="1">
        <v>885</v>
      </c>
      <c r="B887" s="1" t="s">
        <v>894</v>
      </c>
      <c r="C887" s="1">
        <v>5615.3500979999999</v>
      </c>
      <c r="D887" s="1">
        <v>5615.3500979999999</v>
      </c>
      <c r="E887" s="1">
        <v>5655.5600590000004</v>
      </c>
      <c r="F887" s="1">
        <v>5590.4399409999996</v>
      </c>
      <c r="G887" s="1">
        <v>5590.7597660000001</v>
      </c>
      <c r="H887" s="1">
        <v>3700280000</v>
      </c>
      <c r="I887" s="1">
        <f t="shared" si="13"/>
        <v>5.5170271472378017E-3</v>
      </c>
    </row>
    <row r="888" spans="1:9" x14ac:dyDescent="0.35">
      <c r="A888" s="1">
        <v>886</v>
      </c>
      <c r="B888" s="1" t="s">
        <v>895</v>
      </c>
      <c r="C888" s="1">
        <v>5631.2202150000003</v>
      </c>
      <c r="D888" s="1">
        <v>5631.2202150000003</v>
      </c>
      <c r="E888" s="1">
        <v>5666.9399409999996</v>
      </c>
      <c r="F888" s="1">
        <v>5614.75</v>
      </c>
      <c r="G888" s="1">
        <v>5638.1601559999999</v>
      </c>
      <c r="H888" s="1">
        <v>3620470000</v>
      </c>
      <c r="I888" s="1">
        <f t="shared" si="13"/>
        <v>2.8262025916519075E-3</v>
      </c>
    </row>
    <row r="889" spans="1:9" x14ac:dyDescent="0.35">
      <c r="A889" s="1">
        <v>887</v>
      </c>
      <c r="B889" s="1" t="s">
        <v>896</v>
      </c>
      <c r="C889" s="1">
        <v>5667.2001950000003</v>
      </c>
      <c r="D889" s="1">
        <v>5667.2001950000003</v>
      </c>
      <c r="E889" s="1">
        <v>5669.669922</v>
      </c>
      <c r="F889" s="1">
        <v>5639.0200199999999</v>
      </c>
      <c r="G889" s="1">
        <v>5644.0898440000001</v>
      </c>
      <c r="H889" s="1">
        <v>4041760000</v>
      </c>
      <c r="I889" s="1">
        <f t="shared" si="13"/>
        <v>6.3893754153246281E-3</v>
      </c>
    </row>
    <row r="890" spans="1:9" x14ac:dyDescent="0.35">
      <c r="A890" s="1">
        <v>888</v>
      </c>
      <c r="B890" s="1" t="s">
        <v>897</v>
      </c>
      <c r="C890" s="1">
        <v>5588.2700199999999</v>
      </c>
      <c r="D890" s="1">
        <v>5588.2700199999999</v>
      </c>
      <c r="E890" s="1">
        <v>5622.4902339999999</v>
      </c>
      <c r="F890" s="1">
        <v>5584.8100590000004</v>
      </c>
      <c r="G890" s="1">
        <v>5610.0698240000002</v>
      </c>
      <c r="H890" s="1">
        <v>4246450000</v>
      </c>
      <c r="I890" s="1">
        <f t="shared" si="13"/>
        <v>-1.3927543104907097E-2</v>
      </c>
    </row>
    <row r="891" spans="1:9" x14ac:dyDescent="0.35">
      <c r="A891" s="1">
        <v>889</v>
      </c>
      <c r="B891" s="1" t="s">
        <v>898</v>
      </c>
      <c r="C891" s="1">
        <v>5544.5898440000001</v>
      </c>
      <c r="D891" s="1">
        <v>5544.5898440000001</v>
      </c>
      <c r="E891" s="1">
        <v>5614.0498049999997</v>
      </c>
      <c r="F891" s="1">
        <v>5522.8100590000004</v>
      </c>
      <c r="G891" s="1">
        <v>5608.5600590000004</v>
      </c>
      <c r="H891" s="1">
        <v>4007510000</v>
      </c>
      <c r="I891" s="1">
        <f t="shared" si="13"/>
        <v>-7.8164039754113103E-3</v>
      </c>
    </row>
    <row r="892" spans="1:9" x14ac:dyDescent="0.35">
      <c r="A892" s="1">
        <v>890</v>
      </c>
      <c r="B892" s="1" t="s">
        <v>899</v>
      </c>
      <c r="C892" s="1">
        <v>5505</v>
      </c>
      <c r="D892" s="1">
        <v>5505</v>
      </c>
      <c r="E892" s="1">
        <v>5557.5</v>
      </c>
      <c r="F892" s="1">
        <v>5497.0400390000004</v>
      </c>
      <c r="G892" s="1">
        <v>5543.3701170000004</v>
      </c>
      <c r="H892" s="1">
        <v>3760570000</v>
      </c>
      <c r="I892" s="1">
        <f t="shared" si="13"/>
        <v>-7.1402655766939511E-3</v>
      </c>
    </row>
    <row r="893" spans="1:9" x14ac:dyDescent="0.35">
      <c r="A893" s="1">
        <v>891</v>
      </c>
      <c r="B893" s="1" t="s">
        <v>900</v>
      </c>
      <c r="C893" s="1">
        <v>5564.4101559999999</v>
      </c>
      <c r="D893" s="1">
        <v>5564.4101559999999</v>
      </c>
      <c r="E893" s="1">
        <v>5570.3598629999997</v>
      </c>
      <c r="F893" s="1">
        <v>5529.0400390000004</v>
      </c>
      <c r="G893" s="1">
        <v>5544.5400390000004</v>
      </c>
      <c r="H893" s="1">
        <v>3375180000</v>
      </c>
      <c r="I893" s="1">
        <f t="shared" si="13"/>
        <v>1.0792035603996351E-2</v>
      </c>
    </row>
    <row r="894" spans="1:9" x14ac:dyDescent="0.35">
      <c r="A894" s="1">
        <v>892</v>
      </c>
      <c r="B894" s="1" t="s">
        <v>901</v>
      </c>
      <c r="C894" s="1">
        <v>5555.7402339999999</v>
      </c>
      <c r="D894" s="1">
        <v>5555.7402339999999</v>
      </c>
      <c r="E894" s="1">
        <v>5585.3398440000001</v>
      </c>
      <c r="F894" s="1">
        <v>5550.8999020000001</v>
      </c>
      <c r="G894" s="1">
        <v>5565.2998049999997</v>
      </c>
      <c r="H894" s="1">
        <v>3500210000</v>
      </c>
      <c r="I894" s="1">
        <f t="shared" si="13"/>
        <v>-1.5581026123049945E-3</v>
      </c>
    </row>
    <row r="895" spans="1:9" x14ac:dyDescent="0.35">
      <c r="A895" s="1">
        <v>893</v>
      </c>
      <c r="B895" s="1" t="s">
        <v>902</v>
      </c>
      <c r="C895" s="1">
        <v>5427.1298829999996</v>
      </c>
      <c r="D895" s="1">
        <v>5427.1298829999996</v>
      </c>
      <c r="E895" s="1">
        <v>5508.0400390000004</v>
      </c>
      <c r="F895" s="1">
        <v>5419.9799800000001</v>
      </c>
      <c r="G895" s="1">
        <v>5505.8398440000001</v>
      </c>
      <c r="H895" s="1">
        <v>3945550000</v>
      </c>
      <c r="I895" s="1">
        <f t="shared" si="13"/>
        <v>-2.3149093655050877E-2</v>
      </c>
    </row>
    <row r="896" spans="1:9" x14ac:dyDescent="0.35">
      <c r="A896" s="1">
        <v>894</v>
      </c>
      <c r="B896" s="1" t="s">
        <v>903</v>
      </c>
      <c r="C896" s="1">
        <v>5399.2202150000003</v>
      </c>
      <c r="D896" s="1">
        <v>5399.2202150000003</v>
      </c>
      <c r="E896" s="1">
        <v>5491.5898440000001</v>
      </c>
      <c r="F896" s="1">
        <v>5390.9501950000003</v>
      </c>
      <c r="G896" s="1">
        <v>5428.7001950000003</v>
      </c>
      <c r="H896" s="1">
        <v>4592120000</v>
      </c>
      <c r="I896" s="1">
        <f t="shared" si="13"/>
        <v>-5.1426202434225639E-3</v>
      </c>
    </row>
    <row r="897" spans="1:9" x14ac:dyDescent="0.35">
      <c r="A897" s="1">
        <v>895</v>
      </c>
      <c r="B897" s="1" t="s">
        <v>904</v>
      </c>
      <c r="C897" s="1">
        <v>5459.1000979999999</v>
      </c>
      <c r="D897" s="1">
        <v>5459.1000979999999</v>
      </c>
      <c r="E897" s="1">
        <v>5488.3198240000002</v>
      </c>
      <c r="F897" s="1">
        <v>5430.7001950000003</v>
      </c>
      <c r="G897" s="1">
        <v>5433.669922</v>
      </c>
      <c r="H897" s="1">
        <v>3638770000</v>
      </c>
      <c r="I897" s="1">
        <f t="shared" si="13"/>
        <v>1.1090468737252571E-2</v>
      </c>
    </row>
    <row r="898" spans="1:9" x14ac:dyDescent="0.35">
      <c r="A898" s="1">
        <v>896</v>
      </c>
      <c r="B898" s="1" t="s">
        <v>905</v>
      </c>
      <c r="C898" s="1">
        <v>5463.5400390000004</v>
      </c>
      <c r="D898" s="1">
        <v>5463.5400390000004</v>
      </c>
      <c r="E898" s="1">
        <v>5487.7402339999999</v>
      </c>
      <c r="F898" s="1">
        <v>5444.4399409999996</v>
      </c>
      <c r="G898" s="1">
        <v>5476.5498049999997</v>
      </c>
      <c r="H898" s="1">
        <v>3379970000</v>
      </c>
      <c r="I898" s="1">
        <f t="shared" si="13"/>
        <v>8.1331005482518349E-4</v>
      </c>
    </row>
    <row r="899" spans="1:9" x14ac:dyDescent="0.35">
      <c r="A899" s="1">
        <v>897</v>
      </c>
      <c r="B899" s="1" t="s">
        <v>906</v>
      </c>
      <c r="C899" s="1">
        <v>5436.4399409999996</v>
      </c>
      <c r="D899" s="1">
        <v>5436.4399409999996</v>
      </c>
      <c r="E899" s="1">
        <v>5489.4599609999996</v>
      </c>
      <c r="F899" s="1">
        <v>5401.7001950000003</v>
      </c>
      <c r="G899" s="1">
        <v>5478.7299800000001</v>
      </c>
      <c r="H899" s="1">
        <v>3777740000</v>
      </c>
      <c r="I899" s="1">
        <f t="shared" si="13"/>
        <v>-4.960171941004201E-3</v>
      </c>
    </row>
    <row r="900" spans="1:9" x14ac:dyDescent="0.35">
      <c r="A900" s="1">
        <v>898</v>
      </c>
      <c r="B900" s="1" t="s">
        <v>907</v>
      </c>
      <c r="C900" s="1">
        <v>5522.2998049999997</v>
      </c>
      <c r="D900" s="1">
        <v>5522.2998049999997</v>
      </c>
      <c r="E900" s="1">
        <v>5551.5097660000001</v>
      </c>
      <c r="F900" s="1">
        <v>5493.75</v>
      </c>
      <c r="G900" s="1">
        <v>5505.5898440000001</v>
      </c>
      <c r="H900" s="1">
        <v>4546910000</v>
      </c>
      <c r="I900" s="1">
        <f t="shared" ref="I900:I963" si="14">(C900-C899)/C899</f>
        <v>1.5793398792557364E-2</v>
      </c>
    </row>
    <row r="901" spans="1:9" x14ac:dyDescent="0.35">
      <c r="A901" s="1">
        <v>899</v>
      </c>
      <c r="B901" s="1" t="s">
        <v>908</v>
      </c>
      <c r="C901" s="1">
        <v>5446.6801759999998</v>
      </c>
      <c r="D901" s="1">
        <v>5446.6801759999998</v>
      </c>
      <c r="E901" s="1">
        <v>5566.1601559999999</v>
      </c>
      <c r="F901" s="1">
        <v>5410.419922</v>
      </c>
      <c r="G901" s="1">
        <v>5537.8398440000001</v>
      </c>
      <c r="H901" s="1">
        <v>4703620000</v>
      </c>
      <c r="I901" s="1">
        <f t="shared" si="14"/>
        <v>-1.3693503009657732E-2</v>
      </c>
    </row>
    <row r="902" spans="1:9" x14ac:dyDescent="0.35">
      <c r="A902" s="1">
        <v>900</v>
      </c>
      <c r="B902" s="1" t="s">
        <v>909</v>
      </c>
      <c r="C902" s="1">
        <v>5346.5600590000004</v>
      </c>
      <c r="D902" s="1">
        <v>5346.5600590000004</v>
      </c>
      <c r="E902" s="1">
        <v>5383.8901370000003</v>
      </c>
      <c r="F902" s="1">
        <v>5302.0297849999997</v>
      </c>
      <c r="G902" s="1">
        <v>5376.6298829999996</v>
      </c>
      <c r="H902" s="1">
        <v>5156450000</v>
      </c>
      <c r="I902" s="1">
        <f t="shared" si="14"/>
        <v>-1.8381860833533818E-2</v>
      </c>
    </row>
    <row r="903" spans="1:9" x14ac:dyDescent="0.35">
      <c r="A903" s="1">
        <v>901</v>
      </c>
      <c r="B903" s="1" t="s">
        <v>910</v>
      </c>
      <c r="C903" s="1">
        <v>5186.330078</v>
      </c>
      <c r="D903" s="1">
        <v>5186.330078</v>
      </c>
      <c r="E903" s="1">
        <v>5250.8901370000003</v>
      </c>
      <c r="F903" s="1">
        <v>5119.2597660000001</v>
      </c>
      <c r="G903" s="1">
        <v>5151.1401370000003</v>
      </c>
      <c r="H903" s="1">
        <v>5333250000</v>
      </c>
      <c r="I903" s="1">
        <f t="shared" si="14"/>
        <v>-2.9968798485725642E-2</v>
      </c>
    </row>
    <row r="904" spans="1:9" x14ac:dyDescent="0.35">
      <c r="A904" s="1">
        <v>902</v>
      </c>
      <c r="B904" s="1" t="s">
        <v>911</v>
      </c>
      <c r="C904" s="1">
        <v>5240.0297849999997</v>
      </c>
      <c r="D904" s="1">
        <v>5240.0297849999997</v>
      </c>
      <c r="E904" s="1">
        <v>5312.3398440000001</v>
      </c>
      <c r="F904" s="1">
        <v>5193.5600590000004</v>
      </c>
      <c r="G904" s="1">
        <v>5206.419922</v>
      </c>
      <c r="H904" s="1">
        <v>4690190000</v>
      </c>
      <c r="I904" s="1">
        <f t="shared" si="14"/>
        <v>1.0354085874285103E-2</v>
      </c>
    </row>
    <row r="905" spans="1:9" x14ac:dyDescent="0.35">
      <c r="A905" s="1">
        <v>903</v>
      </c>
      <c r="B905" s="1" t="s">
        <v>912</v>
      </c>
      <c r="C905" s="1">
        <v>5199.5</v>
      </c>
      <c r="D905" s="1">
        <v>5199.5</v>
      </c>
      <c r="E905" s="1">
        <v>5330.6401370000003</v>
      </c>
      <c r="F905" s="1">
        <v>5195.5400390000004</v>
      </c>
      <c r="G905" s="1">
        <v>5293.1298829999996</v>
      </c>
      <c r="H905" s="1">
        <v>4558260000</v>
      </c>
      <c r="I905" s="1">
        <f t="shared" si="14"/>
        <v>-7.7346478289149114E-3</v>
      </c>
    </row>
    <row r="906" spans="1:9" x14ac:dyDescent="0.35">
      <c r="A906" s="1">
        <v>904</v>
      </c>
      <c r="B906" s="1" t="s">
        <v>913</v>
      </c>
      <c r="C906" s="1">
        <v>5319.3100590000004</v>
      </c>
      <c r="D906" s="1">
        <v>5319.3100590000004</v>
      </c>
      <c r="E906" s="1">
        <v>5328.0297849999997</v>
      </c>
      <c r="F906" s="1">
        <v>5233.8500979999999</v>
      </c>
      <c r="G906" s="1">
        <v>5252.5698240000002</v>
      </c>
      <c r="H906" s="1">
        <v>4016830000</v>
      </c>
      <c r="I906" s="1">
        <f t="shared" si="14"/>
        <v>2.3042611597269037E-2</v>
      </c>
    </row>
    <row r="907" spans="1:9" x14ac:dyDescent="0.35">
      <c r="A907" s="1">
        <v>905</v>
      </c>
      <c r="B907" s="1" t="s">
        <v>914</v>
      </c>
      <c r="C907" s="1">
        <v>5344.1601559999999</v>
      </c>
      <c r="D907" s="1">
        <v>5344.1601559999999</v>
      </c>
      <c r="E907" s="1">
        <v>5358.669922</v>
      </c>
      <c r="F907" s="1">
        <v>5300.8398440000001</v>
      </c>
      <c r="G907" s="1">
        <v>5314.6601559999999</v>
      </c>
      <c r="H907" s="1">
        <v>3516400000</v>
      </c>
      <c r="I907" s="1">
        <f t="shared" si="14"/>
        <v>4.6716767258104192E-3</v>
      </c>
    </row>
    <row r="908" spans="1:9" x14ac:dyDescent="0.35">
      <c r="A908" s="1">
        <v>906</v>
      </c>
      <c r="B908" s="1" t="s">
        <v>915</v>
      </c>
      <c r="C908" s="1">
        <v>5344.3901370000003</v>
      </c>
      <c r="D908" s="1">
        <v>5344.3901370000003</v>
      </c>
      <c r="E908" s="1">
        <v>5371.2001950000003</v>
      </c>
      <c r="F908" s="1">
        <v>5324.3701170000004</v>
      </c>
      <c r="G908" s="1">
        <v>5351.8798829999996</v>
      </c>
      <c r="H908" s="1">
        <v>3360160000</v>
      </c>
      <c r="I908" s="1">
        <f t="shared" si="14"/>
        <v>4.3034077064887879E-5</v>
      </c>
    </row>
    <row r="909" spans="1:9" x14ac:dyDescent="0.35">
      <c r="A909" s="1">
        <v>907</v>
      </c>
      <c r="B909" s="1" t="s">
        <v>916</v>
      </c>
      <c r="C909" s="1">
        <v>5434.4301759999998</v>
      </c>
      <c r="D909" s="1">
        <v>5434.4301759999998</v>
      </c>
      <c r="E909" s="1">
        <v>5436.5</v>
      </c>
      <c r="F909" s="1">
        <v>5376.9799800000001</v>
      </c>
      <c r="G909" s="1">
        <v>5376.9799800000001</v>
      </c>
      <c r="H909" s="1">
        <v>3648980000</v>
      </c>
      <c r="I909" s="1">
        <f t="shared" si="14"/>
        <v>1.6847579740977191E-2</v>
      </c>
    </row>
    <row r="910" spans="1:9" x14ac:dyDescent="0.35">
      <c r="A910" s="1">
        <v>908</v>
      </c>
      <c r="B910" s="1" t="s">
        <v>917</v>
      </c>
      <c r="C910" s="1">
        <v>5455.2099609999996</v>
      </c>
      <c r="D910" s="1">
        <v>5455.2099609999996</v>
      </c>
      <c r="E910" s="1">
        <v>5463.2202150000003</v>
      </c>
      <c r="F910" s="1">
        <v>5415.9101559999999</v>
      </c>
      <c r="G910" s="1">
        <v>5442.3598629999997</v>
      </c>
      <c r="H910" s="1">
        <v>3380050000</v>
      </c>
      <c r="I910" s="1">
        <f t="shared" si="14"/>
        <v>3.8237283996708986E-3</v>
      </c>
    </row>
    <row r="911" spans="1:9" x14ac:dyDescent="0.35">
      <c r="A911" s="1">
        <v>909</v>
      </c>
      <c r="B911" s="1" t="s">
        <v>918</v>
      </c>
      <c r="C911" s="1">
        <v>5543.2202150000003</v>
      </c>
      <c r="D911" s="1">
        <v>5543.2202150000003</v>
      </c>
      <c r="E911" s="1">
        <v>5546.2299800000001</v>
      </c>
      <c r="F911" s="1">
        <v>5501.1298829999996</v>
      </c>
      <c r="G911" s="1">
        <v>5501.1298829999996</v>
      </c>
      <c r="H911" s="1">
        <v>3723310000</v>
      </c>
      <c r="I911" s="1">
        <f t="shared" si="14"/>
        <v>1.6133247781331496E-2</v>
      </c>
    </row>
    <row r="912" spans="1:9" x14ac:dyDescent="0.35">
      <c r="A912" s="1">
        <v>910</v>
      </c>
      <c r="B912" s="1" t="s">
        <v>919</v>
      </c>
      <c r="C912" s="1">
        <v>5554.25</v>
      </c>
      <c r="D912" s="1">
        <v>5554.25</v>
      </c>
      <c r="E912" s="1">
        <v>5561.9799800000001</v>
      </c>
      <c r="F912" s="1">
        <v>5525.169922</v>
      </c>
      <c r="G912" s="1">
        <v>5530.5</v>
      </c>
      <c r="H912" s="1">
        <v>3357690000</v>
      </c>
      <c r="I912" s="1">
        <f t="shared" si="14"/>
        <v>1.9897793290176401E-3</v>
      </c>
    </row>
    <row r="913" spans="1:9" x14ac:dyDescent="0.35">
      <c r="A913" s="1">
        <v>911</v>
      </c>
      <c r="B913" s="1" t="s">
        <v>920</v>
      </c>
      <c r="C913" s="1">
        <v>5608.25</v>
      </c>
      <c r="D913" s="1">
        <v>5608.25</v>
      </c>
      <c r="E913" s="1">
        <v>5608.2998049999997</v>
      </c>
      <c r="F913" s="1">
        <v>5550.7402339999999</v>
      </c>
      <c r="G913" s="1">
        <v>5557.2299800000001</v>
      </c>
      <c r="H913" s="1">
        <v>3222050000</v>
      </c>
      <c r="I913" s="1">
        <f t="shared" si="14"/>
        <v>9.722284736913174E-3</v>
      </c>
    </row>
    <row r="914" spans="1:9" x14ac:dyDescent="0.35">
      <c r="A914" s="1">
        <v>912</v>
      </c>
      <c r="B914" s="1" t="s">
        <v>921</v>
      </c>
      <c r="C914" s="1">
        <v>5597.1201170000004</v>
      </c>
      <c r="D914" s="1">
        <v>5597.1201170000004</v>
      </c>
      <c r="E914" s="1">
        <v>5620.5097660000001</v>
      </c>
      <c r="F914" s="1">
        <v>5585.5</v>
      </c>
      <c r="G914" s="1">
        <v>5602.8798829999996</v>
      </c>
      <c r="H914" s="1">
        <v>2994420000</v>
      </c>
      <c r="I914" s="1">
        <f t="shared" si="14"/>
        <v>-1.9845554317299706E-3</v>
      </c>
    </row>
    <row r="915" spans="1:9" x14ac:dyDescent="0.35">
      <c r="A915" s="1">
        <v>913</v>
      </c>
      <c r="B915" s="1" t="s">
        <v>922</v>
      </c>
      <c r="C915" s="1">
        <v>5620.8500979999999</v>
      </c>
      <c r="D915" s="1">
        <v>5620.8500979999999</v>
      </c>
      <c r="E915" s="1">
        <v>5632.6801759999998</v>
      </c>
      <c r="F915" s="1">
        <v>5591.5698240000002</v>
      </c>
      <c r="G915" s="1">
        <v>5603.0898440000001</v>
      </c>
      <c r="H915" s="1">
        <v>3119670000</v>
      </c>
      <c r="I915" s="1">
        <f t="shared" si="14"/>
        <v>4.2396769238389198E-3</v>
      </c>
    </row>
    <row r="916" spans="1:9" x14ac:dyDescent="0.35">
      <c r="A916" s="1">
        <v>914</v>
      </c>
      <c r="B916" s="1" t="s">
        <v>923</v>
      </c>
      <c r="C916" s="1">
        <v>5570.6401370000003</v>
      </c>
      <c r="D916" s="1">
        <v>5570.6401370000003</v>
      </c>
      <c r="E916" s="1">
        <v>5643.2202150000003</v>
      </c>
      <c r="F916" s="1">
        <v>5560.9501950000003</v>
      </c>
      <c r="G916" s="1">
        <v>5637.7700199999999</v>
      </c>
      <c r="H916" s="1">
        <v>2981530000</v>
      </c>
      <c r="I916" s="1">
        <f t="shared" si="14"/>
        <v>-8.9328055586939022E-3</v>
      </c>
    </row>
    <row r="917" spans="1:9" x14ac:dyDescent="0.35">
      <c r="A917" s="1">
        <v>915</v>
      </c>
      <c r="B917" s="1" t="s">
        <v>924</v>
      </c>
      <c r="C917" s="1">
        <v>5634.6098629999997</v>
      </c>
      <c r="D917" s="1">
        <v>5634.6098629999997</v>
      </c>
      <c r="E917" s="1">
        <v>5641.8198240000002</v>
      </c>
      <c r="F917" s="1">
        <v>5585.1601559999999</v>
      </c>
      <c r="G917" s="1">
        <v>5602.4902339999999</v>
      </c>
      <c r="H917" s="1">
        <v>3291940000</v>
      </c>
      <c r="I917" s="1">
        <f t="shared" si="14"/>
        <v>1.1483370748563461E-2</v>
      </c>
    </row>
    <row r="918" spans="1:9" x14ac:dyDescent="0.35">
      <c r="A918" s="1">
        <v>916</v>
      </c>
      <c r="B918" s="1" t="s">
        <v>925</v>
      </c>
      <c r="C918" s="1">
        <v>5616.8398440000001</v>
      </c>
      <c r="D918" s="1">
        <v>5616.8398440000001</v>
      </c>
      <c r="E918" s="1">
        <v>5651.6201170000004</v>
      </c>
      <c r="F918" s="1">
        <v>5602.3398440000001</v>
      </c>
      <c r="G918" s="1">
        <v>5639.6601559999999</v>
      </c>
      <c r="H918" s="1">
        <v>2938570000</v>
      </c>
      <c r="I918" s="1">
        <f t="shared" si="14"/>
        <v>-3.1537265990122009E-3</v>
      </c>
    </row>
    <row r="919" spans="1:9" x14ac:dyDescent="0.35">
      <c r="A919" s="1">
        <v>917</v>
      </c>
      <c r="B919" s="1" t="s">
        <v>926</v>
      </c>
      <c r="C919" s="1">
        <v>5625.7998049999997</v>
      </c>
      <c r="D919" s="1">
        <v>5625.7998049999997</v>
      </c>
      <c r="E919" s="1">
        <v>5631.1801759999998</v>
      </c>
      <c r="F919" s="1">
        <v>5593.4799800000001</v>
      </c>
      <c r="G919" s="1">
        <v>5602.8901370000003</v>
      </c>
      <c r="H919" s="1">
        <v>2798990000</v>
      </c>
      <c r="I919" s="1">
        <f t="shared" si="14"/>
        <v>1.5951960976011703E-3</v>
      </c>
    </row>
    <row r="920" spans="1:9" x14ac:dyDescent="0.35">
      <c r="A920" s="1">
        <v>918</v>
      </c>
      <c r="B920" s="1" t="s">
        <v>927</v>
      </c>
      <c r="C920" s="1">
        <v>5592.1801759999998</v>
      </c>
      <c r="D920" s="1">
        <v>5592.1801759999998</v>
      </c>
      <c r="E920" s="1">
        <v>5627.0297849999997</v>
      </c>
      <c r="F920" s="1">
        <v>5560.9501950000003</v>
      </c>
      <c r="G920" s="1">
        <v>5624.5097660000001</v>
      </c>
      <c r="H920" s="1">
        <v>3053450000</v>
      </c>
      <c r="I920" s="1">
        <f t="shared" si="14"/>
        <v>-5.9759732243084692E-3</v>
      </c>
    </row>
    <row r="921" spans="1:9" x14ac:dyDescent="0.35">
      <c r="A921" s="1">
        <v>919</v>
      </c>
      <c r="B921" s="1" t="s">
        <v>928</v>
      </c>
      <c r="C921" s="1">
        <v>5591.9599609999996</v>
      </c>
      <c r="D921" s="1">
        <v>5591.9599609999996</v>
      </c>
      <c r="E921" s="1">
        <v>5646.9501950000003</v>
      </c>
      <c r="F921" s="1">
        <v>5583.7099609999996</v>
      </c>
      <c r="G921" s="1">
        <v>5607.2998049999997</v>
      </c>
      <c r="H921" s="1">
        <v>3065640000</v>
      </c>
      <c r="I921" s="1">
        <f t="shared" si="14"/>
        <v>-3.9379096000049961E-5</v>
      </c>
    </row>
    <row r="922" spans="1:9" x14ac:dyDescent="0.35">
      <c r="A922" s="1">
        <v>920</v>
      </c>
      <c r="B922" s="1" t="s">
        <v>929</v>
      </c>
      <c r="C922" s="1">
        <v>5648.3999020000001</v>
      </c>
      <c r="D922" s="1">
        <v>5648.3999020000001</v>
      </c>
      <c r="E922" s="1">
        <v>5651.3701170000004</v>
      </c>
      <c r="F922" s="1">
        <v>5581.7900390000004</v>
      </c>
      <c r="G922" s="1">
        <v>5612.7402339999999</v>
      </c>
      <c r="H922" s="1">
        <v>4185850000</v>
      </c>
      <c r="I922" s="1">
        <f t="shared" si="14"/>
        <v>1.0093051701662666E-2</v>
      </c>
    </row>
    <row r="923" spans="1:9" x14ac:dyDescent="0.35">
      <c r="A923" s="1">
        <v>921</v>
      </c>
      <c r="B923" s="1" t="s">
        <v>930</v>
      </c>
      <c r="C923" s="1">
        <v>5528.9301759999998</v>
      </c>
      <c r="D923" s="1">
        <v>5528.9301759999998</v>
      </c>
      <c r="E923" s="1">
        <v>5623.8901370000003</v>
      </c>
      <c r="F923" s="1">
        <v>5504.330078</v>
      </c>
      <c r="G923" s="1">
        <v>5623.8901370000003</v>
      </c>
      <c r="H923" s="1">
        <v>3866350000</v>
      </c>
      <c r="I923" s="1">
        <f t="shared" si="14"/>
        <v>-2.1151074299413205E-2</v>
      </c>
    </row>
    <row r="924" spans="1:9" x14ac:dyDescent="0.35">
      <c r="A924" s="1">
        <v>922</v>
      </c>
      <c r="B924" s="1" t="s">
        <v>931</v>
      </c>
      <c r="C924" s="1">
        <v>5520.0698240000002</v>
      </c>
      <c r="D924" s="1">
        <v>5520.0698240000002</v>
      </c>
      <c r="E924" s="1">
        <v>5552.9902339999999</v>
      </c>
      <c r="F924" s="1">
        <v>5503.6601559999999</v>
      </c>
      <c r="G924" s="1">
        <v>5506.6801759999998</v>
      </c>
      <c r="H924" s="1">
        <v>3478140000</v>
      </c>
      <c r="I924" s="1">
        <f t="shared" si="14"/>
        <v>-1.6025436599761635E-3</v>
      </c>
    </row>
    <row r="925" spans="1:9" x14ac:dyDescent="0.35">
      <c r="A925" s="1">
        <v>923</v>
      </c>
      <c r="B925" s="1" t="s">
        <v>932</v>
      </c>
      <c r="C925" s="1">
        <v>5503.4101559999999</v>
      </c>
      <c r="D925" s="1">
        <v>5503.4101559999999</v>
      </c>
      <c r="E925" s="1">
        <v>5546.2998049999997</v>
      </c>
      <c r="F925" s="1">
        <v>5480.5400390000004</v>
      </c>
      <c r="G925" s="1">
        <v>5520.080078</v>
      </c>
      <c r="H925" s="1">
        <v>3521650000</v>
      </c>
      <c r="I925" s="1">
        <f t="shared" si="14"/>
        <v>-3.0180176213655515E-3</v>
      </c>
    </row>
    <row r="926" spans="1:9" x14ac:dyDescent="0.35">
      <c r="A926" s="1">
        <v>924</v>
      </c>
      <c r="B926" s="1" t="s">
        <v>933</v>
      </c>
      <c r="C926" s="1">
        <v>5408.419922</v>
      </c>
      <c r="D926" s="1">
        <v>5408.419922</v>
      </c>
      <c r="E926" s="1">
        <v>5522.4702150000003</v>
      </c>
      <c r="F926" s="1">
        <v>5402.6201170000004</v>
      </c>
      <c r="G926" s="1">
        <v>5507.330078</v>
      </c>
      <c r="H926" s="1">
        <v>3822800000</v>
      </c>
      <c r="I926" s="1">
        <f t="shared" si="14"/>
        <v>-1.726024979192917E-2</v>
      </c>
    </row>
    <row r="927" spans="1:9" x14ac:dyDescent="0.35">
      <c r="A927" s="1">
        <v>925</v>
      </c>
      <c r="B927" s="1" t="s">
        <v>934</v>
      </c>
      <c r="C927" s="1">
        <v>5471.0498049999997</v>
      </c>
      <c r="D927" s="1">
        <v>5471.0498049999997</v>
      </c>
      <c r="E927" s="1">
        <v>5484.2001950000003</v>
      </c>
      <c r="F927" s="1">
        <v>5434.4902339999999</v>
      </c>
      <c r="G927" s="1">
        <v>5442.0698240000002</v>
      </c>
      <c r="H927" s="1">
        <v>3825940000</v>
      </c>
      <c r="I927" s="1">
        <f t="shared" si="14"/>
        <v>1.1580070316884615E-2</v>
      </c>
    </row>
    <row r="928" spans="1:9" x14ac:dyDescent="0.35">
      <c r="A928" s="1">
        <v>926</v>
      </c>
      <c r="B928" s="1" t="s">
        <v>935</v>
      </c>
      <c r="C928" s="1">
        <v>5495.5200199999999</v>
      </c>
      <c r="D928" s="1">
        <v>5495.5200199999999</v>
      </c>
      <c r="E928" s="1">
        <v>5497.9101559999999</v>
      </c>
      <c r="F928" s="1">
        <v>5441.7202150000003</v>
      </c>
      <c r="G928" s="1">
        <v>5490.5097660000001</v>
      </c>
      <c r="H928" s="1">
        <v>3848180000</v>
      </c>
      <c r="I928" s="1">
        <f t="shared" si="14"/>
        <v>4.4726726811437391E-3</v>
      </c>
    </row>
    <row r="929" spans="1:9" x14ac:dyDescent="0.35">
      <c r="A929" s="1">
        <v>927</v>
      </c>
      <c r="B929" s="1" t="s">
        <v>936</v>
      </c>
      <c r="C929" s="1">
        <v>5554.1298829999996</v>
      </c>
      <c r="D929" s="1">
        <v>5554.1298829999996</v>
      </c>
      <c r="E929" s="1">
        <v>5560.4101559999999</v>
      </c>
      <c r="F929" s="1">
        <v>5406.9599609999996</v>
      </c>
      <c r="G929" s="1">
        <v>5496.419922</v>
      </c>
      <c r="H929" s="1">
        <v>3839450000</v>
      </c>
      <c r="I929" s="1">
        <f t="shared" si="14"/>
        <v>1.0665025836808738E-2</v>
      </c>
    </row>
    <row r="930" spans="1:9" x14ac:dyDescent="0.35">
      <c r="A930" s="1">
        <v>928</v>
      </c>
      <c r="B930" s="1" t="s">
        <v>937</v>
      </c>
      <c r="C930" s="1">
        <v>5595.7597660000001</v>
      </c>
      <c r="D930" s="1">
        <v>5595.7597660000001</v>
      </c>
      <c r="E930" s="1">
        <v>5600.7099609999996</v>
      </c>
      <c r="F930" s="1">
        <v>5535.5</v>
      </c>
      <c r="G930" s="1">
        <v>5557.4799800000001</v>
      </c>
      <c r="H930" s="1">
        <v>3655070000</v>
      </c>
      <c r="I930" s="1">
        <f t="shared" si="14"/>
        <v>7.495302392445064E-3</v>
      </c>
    </row>
    <row r="931" spans="1:9" x14ac:dyDescent="0.35">
      <c r="A931" s="1">
        <v>929</v>
      </c>
      <c r="B931" s="1" t="s">
        <v>938</v>
      </c>
      <c r="C931" s="1">
        <v>5626.0200199999999</v>
      </c>
      <c r="D931" s="1">
        <v>5626.0200199999999</v>
      </c>
      <c r="E931" s="1">
        <v>5636.2700199999999</v>
      </c>
      <c r="F931" s="1">
        <v>5601.6499020000001</v>
      </c>
      <c r="G931" s="1">
        <v>5603.3398440000001</v>
      </c>
      <c r="H931" s="1">
        <v>3500790000</v>
      </c>
      <c r="I931" s="1">
        <f t="shared" si="14"/>
        <v>5.4077114217558073E-3</v>
      </c>
    </row>
    <row r="932" spans="1:9" x14ac:dyDescent="0.35">
      <c r="A932" s="1">
        <v>930</v>
      </c>
      <c r="B932" s="1" t="s">
        <v>939</v>
      </c>
      <c r="C932" s="1">
        <v>5633.0898440000001</v>
      </c>
      <c r="D932" s="1">
        <v>5633.0898440000001</v>
      </c>
      <c r="E932" s="1">
        <v>5636.0498049999997</v>
      </c>
      <c r="F932" s="1">
        <v>5604.5297849999997</v>
      </c>
      <c r="G932" s="1">
        <v>5615.2099609999996</v>
      </c>
      <c r="H932" s="1">
        <v>3437070000</v>
      </c>
      <c r="I932" s="1">
        <f t="shared" si="14"/>
        <v>1.2566297266749067E-3</v>
      </c>
    </row>
    <row r="933" spans="1:9" x14ac:dyDescent="0.35">
      <c r="A933" s="1">
        <v>931</v>
      </c>
      <c r="B933" s="1" t="s">
        <v>940</v>
      </c>
      <c r="C933" s="1">
        <v>5634.580078</v>
      </c>
      <c r="D933" s="1">
        <v>5634.580078</v>
      </c>
      <c r="E933" s="1">
        <v>5670.8100590000004</v>
      </c>
      <c r="F933" s="1">
        <v>5614.0498049999997</v>
      </c>
      <c r="G933" s="1">
        <v>5655.5097660000001</v>
      </c>
      <c r="H933" s="1">
        <v>3443600000</v>
      </c>
      <c r="I933" s="1">
        <f t="shared" si="14"/>
        <v>2.6455001451595398E-4</v>
      </c>
    </row>
    <row r="934" spans="1:9" x14ac:dyDescent="0.35">
      <c r="A934" s="1">
        <v>932</v>
      </c>
      <c r="B934" s="1" t="s">
        <v>941</v>
      </c>
      <c r="C934" s="1">
        <v>5618.2597660000001</v>
      </c>
      <c r="D934" s="1">
        <v>5618.2597660000001</v>
      </c>
      <c r="E934" s="1">
        <v>5689.75</v>
      </c>
      <c r="F934" s="1">
        <v>5615.080078</v>
      </c>
      <c r="G934" s="1">
        <v>5641.6801759999998</v>
      </c>
      <c r="H934" s="1">
        <v>3691390000</v>
      </c>
      <c r="I934" s="1">
        <f t="shared" si="14"/>
        <v>-2.8964557738245405E-3</v>
      </c>
    </row>
    <row r="935" spans="1:9" x14ac:dyDescent="0.35">
      <c r="A935" s="1">
        <v>933</v>
      </c>
      <c r="B935" s="1" t="s">
        <v>942</v>
      </c>
      <c r="C935" s="1">
        <v>5713.6401370000003</v>
      </c>
      <c r="D935" s="1">
        <v>5713.6401370000003</v>
      </c>
      <c r="E935" s="1">
        <v>5733.5698240000002</v>
      </c>
      <c r="F935" s="1">
        <v>5686.419922</v>
      </c>
      <c r="G935" s="1">
        <v>5702.6298829999996</v>
      </c>
      <c r="H935" s="1">
        <v>4024530000</v>
      </c>
      <c r="I935" s="1">
        <f t="shared" si="14"/>
        <v>1.6976853148943594E-2</v>
      </c>
    </row>
    <row r="936" spans="1:9" x14ac:dyDescent="0.35">
      <c r="A936" s="1">
        <v>934</v>
      </c>
      <c r="B936" s="1" t="s">
        <v>943</v>
      </c>
      <c r="C936" s="1">
        <v>5702.5498049999997</v>
      </c>
      <c r="D936" s="1">
        <v>5702.5498049999997</v>
      </c>
      <c r="E936" s="1">
        <v>5715.1401370000003</v>
      </c>
      <c r="F936" s="1">
        <v>5674.4902339999999</v>
      </c>
      <c r="G936" s="1">
        <v>5709.6401370000003</v>
      </c>
      <c r="H936" s="1">
        <v>7867260000</v>
      </c>
      <c r="I936" s="1">
        <f t="shared" si="14"/>
        <v>-1.9410273895590058E-3</v>
      </c>
    </row>
    <row r="937" spans="1:9" x14ac:dyDescent="0.35">
      <c r="A937" s="1">
        <v>935</v>
      </c>
      <c r="B937" s="1" t="s">
        <v>944</v>
      </c>
      <c r="C937" s="1">
        <v>5718.5698240000002</v>
      </c>
      <c r="D937" s="1">
        <v>5718.5698240000002</v>
      </c>
      <c r="E937" s="1">
        <v>5725.3598629999997</v>
      </c>
      <c r="F937" s="1">
        <v>5704.2202150000003</v>
      </c>
      <c r="G937" s="1">
        <v>5711.8999020000001</v>
      </c>
      <c r="H937" s="1">
        <v>3529550000</v>
      </c>
      <c r="I937" s="1">
        <f t="shared" si="14"/>
        <v>2.8092729652188461E-3</v>
      </c>
    </row>
    <row r="938" spans="1:9" x14ac:dyDescent="0.35">
      <c r="A938" s="1">
        <v>936</v>
      </c>
      <c r="B938" s="1" t="s">
        <v>945</v>
      </c>
      <c r="C938" s="1">
        <v>5732.9301759999998</v>
      </c>
      <c r="D938" s="1">
        <v>5732.9301759999998</v>
      </c>
      <c r="E938" s="1">
        <v>5735.3198240000002</v>
      </c>
      <c r="F938" s="1">
        <v>5698.9902339999999</v>
      </c>
      <c r="G938" s="1">
        <v>5727.6601559999999</v>
      </c>
      <c r="H938" s="1">
        <v>3872710000</v>
      </c>
      <c r="I938" s="1">
        <f t="shared" si="14"/>
        <v>2.5111789209482762E-3</v>
      </c>
    </row>
    <row r="939" spans="1:9" x14ac:dyDescent="0.35">
      <c r="A939" s="1">
        <v>937</v>
      </c>
      <c r="B939" s="1" t="s">
        <v>946</v>
      </c>
      <c r="C939" s="1">
        <v>5722.2597660000001</v>
      </c>
      <c r="D939" s="1">
        <v>5722.2597660000001</v>
      </c>
      <c r="E939" s="1">
        <v>5741.0297849999997</v>
      </c>
      <c r="F939" s="1">
        <v>5712.0600590000004</v>
      </c>
      <c r="G939" s="1">
        <v>5733.6499020000001</v>
      </c>
      <c r="H939" s="1">
        <v>3624910000</v>
      </c>
      <c r="I939" s="1">
        <f t="shared" si="14"/>
        <v>-1.8612489028158226E-3</v>
      </c>
    </row>
    <row r="940" spans="1:9" x14ac:dyDescent="0.35">
      <c r="A940" s="1">
        <v>938</v>
      </c>
      <c r="B940" s="1" t="s">
        <v>947</v>
      </c>
      <c r="C940" s="1">
        <v>5745.3701170000004</v>
      </c>
      <c r="D940" s="1">
        <v>5745.3701170000004</v>
      </c>
      <c r="E940" s="1">
        <v>5767.3701170000004</v>
      </c>
      <c r="F940" s="1">
        <v>5721.0097660000001</v>
      </c>
      <c r="G940" s="1">
        <v>5762.2202150000003</v>
      </c>
      <c r="H940" s="1">
        <v>4391180000</v>
      </c>
      <c r="I940" s="1">
        <f t="shared" si="14"/>
        <v>4.0386756185581147E-3</v>
      </c>
    </row>
    <row r="941" spans="1:9" x14ac:dyDescent="0.35">
      <c r="A941" s="1">
        <v>939</v>
      </c>
      <c r="B941" s="1" t="s">
        <v>948</v>
      </c>
      <c r="C941" s="1">
        <v>5738.169922</v>
      </c>
      <c r="D941" s="1">
        <v>5738.169922</v>
      </c>
      <c r="E941" s="1">
        <v>5763.7797849999997</v>
      </c>
      <c r="F941" s="1">
        <v>5727.3398440000001</v>
      </c>
      <c r="G941" s="1">
        <v>5755.3598629999997</v>
      </c>
      <c r="H941" s="1">
        <v>3898530000</v>
      </c>
      <c r="I941" s="1">
        <f t="shared" si="14"/>
        <v>-1.2532169126399117E-3</v>
      </c>
    </row>
    <row r="942" spans="1:9" x14ac:dyDescent="0.35">
      <c r="A942" s="1">
        <v>940</v>
      </c>
      <c r="B942" s="1" t="s">
        <v>949</v>
      </c>
      <c r="C942" s="1">
        <v>5762.4799800000001</v>
      </c>
      <c r="D942" s="1">
        <v>5762.4799800000001</v>
      </c>
      <c r="E942" s="1">
        <v>5765.1401370000003</v>
      </c>
      <c r="F942" s="1">
        <v>5703.5297849999997</v>
      </c>
      <c r="G942" s="1">
        <v>5726.5200199999999</v>
      </c>
      <c r="H942" s="1">
        <v>4425730000</v>
      </c>
      <c r="I942" s="1">
        <f t="shared" si="14"/>
        <v>4.2365524776106526E-3</v>
      </c>
    </row>
    <row r="943" spans="1:9" x14ac:dyDescent="0.35">
      <c r="A943" s="1">
        <v>941</v>
      </c>
      <c r="B943" s="1" t="s">
        <v>950</v>
      </c>
      <c r="C943" s="1">
        <v>5708.75</v>
      </c>
      <c r="D943" s="1">
        <v>5708.75</v>
      </c>
      <c r="E943" s="1">
        <v>5757.7299800000001</v>
      </c>
      <c r="F943" s="1">
        <v>5681.2797849999997</v>
      </c>
      <c r="G943" s="1">
        <v>5757.7299800000001</v>
      </c>
      <c r="H943" s="1">
        <v>4025180000</v>
      </c>
      <c r="I943" s="1">
        <f t="shared" si="14"/>
        <v>-9.3241070140776556E-3</v>
      </c>
    </row>
    <row r="944" spans="1:9" x14ac:dyDescent="0.35">
      <c r="A944" s="1">
        <v>942</v>
      </c>
      <c r="B944" s="1" t="s">
        <v>951</v>
      </c>
      <c r="C944" s="1">
        <v>5709.5400390000004</v>
      </c>
      <c r="D944" s="1">
        <v>5709.5400390000004</v>
      </c>
      <c r="E944" s="1">
        <v>5719.6298829999996</v>
      </c>
      <c r="F944" s="1">
        <v>5674</v>
      </c>
      <c r="G944" s="1">
        <v>5698.1401370000003</v>
      </c>
      <c r="H944" s="1">
        <v>3829050000</v>
      </c>
      <c r="I944" s="1">
        <f t="shared" si="14"/>
        <v>1.3839089117590253E-4</v>
      </c>
    </row>
    <row r="945" spans="1:9" x14ac:dyDescent="0.35">
      <c r="A945" s="1">
        <v>943</v>
      </c>
      <c r="B945" s="1" t="s">
        <v>952</v>
      </c>
      <c r="C945" s="1">
        <v>5699.9399409999996</v>
      </c>
      <c r="D945" s="1">
        <v>5699.9399409999996</v>
      </c>
      <c r="E945" s="1">
        <v>5718.7797849999997</v>
      </c>
      <c r="F945" s="1">
        <v>5677.3701170000004</v>
      </c>
      <c r="G945" s="1">
        <v>5698.1899409999996</v>
      </c>
      <c r="H945" s="1">
        <v>3597450000</v>
      </c>
      <c r="I945" s="1">
        <f t="shared" si="14"/>
        <v>-1.6814135524798265E-3</v>
      </c>
    </row>
    <row r="946" spans="1:9" x14ac:dyDescent="0.35">
      <c r="A946" s="1">
        <v>944</v>
      </c>
      <c r="B946" s="1" t="s">
        <v>953</v>
      </c>
      <c r="C946" s="1">
        <v>5751.0698240000002</v>
      </c>
      <c r="D946" s="1">
        <v>5751.0698240000002</v>
      </c>
      <c r="E946" s="1">
        <v>5753.2099609999996</v>
      </c>
      <c r="F946" s="1">
        <v>5702.830078</v>
      </c>
      <c r="G946" s="1">
        <v>5737.4799800000001</v>
      </c>
      <c r="H946" s="1">
        <v>3479400000</v>
      </c>
      <c r="I946" s="1">
        <f t="shared" si="14"/>
        <v>8.9702494288089411E-3</v>
      </c>
    </row>
    <row r="947" spans="1:9" x14ac:dyDescent="0.35">
      <c r="A947" s="1">
        <v>945</v>
      </c>
      <c r="B947" s="1" t="s">
        <v>954</v>
      </c>
      <c r="C947" s="1">
        <v>5695.9399409999996</v>
      </c>
      <c r="D947" s="1">
        <v>5695.9399409999996</v>
      </c>
      <c r="E947" s="1">
        <v>5739.3398440000001</v>
      </c>
      <c r="F947" s="1">
        <v>5686.8500979999999</v>
      </c>
      <c r="G947" s="1">
        <v>5737.7998049999997</v>
      </c>
      <c r="H947" s="1">
        <v>3637790000</v>
      </c>
      <c r="I947" s="1">
        <f t="shared" si="14"/>
        <v>-9.5860221988500263E-3</v>
      </c>
    </row>
    <row r="948" spans="1:9" x14ac:dyDescent="0.35">
      <c r="A948" s="1">
        <v>946</v>
      </c>
      <c r="B948" s="1" t="s">
        <v>955</v>
      </c>
      <c r="C948" s="1">
        <v>5751.1298829999996</v>
      </c>
      <c r="D948" s="1">
        <v>5751.1298829999996</v>
      </c>
      <c r="E948" s="1">
        <v>5757.6000979999999</v>
      </c>
      <c r="F948" s="1">
        <v>5714.5600590000004</v>
      </c>
      <c r="G948" s="1">
        <v>5719.1401370000003</v>
      </c>
      <c r="H948" s="1">
        <v>3393400000</v>
      </c>
      <c r="I948" s="1">
        <f t="shared" si="14"/>
        <v>9.6893476005139607E-3</v>
      </c>
    </row>
    <row r="949" spans="1:9" x14ac:dyDescent="0.35">
      <c r="A949" s="1">
        <v>947</v>
      </c>
      <c r="B949" s="1" t="s">
        <v>956</v>
      </c>
      <c r="C949" s="1">
        <v>5792.0400390000004</v>
      </c>
      <c r="D949" s="1">
        <v>5792.0400390000004</v>
      </c>
      <c r="E949" s="1">
        <v>5796.7998049999997</v>
      </c>
      <c r="F949" s="1">
        <v>5745.0200199999999</v>
      </c>
      <c r="G949" s="1">
        <v>5751.7998049999997</v>
      </c>
      <c r="H949" s="1">
        <v>3650340000</v>
      </c>
      <c r="I949" s="1">
        <f t="shared" si="14"/>
        <v>7.1134119437867033E-3</v>
      </c>
    </row>
    <row r="950" spans="1:9" x14ac:dyDescent="0.35">
      <c r="A950" s="1">
        <v>948</v>
      </c>
      <c r="B950" s="1" t="s">
        <v>957</v>
      </c>
      <c r="C950" s="1">
        <v>5780.0498049999997</v>
      </c>
      <c r="D950" s="1">
        <v>5780.0498049999997</v>
      </c>
      <c r="E950" s="1">
        <v>5795.0297849999997</v>
      </c>
      <c r="F950" s="1">
        <v>5764.7597660000001</v>
      </c>
      <c r="G950" s="1">
        <v>5778.3598629999997</v>
      </c>
      <c r="H950" s="1">
        <v>3208790000</v>
      </c>
      <c r="I950" s="1">
        <f t="shared" si="14"/>
        <v>-2.0701227752684707E-3</v>
      </c>
    </row>
    <row r="951" spans="1:9" x14ac:dyDescent="0.35">
      <c r="A951" s="1">
        <v>949</v>
      </c>
      <c r="B951" s="1" t="s">
        <v>958</v>
      </c>
      <c r="C951" s="1">
        <v>5815.0297849999997</v>
      </c>
      <c r="D951" s="1">
        <v>5815.0297849999997</v>
      </c>
      <c r="E951" s="1">
        <v>5822.1298829999996</v>
      </c>
      <c r="F951" s="1">
        <v>5775.0898440000001</v>
      </c>
      <c r="G951" s="1">
        <v>5775.0898440000001</v>
      </c>
      <c r="H951" s="1">
        <v>3208720000</v>
      </c>
      <c r="I951" s="1">
        <f t="shared" si="14"/>
        <v>6.0518475065285482E-3</v>
      </c>
    </row>
    <row r="952" spans="1:9" x14ac:dyDescent="0.35">
      <c r="A952" s="1">
        <v>950</v>
      </c>
      <c r="B952" s="1" t="s">
        <v>959</v>
      </c>
      <c r="C952" s="1">
        <v>5859.8500979999999</v>
      </c>
      <c r="D952" s="1">
        <v>5859.8500979999999</v>
      </c>
      <c r="E952" s="1">
        <v>5871.4101559999999</v>
      </c>
      <c r="F952" s="1">
        <v>5829.5698240000002</v>
      </c>
      <c r="G952" s="1">
        <v>5829.8100590000004</v>
      </c>
      <c r="H952" s="1">
        <v>3005250000</v>
      </c>
      <c r="I952" s="1">
        <f t="shared" si="14"/>
        <v>7.7076669694134976E-3</v>
      </c>
    </row>
    <row r="953" spans="1:9" x14ac:dyDescent="0.35">
      <c r="A953" s="1">
        <v>951</v>
      </c>
      <c r="B953" s="1" t="s">
        <v>960</v>
      </c>
      <c r="C953" s="1">
        <v>5815.2597660000001</v>
      </c>
      <c r="D953" s="1">
        <v>5815.2597660000001</v>
      </c>
      <c r="E953" s="1">
        <v>5870.3598629999997</v>
      </c>
      <c r="F953" s="1">
        <v>5804.4799800000001</v>
      </c>
      <c r="G953" s="1">
        <v>5866.7402339999999</v>
      </c>
      <c r="H953" s="1">
        <v>3882120000</v>
      </c>
      <c r="I953" s="1">
        <f t="shared" si="14"/>
        <v>-7.6094663266588845E-3</v>
      </c>
    </row>
    <row r="954" spans="1:9" x14ac:dyDescent="0.35">
      <c r="A954" s="1">
        <v>952</v>
      </c>
      <c r="B954" s="1" t="s">
        <v>961</v>
      </c>
      <c r="C954" s="1">
        <v>5842.4702150000003</v>
      </c>
      <c r="D954" s="1">
        <v>5842.4702150000003</v>
      </c>
      <c r="E954" s="1">
        <v>5846.5200199999999</v>
      </c>
      <c r="F954" s="1">
        <v>5808.3398440000001</v>
      </c>
      <c r="G954" s="1">
        <v>5816.580078</v>
      </c>
      <c r="H954" s="1">
        <v>3467230000</v>
      </c>
      <c r="I954" s="1">
        <f t="shared" si="14"/>
        <v>4.6791459186554512E-3</v>
      </c>
    </row>
    <row r="955" spans="1:9" x14ac:dyDescent="0.35">
      <c r="A955" s="1">
        <v>953</v>
      </c>
      <c r="B955" s="1" t="s">
        <v>962</v>
      </c>
      <c r="C955" s="1">
        <v>5841.4702150000003</v>
      </c>
      <c r="D955" s="1">
        <v>5841.4702150000003</v>
      </c>
      <c r="E955" s="1">
        <v>5878.4599609999996</v>
      </c>
      <c r="F955" s="1">
        <v>5840.25</v>
      </c>
      <c r="G955" s="1">
        <v>5875.6201170000004</v>
      </c>
      <c r="H955" s="1">
        <v>3480010000</v>
      </c>
      <c r="I955" s="1">
        <f t="shared" si="14"/>
        <v>-1.7116047890712268E-4</v>
      </c>
    </row>
    <row r="956" spans="1:9" x14ac:dyDescent="0.35">
      <c r="A956" s="1">
        <v>954</v>
      </c>
      <c r="B956" s="1" t="s">
        <v>963</v>
      </c>
      <c r="C956" s="1">
        <v>5864.669922</v>
      </c>
      <c r="D956" s="1">
        <v>5864.669922</v>
      </c>
      <c r="E956" s="1">
        <v>5872.169922</v>
      </c>
      <c r="F956" s="1">
        <v>5846.1098629999997</v>
      </c>
      <c r="G956" s="1">
        <v>5859.4301759999998</v>
      </c>
      <c r="H956" s="1">
        <v>3374490000</v>
      </c>
      <c r="I956" s="1">
        <f t="shared" si="14"/>
        <v>3.971552733492755E-3</v>
      </c>
    </row>
    <row r="957" spans="1:9" x14ac:dyDescent="0.35">
      <c r="A957" s="1">
        <v>955</v>
      </c>
      <c r="B957" s="1" t="s">
        <v>964</v>
      </c>
      <c r="C957" s="1">
        <v>5853.9799800000001</v>
      </c>
      <c r="D957" s="1">
        <v>5853.9799800000001</v>
      </c>
      <c r="E957" s="1">
        <v>5866.919922</v>
      </c>
      <c r="F957" s="1">
        <v>5824.7900390000004</v>
      </c>
      <c r="G957" s="1">
        <v>5857.8198240000002</v>
      </c>
      <c r="H957" s="1">
        <v>3407010000</v>
      </c>
      <c r="I957" s="1">
        <f t="shared" si="14"/>
        <v>-1.8227695918399504E-3</v>
      </c>
    </row>
    <row r="958" spans="1:9" x14ac:dyDescent="0.35">
      <c r="A958" s="1">
        <v>956</v>
      </c>
      <c r="B958" s="1" t="s">
        <v>965</v>
      </c>
      <c r="C958" s="1">
        <v>5851.2001950000003</v>
      </c>
      <c r="D958" s="1">
        <v>5851.2001950000003</v>
      </c>
      <c r="E958" s="1">
        <v>5863.0400390000004</v>
      </c>
      <c r="F958" s="1">
        <v>5821.169922</v>
      </c>
      <c r="G958" s="1">
        <v>5832.7001950000003</v>
      </c>
      <c r="H958" s="1">
        <v>3342080000</v>
      </c>
      <c r="I958" s="1">
        <f t="shared" si="14"/>
        <v>-4.7485386173112939E-4</v>
      </c>
    </row>
    <row r="959" spans="1:9" x14ac:dyDescent="0.35">
      <c r="A959" s="1">
        <v>957</v>
      </c>
      <c r="B959" s="1" t="s">
        <v>966</v>
      </c>
      <c r="C959" s="1">
        <v>5797.419922</v>
      </c>
      <c r="D959" s="1">
        <v>5797.419922</v>
      </c>
      <c r="E959" s="1">
        <v>5834.8500979999999</v>
      </c>
      <c r="F959" s="1">
        <v>5762.4101559999999</v>
      </c>
      <c r="G959" s="1">
        <v>5834.5</v>
      </c>
      <c r="H959" s="1">
        <v>3532650000</v>
      </c>
      <c r="I959" s="1">
        <f t="shared" si="14"/>
        <v>-9.1913233537893515E-3</v>
      </c>
    </row>
    <row r="960" spans="1:9" x14ac:dyDescent="0.35">
      <c r="A960" s="1">
        <v>958</v>
      </c>
      <c r="B960" s="1" t="s">
        <v>967</v>
      </c>
      <c r="C960" s="1">
        <v>5809.8598629999997</v>
      </c>
      <c r="D960" s="1">
        <v>5809.8598629999997</v>
      </c>
      <c r="E960" s="1">
        <v>5817.7998049999997</v>
      </c>
      <c r="F960" s="1">
        <v>5784.919922</v>
      </c>
      <c r="G960" s="1">
        <v>5817.7998049999997</v>
      </c>
      <c r="H960" s="1">
        <v>3543030000</v>
      </c>
      <c r="I960" s="1">
        <f t="shared" si="14"/>
        <v>2.1457719412031292E-3</v>
      </c>
    </row>
    <row r="961" spans="1:9" x14ac:dyDescent="0.35">
      <c r="A961" s="1">
        <v>959</v>
      </c>
      <c r="B961" s="1" t="s">
        <v>968</v>
      </c>
      <c r="C961" s="1">
        <v>5808.1201170000004</v>
      </c>
      <c r="D961" s="1">
        <v>5808.1201170000004</v>
      </c>
      <c r="E961" s="1">
        <v>5862.8198240000002</v>
      </c>
      <c r="F961" s="1">
        <v>5799.9799800000001</v>
      </c>
      <c r="G961" s="1">
        <v>5826.75</v>
      </c>
      <c r="H961" s="1">
        <v>3501280000</v>
      </c>
      <c r="I961" s="1">
        <f t="shared" si="14"/>
        <v>-2.9944715380810318E-4</v>
      </c>
    </row>
    <row r="962" spans="1:9" x14ac:dyDescent="0.35">
      <c r="A962" s="1">
        <v>960</v>
      </c>
      <c r="B962" s="1" t="s">
        <v>969</v>
      </c>
      <c r="C962" s="1">
        <v>5823.5200199999999</v>
      </c>
      <c r="D962" s="1">
        <v>5823.5200199999999</v>
      </c>
      <c r="E962" s="1">
        <v>5842.919922</v>
      </c>
      <c r="F962" s="1">
        <v>5823.080078</v>
      </c>
      <c r="G962" s="1">
        <v>5833.9301759999998</v>
      </c>
      <c r="H962" s="1">
        <v>3691280000</v>
      </c>
      <c r="I962" s="1">
        <f t="shared" si="14"/>
        <v>2.6514436151079241E-3</v>
      </c>
    </row>
    <row r="963" spans="1:9" x14ac:dyDescent="0.35">
      <c r="A963" s="1">
        <v>961</v>
      </c>
      <c r="B963" s="1" t="s">
        <v>970</v>
      </c>
      <c r="C963" s="1">
        <v>5832.919922</v>
      </c>
      <c r="D963" s="1">
        <v>5832.919922</v>
      </c>
      <c r="E963" s="1">
        <v>5847.1899409999996</v>
      </c>
      <c r="F963" s="1">
        <v>5802.169922</v>
      </c>
      <c r="G963" s="1">
        <v>5819.6801759999998</v>
      </c>
      <c r="H963" s="1">
        <v>3879100000</v>
      </c>
      <c r="I963" s="1">
        <f t="shared" si="14"/>
        <v>1.6141271890055442E-3</v>
      </c>
    </row>
    <row r="964" spans="1:9" x14ac:dyDescent="0.35">
      <c r="A964" s="1">
        <v>962</v>
      </c>
      <c r="B964" s="1" t="s">
        <v>971</v>
      </c>
      <c r="C964" s="1">
        <v>5813.669922</v>
      </c>
      <c r="D964" s="1">
        <v>5813.669922</v>
      </c>
      <c r="E964" s="1">
        <v>5850.9399409999996</v>
      </c>
      <c r="F964" s="1">
        <v>5811.2797849999997</v>
      </c>
      <c r="G964" s="1">
        <v>5832.6499020000001</v>
      </c>
      <c r="H964" s="1">
        <v>3851120000</v>
      </c>
      <c r="I964" s="1">
        <f t="shared" ref="I964:I1027" si="15">(C964-C963)/C963</f>
        <v>-3.300233889272996E-3</v>
      </c>
    </row>
    <row r="965" spans="1:9" x14ac:dyDescent="0.35">
      <c r="A965" s="1">
        <v>963</v>
      </c>
      <c r="B965" s="1" t="s">
        <v>972</v>
      </c>
      <c r="C965" s="1">
        <v>5705.4501950000003</v>
      </c>
      <c r="D965" s="1">
        <v>5705.4501950000003</v>
      </c>
      <c r="E965" s="1">
        <v>5775.3398440000001</v>
      </c>
      <c r="F965" s="1">
        <v>5702.8598629999997</v>
      </c>
      <c r="G965" s="1">
        <v>5775.3398440000001</v>
      </c>
      <c r="H965" s="1">
        <v>4425660000</v>
      </c>
      <c r="I965" s="1">
        <f t="shared" si="15"/>
        <v>-1.8614700946552928E-2</v>
      </c>
    </row>
    <row r="966" spans="1:9" x14ac:dyDescent="0.35">
      <c r="A966" s="1">
        <v>964</v>
      </c>
      <c r="B966" s="1" t="s">
        <v>973</v>
      </c>
      <c r="C966" s="1">
        <v>5728.7998049999997</v>
      </c>
      <c r="D966" s="1">
        <v>5728.7998049999997</v>
      </c>
      <c r="E966" s="1">
        <v>5772.5200199999999</v>
      </c>
      <c r="F966" s="1">
        <v>5723.2202150000003</v>
      </c>
      <c r="G966" s="1">
        <v>5723.2202150000003</v>
      </c>
      <c r="H966" s="1">
        <v>3796450000</v>
      </c>
      <c r="I966" s="1">
        <f t="shared" si="15"/>
        <v>4.0925096533945471E-3</v>
      </c>
    </row>
    <row r="967" spans="1:9" x14ac:dyDescent="0.35">
      <c r="A967" s="1">
        <v>965</v>
      </c>
      <c r="B967" s="1" t="s">
        <v>974</v>
      </c>
      <c r="C967" s="1">
        <v>5712.6899409999996</v>
      </c>
      <c r="D967" s="1">
        <v>5712.6899409999996</v>
      </c>
      <c r="E967" s="1">
        <v>5741.4301759999998</v>
      </c>
      <c r="F967" s="1">
        <v>5696.5097660000001</v>
      </c>
      <c r="G967" s="1">
        <v>5725.1499020000001</v>
      </c>
      <c r="H967" s="1">
        <v>3602060000</v>
      </c>
      <c r="I967" s="1">
        <f t="shared" si="15"/>
        <v>-2.8120836036091886E-3</v>
      </c>
    </row>
    <row r="968" spans="1:9" x14ac:dyDescent="0.35">
      <c r="A968" s="1">
        <v>966</v>
      </c>
      <c r="B968" s="1" t="s">
        <v>975</v>
      </c>
      <c r="C968" s="1">
        <v>5782.7597660000001</v>
      </c>
      <c r="D968" s="1">
        <v>5782.7597660000001</v>
      </c>
      <c r="E968" s="1">
        <v>5783.4399409999996</v>
      </c>
      <c r="F968" s="1">
        <v>5722.1000979999999</v>
      </c>
      <c r="G968" s="1">
        <v>5722.4301759999998</v>
      </c>
      <c r="H968" s="1">
        <v>3768310000</v>
      </c>
      <c r="I968" s="1">
        <f t="shared" si="15"/>
        <v>1.2265644682920573E-2</v>
      </c>
    </row>
    <row r="969" spans="1:9" x14ac:dyDescent="0.35">
      <c r="A969" s="1">
        <v>967</v>
      </c>
      <c r="B969" s="1" t="s">
        <v>976</v>
      </c>
      <c r="C969" s="1">
        <v>5929.0400390000004</v>
      </c>
      <c r="D969" s="1">
        <v>5929.0400390000004</v>
      </c>
      <c r="E969" s="1">
        <v>5936.1401370000003</v>
      </c>
      <c r="F969" s="1">
        <v>5864.8901370000003</v>
      </c>
      <c r="G969" s="1">
        <v>5864.8901370000003</v>
      </c>
      <c r="H969" s="1">
        <v>6329530000</v>
      </c>
      <c r="I969" s="1">
        <f t="shared" si="15"/>
        <v>2.5295927709129789E-2</v>
      </c>
    </row>
    <row r="970" spans="1:9" x14ac:dyDescent="0.35">
      <c r="A970" s="1">
        <v>968</v>
      </c>
      <c r="B970" s="1" t="s">
        <v>977</v>
      </c>
      <c r="C970" s="1">
        <v>5973.1000979999999</v>
      </c>
      <c r="D970" s="1">
        <v>5973.1000979999999</v>
      </c>
      <c r="E970" s="1">
        <v>5983.8398440000001</v>
      </c>
      <c r="F970" s="1">
        <v>5947.2099609999996</v>
      </c>
      <c r="G970" s="1">
        <v>5947.2099609999996</v>
      </c>
      <c r="H970" s="1">
        <v>4925740000</v>
      </c>
      <c r="I970" s="1">
        <f t="shared" si="15"/>
        <v>7.4312297960852838E-3</v>
      </c>
    </row>
    <row r="971" spans="1:9" x14ac:dyDescent="0.35">
      <c r="A971" s="1">
        <v>969</v>
      </c>
      <c r="B971" s="1" t="s">
        <v>978</v>
      </c>
      <c r="C971" s="1">
        <v>5995.5400390000004</v>
      </c>
      <c r="D971" s="1">
        <v>5995.5400390000004</v>
      </c>
      <c r="E971" s="1">
        <v>6012.4501950000003</v>
      </c>
      <c r="F971" s="1">
        <v>5976.7597660000001</v>
      </c>
      <c r="G971" s="1">
        <v>5976.7597660000001</v>
      </c>
      <c r="H971" s="1">
        <v>4666740000</v>
      </c>
      <c r="I971" s="1">
        <f t="shared" si="15"/>
        <v>3.7568332410023082E-3</v>
      </c>
    </row>
    <row r="972" spans="1:9" x14ac:dyDescent="0.35">
      <c r="A972" s="1">
        <v>970</v>
      </c>
      <c r="B972" s="1" t="s">
        <v>979</v>
      </c>
      <c r="C972" s="1">
        <v>6001.3500979999999</v>
      </c>
      <c r="D972" s="1">
        <v>6001.3500979999999</v>
      </c>
      <c r="E972" s="1">
        <v>6017.3100590000004</v>
      </c>
      <c r="F972" s="1">
        <v>5986.6899409999996</v>
      </c>
      <c r="G972" s="1">
        <v>6008.8598629999997</v>
      </c>
      <c r="H972" s="1">
        <v>4333000000</v>
      </c>
      <c r="I972" s="1">
        <f t="shared" si="15"/>
        <v>9.6906349756752162E-4</v>
      </c>
    </row>
    <row r="973" spans="1:9" x14ac:dyDescent="0.35">
      <c r="A973" s="1">
        <v>971</v>
      </c>
      <c r="B973" s="1" t="s">
        <v>980</v>
      </c>
      <c r="C973" s="1">
        <v>5983.9902339999999</v>
      </c>
      <c r="D973" s="1">
        <v>5983.9902339999999</v>
      </c>
      <c r="E973" s="1">
        <v>6009.919922</v>
      </c>
      <c r="F973" s="1">
        <v>5960.080078</v>
      </c>
      <c r="G973" s="1">
        <v>6003.6000979999999</v>
      </c>
      <c r="H973" s="1">
        <v>4243400000</v>
      </c>
      <c r="I973" s="1">
        <f t="shared" si="15"/>
        <v>-2.8926597709714244E-3</v>
      </c>
    </row>
    <row r="974" spans="1:9" x14ac:dyDescent="0.35">
      <c r="A974" s="1">
        <v>972</v>
      </c>
      <c r="B974" s="1" t="s">
        <v>981</v>
      </c>
      <c r="C974" s="1">
        <v>5985.3798829999996</v>
      </c>
      <c r="D974" s="1">
        <v>5985.3798829999996</v>
      </c>
      <c r="E974" s="1">
        <v>6008.1899409999996</v>
      </c>
      <c r="F974" s="1">
        <v>5965.9101559999999</v>
      </c>
      <c r="G974" s="1">
        <v>5985.75</v>
      </c>
      <c r="H974" s="1">
        <v>4220180000</v>
      </c>
      <c r="I974" s="1">
        <f t="shared" si="15"/>
        <v>2.3222781883967488E-4</v>
      </c>
    </row>
    <row r="975" spans="1:9" x14ac:dyDescent="0.35">
      <c r="A975" s="1">
        <v>973</v>
      </c>
      <c r="B975" s="1" t="s">
        <v>982</v>
      </c>
      <c r="C975" s="1">
        <v>5949.169922</v>
      </c>
      <c r="D975" s="1">
        <v>5949.169922</v>
      </c>
      <c r="E975" s="1">
        <v>5993.8798829999996</v>
      </c>
      <c r="F975" s="1">
        <v>5942.2797849999997</v>
      </c>
      <c r="G975" s="1">
        <v>5989.6801759999998</v>
      </c>
      <c r="H975" s="1">
        <v>4184570000</v>
      </c>
      <c r="I975" s="1">
        <f t="shared" si="15"/>
        <v>-6.0497348051115453E-3</v>
      </c>
    </row>
    <row r="976" spans="1:9" x14ac:dyDescent="0.35">
      <c r="A976" s="1">
        <v>974</v>
      </c>
      <c r="B976" s="1" t="s">
        <v>983</v>
      </c>
      <c r="C976" s="1">
        <v>5870.6201170000004</v>
      </c>
      <c r="D976" s="1">
        <v>5870.6201170000004</v>
      </c>
      <c r="E976" s="1">
        <v>5915.3198240000002</v>
      </c>
      <c r="F976" s="1">
        <v>5853.0097660000001</v>
      </c>
      <c r="G976" s="1">
        <v>5912.7900390000004</v>
      </c>
      <c r="H976" s="1">
        <v>4590960000</v>
      </c>
      <c r="I976" s="1">
        <f t="shared" si="15"/>
        <v>-1.3203489903612078E-2</v>
      </c>
    </row>
    <row r="977" spans="1:9" x14ac:dyDescent="0.35">
      <c r="A977" s="1">
        <v>975</v>
      </c>
      <c r="B977" s="1" t="s">
        <v>984</v>
      </c>
      <c r="C977" s="1">
        <v>5893.6201170000004</v>
      </c>
      <c r="D977" s="1">
        <v>5893.6201170000004</v>
      </c>
      <c r="E977" s="1">
        <v>5908.1201170000004</v>
      </c>
      <c r="F977" s="1">
        <v>5865.9501950000003</v>
      </c>
      <c r="G977" s="1">
        <v>5874.169922</v>
      </c>
      <c r="H977" s="1">
        <v>3983860000</v>
      </c>
      <c r="I977" s="1">
        <f t="shared" si="15"/>
        <v>3.9178143946662731E-3</v>
      </c>
    </row>
    <row r="978" spans="1:9" x14ac:dyDescent="0.35">
      <c r="A978" s="1">
        <v>976</v>
      </c>
      <c r="B978" s="1" t="s">
        <v>985</v>
      </c>
      <c r="C978" s="1">
        <v>5916.9799800000001</v>
      </c>
      <c r="D978" s="1">
        <v>5916.9799800000001</v>
      </c>
      <c r="E978" s="1">
        <v>5923.5097660000001</v>
      </c>
      <c r="F978" s="1">
        <v>5855.2900390000004</v>
      </c>
      <c r="G978" s="1">
        <v>5870.0498049999997</v>
      </c>
      <c r="H978" s="1">
        <v>4036940000</v>
      </c>
      <c r="I978" s="1">
        <f t="shared" si="15"/>
        <v>3.9635847808749559E-3</v>
      </c>
    </row>
    <row r="979" spans="1:9" x14ac:dyDescent="0.35">
      <c r="A979" s="1">
        <v>977</v>
      </c>
      <c r="B979" s="1" t="s">
        <v>986</v>
      </c>
      <c r="C979" s="1">
        <v>5917.1098629999997</v>
      </c>
      <c r="D979" s="1">
        <v>5917.1098629999997</v>
      </c>
      <c r="E979" s="1">
        <v>5920.669922</v>
      </c>
      <c r="F979" s="1">
        <v>5860.5600590000004</v>
      </c>
      <c r="G979" s="1">
        <v>5914.3398440000001</v>
      </c>
      <c r="H979" s="1">
        <v>3772620000</v>
      </c>
      <c r="I979" s="1">
        <f t="shared" si="15"/>
        <v>2.1950893942285862E-5</v>
      </c>
    </row>
    <row r="980" spans="1:9" x14ac:dyDescent="0.35">
      <c r="A980" s="1">
        <v>978</v>
      </c>
      <c r="B980" s="1" t="s">
        <v>987</v>
      </c>
      <c r="C980" s="1">
        <v>5948.7099609999996</v>
      </c>
      <c r="D980" s="1">
        <v>5948.7099609999996</v>
      </c>
      <c r="E980" s="1">
        <v>5963.3198240000002</v>
      </c>
      <c r="F980" s="1">
        <v>5887.2597660000001</v>
      </c>
      <c r="G980" s="1">
        <v>5940.580078</v>
      </c>
      <c r="H980" s="1">
        <v>4230120000</v>
      </c>
      <c r="I980" s="1">
        <f t="shared" si="15"/>
        <v>5.340461598929736E-3</v>
      </c>
    </row>
    <row r="981" spans="1:9" x14ac:dyDescent="0.35">
      <c r="A981" s="1">
        <v>979</v>
      </c>
      <c r="B981" s="1" t="s">
        <v>988</v>
      </c>
      <c r="C981" s="1">
        <v>5969.3398440000001</v>
      </c>
      <c r="D981" s="1">
        <v>5969.3398440000001</v>
      </c>
      <c r="E981" s="1">
        <v>5972.8999020000001</v>
      </c>
      <c r="F981" s="1">
        <v>5944.3598629999997</v>
      </c>
      <c r="G981" s="1">
        <v>5944.3598629999997</v>
      </c>
      <c r="H981" s="1">
        <v>4141420000</v>
      </c>
      <c r="I981" s="1">
        <f t="shared" si="15"/>
        <v>3.4679591264746351E-3</v>
      </c>
    </row>
    <row r="982" spans="1:9" x14ac:dyDescent="0.35">
      <c r="A982" s="1">
        <v>980</v>
      </c>
      <c r="B982" s="1" t="s">
        <v>989</v>
      </c>
      <c r="C982" s="1">
        <v>5987.3701170000004</v>
      </c>
      <c r="D982" s="1">
        <v>5987.3701170000004</v>
      </c>
      <c r="E982" s="1">
        <v>6020.75</v>
      </c>
      <c r="F982" s="1">
        <v>5963.9101559999999</v>
      </c>
      <c r="G982" s="1">
        <v>5992.2797849999997</v>
      </c>
      <c r="H982" s="1">
        <v>5633150000</v>
      </c>
      <c r="I982" s="1">
        <f t="shared" si="15"/>
        <v>3.0204802325207178E-3</v>
      </c>
    </row>
    <row r="983" spans="1:9" x14ac:dyDescent="0.35">
      <c r="A983" s="1">
        <v>981</v>
      </c>
      <c r="B983" s="1" t="s">
        <v>990</v>
      </c>
      <c r="C983" s="1">
        <v>6021.6298829999996</v>
      </c>
      <c r="D983" s="1">
        <v>6021.6298829999996</v>
      </c>
      <c r="E983" s="1">
        <v>6025.419922</v>
      </c>
      <c r="F983" s="1">
        <v>5992.2700199999999</v>
      </c>
      <c r="G983" s="1">
        <v>6000.0297849999997</v>
      </c>
      <c r="H983" s="1">
        <v>3835170000</v>
      </c>
      <c r="I983" s="1">
        <f t="shared" si="15"/>
        <v>5.7220057104412367E-3</v>
      </c>
    </row>
    <row r="984" spans="1:9" x14ac:dyDescent="0.35">
      <c r="A984" s="1">
        <v>982</v>
      </c>
      <c r="B984" s="1" t="s">
        <v>991</v>
      </c>
      <c r="C984" s="1">
        <v>5998.7402339999999</v>
      </c>
      <c r="D984" s="1">
        <v>5998.7402339999999</v>
      </c>
      <c r="E984" s="1">
        <v>6020.1601559999999</v>
      </c>
      <c r="F984" s="1">
        <v>5984.8701170000004</v>
      </c>
      <c r="G984" s="1">
        <v>6014.1098629999997</v>
      </c>
      <c r="H984" s="1">
        <v>3363340000</v>
      </c>
      <c r="I984" s="1">
        <f t="shared" si="15"/>
        <v>-3.8012381107349002E-3</v>
      </c>
    </row>
    <row r="985" spans="1:9" x14ac:dyDescent="0.35">
      <c r="A985" s="1">
        <v>983</v>
      </c>
      <c r="B985" s="1" t="s">
        <v>992</v>
      </c>
      <c r="C985" s="1">
        <v>6032.3798829999996</v>
      </c>
      <c r="D985" s="1">
        <v>6032.3798829999996</v>
      </c>
      <c r="E985" s="1">
        <v>6044.169922</v>
      </c>
      <c r="F985" s="1">
        <v>6003.9799800000001</v>
      </c>
      <c r="G985" s="1">
        <v>6003.9799800000001</v>
      </c>
      <c r="H985" s="1">
        <v>2444420000</v>
      </c>
      <c r="I985" s="1">
        <f t="shared" si="15"/>
        <v>5.607785582935401E-3</v>
      </c>
    </row>
    <row r="986" spans="1:9" x14ac:dyDescent="0.35">
      <c r="A986" s="1">
        <v>984</v>
      </c>
      <c r="B986" s="1" t="s">
        <v>993</v>
      </c>
      <c r="C986" s="1">
        <v>6047.1499020000001</v>
      </c>
      <c r="D986" s="1">
        <v>6047.1499020000001</v>
      </c>
      <c r="E986" s="1">
        <v>6053.580078</v>
      </c>
      <c r="F986" s="1">
        <v>6035.330078</v>
      </c>
      <c r="G986" s="1">
        <v>6040.1098629999997</v>
      </c>
      <c r="H986" s="1">
        <v>4412470000</v>
      </c>
      <c r="I986" s="1">
        <f t="shared" si="15"/>
        <v>2.4484563781575265E-3</v>
      </c>
    </row>
    <row r="987" spans="1:9" x14ac:dyDescent="0.35">
      <c r="A987" s="1">
        <v>985</v>
      </c>
      <c r="B987" s="1" t="s">
        <v>994</v>
      </c>
      <c r="C987" s="1">
        <v>6049.8798829999996</v>
      </c>
      <c r="D987" s="1">
        <v>6049.8798829999996</v>
      </c>
      <c r="E987" s="1">
        <v>6052.0698240000002</v>
      </c>
      <c r="F987" s="1">
        <v>6033.3901370000003</v>
      </c>
      <c r="G987" s="1">
        <v>6042.9702150000003</v>
      </c>
      <c r="H987" s="1">
        <v>4095000000</v>
      </c>
      <c r="I987" s="1">
        <f t="shared" si="15"/>
        <v>4.5144920239146034E-4</v>
      </c>
    </row>
    <row r="988" spans="1:9" x14ac:dyDescent="0.35">
      <c r="A988" s="1">
        <v>986</v>
      </c>
      <c r="B988" s="1" t="s">
        <v>995</v>
      </c>
      <c r="C988" s="1">
        <v>6086.4902339999999</v>
      </c>
      <c r="D988" s="1">
        <v>6086.4902339999999</v>
      </c>
      <c r="E988" s="1">
        <v>6089.8398440000001</v>
      </c>
      <c r="F988" s="1">
        <v>6061.0600590000004</v>
      </c>
      <c r="G988" s="1">
        <v>6069.3901370000003</v>
      </c>
      <c r="H988" s="1">
        <v>4003390000</v>
      </c>
      <c r="I988" s="1">
        <f t="shared" si="15"/>
        <v>6.0514178311001461E-3</v>
      </c>
    </row>
    <row r="989" spans="1:9" x14ac:dyDescent="0.35">
      <c r="A989" s="1">
        <v>987</v>
      </c>
      <c r="B989" s="1" t="s">
        <v>996</v>
      </c>
      <c r="C989" s="1">
        <v>6075.1098629999997</v>
      </c>
      <c r="D989" s="1">
        <v>6075.1098629999997</v>
      </c>
      <c r="E989" s="1">
        <v>6094.5498049999997</v>
      </c>
      <c r="F989" s="1">
        <v>6072.8999020000001</v>
      </c>
      <c r="G989" s="1">
        <v>6089.0297849999997</v>
      </c>
      <c r="H989" s="1">
        <v>4212020000</v>
      </c>
      <c r="I989" s="1">
        <f t="shared" si="15"/>
        <v>-1.8697756116370359E-3</v>
      </c>
    </row>
    <row r="990" spans="1:9" x14ac:dyDescent="0.35">
      <c r="A990" s="1">
        <v>988</v>
      </c>
      <c r="B990" s="1" t="s">
        <v>997</v>
      </c>
      <c r="C990" s="1">
        <v>6090.2700199999999</v>
      </c>
      <c r="D990" s="1">
        <v>6090.2700199999999</v>
      </c>
      <c r="E990" s="1">
        <v>6099.9702150000003</v>
      </c>
      <c r="F990" s="1">
        <v>6079.9799800000001</v>
      </c>
      <c r="G990" s="1">
        <v>6081.3798829999996</v>
      </c>
      <c r="H990" s="1">
        <v>3924830000</v>
      </c>
      <c r="I990" s="1">
        <f t="shared" si="15"/>
        <v>2.4954539657516405E-3</v>
      </c>
    </row>
    <row r="991" spans="1:9" x14ac:dyDescent="0.35">
      <c r="A991" s="1">
        <v>989</v>
      </c>
      <c r="B991" s="1" t="s">
        <v>998</v>
      </c>
      <c r="C991" s="1">
        <v>6052.8500979999999</v>
      </c>
      <c r="D991" s="1">
        <v>6052.8500979999999</v>
      </c>
      <c r="E991" s="1">
        <v>6088.5097660000001</v>
      </c>
      <c r="F991" s="1">
        <v>6048.6298829999996</v>
      </c>
      <c r="G991" s="1">
        <v>6083.0097660000001</v>
      </c>
      <c r="H991" s="1">
        <v>4556460000</v>
      </c>
      <c r="I991" s="1">
        <f t="shared" si="15"/>
        <v>-6.1442139473481087E-3</v>
      </c>
    </row>
    <row r="992" spans="1:9" x14ac:dyDescent="0.35">
      <c r="A992" s="1">
        <v>990</v>
      </c>
      <c r="B992" s="1" t="s">
        <v>999</v>
      </c>
      <c r="C992" s="1">
        <v>6034.9101559999999</v>
      </c>
      <c r="D992" s="1">
        <v>6034.9101559999999</v>
      </c>
      <c r="E992" s="1">
        <v>6065.3999020000001</v>
      </c>
      <c r="F992" s="1">
        <v>6029.8901370000003</v>
      </c>
      <c r="G992" s="1">
        <v>6057.5898440000001</v>
      </c>
      <c r="H992" s="1">
        <v>4048410000</v>
      </c>
      <c r="I992" s="1">
        <f t="shared" si="15"/>
        <v>-2.9638834118703421E-3</v>
      </c>
    </row>
    <row r="993" spans="1:9" x14ac:dyDescent="0.35">
      <c r="A993" s="1">
        <v>991</v>
      </c>
      <c r="B993" s="1" t="s">
        <v>1000</v>
      </c>
      <c r="C993" s="1">
        <v>6084.1899409999996</v>
      </c>
      <c r="D993" s="1">
        <v>6084.1899409999996</v>
      </c>
      <c r="E993" s="1">
        <v>6092.5898440000001</v>
      </c>
      <c r="F993" s="1">
        <v>6060.1499020000001</v>
      </c>
      <c r="G993" s="1">
        <v>6060.1499020000001</v>
      </c>
      <c r="H993" s="1">
        <v>4269950000</v>
      </c>
      <c r="I993" s="1">
        <f t="shared" si="15"/>
        <v>8.1657860226808845E-3</v>
      </c>
    </row>
    <row r="994" spans="1:9" x14ac:dyDescent="0.35">
      <c r="A994" s="1">
        <v>992</v>
      </c>
      <c r="B994" s="1" t="s">
        <v>1001</v>
      </c>
      <c r="C994" s="1">
        <v>6051.25</v>
      </c>
      <c r="D994" s="1">
        <v>6051.25</v>
      </c>
      <c r="E994" s="1">
        <v>6079.6801759999998</v>
      </c>
      <c r="F994" s="1">
        <v>6051.25</v>
      </c>
      <c r="G994" s="1">
        <v>6074.2900390000004</v>
      </c>
      <c r="H994" s="1">
        <v>3678010000</v>
      </c>
      <c r="I994" s="1">
        <f t="shared" si="15"/>
        <v>-5.4140224614002792E-3</v>
      </c>
    </row>
    <row r="995" spans="1:9" x14ac:dyDescent="0.35">
      <c r="A995" s="1">
        <v>993</v>
      </c>
      <c r="B995" s="1" t="s">
        <v>1002</v>
      </c>
      <c r="C995" s="1">
        <v>6051.0898440000001</v>
      </c>
      <c r="D995" s="1">
        <v>6051.0898440000001</v>
      </c>
      <c r="E995" s="1">
        <v>6078.580078</v>
      </c>
      <c r="F995" s="1">
        <v>6035.7700199999999</v>
      </c>
      <c r="G995" s="1">
        <v>6068.169922</v>
      </c>
      <c r="H995" s="1">
        <v>3584960000</v>
      </c>
      <c r="I995" s="1">
        <f t="shared" si="15"/>
        <v>-2.6466597810355774E-5</v>
      </c>
    </row>
    <row r="996" spans="1:9" x14ac:dyDescent="0.35">
      <c r="A996" s="1">
        <v>994</v>
      </c>
      <c r="B996" s="1" t="s">
        <v>1003</v>
      </c>
      <c r="C996" s="1">
        <v>6074.080078</v>
      </c>
      <c r="D996" s="1">
        <v>6074.080078</v>
      </c>
      <c r="E996" s="1">
        <v>6085.1899409999996</v>
      </c>
      <c r="F996" s="1">
        <v>6059.1401370000003</v>
      </c>
      <c r="G996" s="1">
        <v>6063.7900390000004</v>
      </c>
      <c r="H996" s="1">
        <v>4391100000</v>
      </c>
      <c r="I996" s="1">
        <f t="shared" si="15"/>
        <v>3.7993542638928091E-3</v>
      </c>
    </row>
    <row r="997" spans="1:9" x14ac:dyDescent="0.35">
      <c r="A997" s="1">
        <v>995</v>
      </c>
      <c r="B997" s="1" t="s">
        <v>1004</v>
      </c>
      <c r="C997" s="1">
        <v>6050.6098629999997</v>
      </c>
      <c r="D997" s="1">
        <v>6050.6098629999997</v>
      </c>
      <c r="E997" s="1">
        <v>6057.6801759999998</v>
      </c>
      <c r="F997" s="1">
        <v>6035.1899409999996</v>
      </c>
      <c r="G997" s="1">
        <v>6052.5498049999997</v>
      </c>
      <c r="H997" s="1">
        <v>4544500000</v>
      </c>
      <c r="I997" s="1">
        <f t="shared" si="15"/>
        <v>-3.8639949916050944E-3</v>
      </c>
    </row>
    <row r="998" spans="1:9" x14ac:dyDescent="0.35">
      <c r="A998" s="1">
        <v>996</v>
      </c>
      <c r="B998" s="1" t="s">
        <v>1005</v>
      </c>
      <c r="C998" s="1">
        <v>5872.1601559999999</v>
      </c>
      <c r="D998" s="1">
        <v>5872.1601559999999</v>
      </c>
      <c r="E998" s="1">
        <v>6070.669922</v>
      </c>
      <c r="F998" s="1">
        <v>5867.7900390000004</v>
      </c>
      <c r="G998" s="1">
        <v>6047.6499020000001</v>
      </c>
      <c r="H998" s="1">
        <v>5246960000</v>
      </c>
      <c r="I998" s="1">
        <f t="shared" si="15"/>
        <v>-2.9492846347809513E-2</v>
      </c>
    </row>
    <row r="999" spans="1:9" x14ac:dyDescent="0.35">
      <c r="A999" s="1">
        <v>997</v>
      </c>
      <c r="B999" s="1" t="s">
        <v>1006</v>
      </c>
      <c r="C999" s="1">
        <v>5867.080078</v>
      </c>
      <c r="D999" s="1">
        <v>5867.080078</v>
      </c>
      <c r="E999" s="1">
        <v>5935.5200199999999</v>
      </c>
      <c r="F999" s="1">
        <v>5866.0698240000002</v>
      </c>
      <c r="G999" s="1">
        <v>5912.7099609999996</v>
      </c>
      <c r="H999" s="1">
        <v>4896880000</v>
      </c>
      <c r="I999" s="1">
        <f t="shared" si="15"/>
        <v>-8.6511230365699139E-4</v>
      </c>
    </row>
    <row r="1000" spans="1:9" x14ac:dyDescent="0.35">
      <c r="A1000" s="1">
        <v>998</v>
      </c>
      <c r="B1000" s="1" t="s">
        <v>1007</v>
      </c>
      <c r="C1000" s="1">
        <v>5930.8500979999999</v>
      </c>
      <c r="D1000" s="1">
        <v>5930.8500979999999</v>
      </c>
      <c r="E1000" s="1">
        <v>5982.0600590000004</v>
      </c>
      <c r="F1000" s="1">
        <v>5832.2998049999997</v>
      </c>
      <c r="G1000" s="1">
        <v>5842</v>
      </c>
      <c r="H1000" s="1">
        <v>8223220000</v>
      </c>
      <c r="I1000" s="1">
        <f t="shared" si="15"/>
        <v>1.0869123849037045E-2</v>
      </c>
    </row>
    <row r="1001" spans="1:9" x14ac:dyDescent="0.35">
      <c r="A1001" s="1">
        <v>999</v>
      </c>
      <c r="B1001" s="1" t="s">
        <v>1008</v>
      </c>
      <c r="C1001" s="1">
        <v>5974.0698240000002</v>
      </c>
      <c r="D1001" s="1">
        <v>5974.0698240000002</v>
      </c>
      <c r="E1001" s="1">
        <v>5978.25</v>
      </c>
      <c r="F1001" s="1">
        <v>5902.5698240000002</v>
      </c>
      <c r="G1001" s="1">
        <v>5940.25</v>
      </c>
      <c r="H1001" s="1">
        <v>3593280000</v>
      </c>
      <c r="I1001" s="1">
        <f t="shared" si="15"/>
        <v>7.2872733732681615E-3</v>
      </c>
    </row>
    <row r="1002" spans="1:9" x14ac:dyDescent="0.35">
      <c r="A1002" s="1">
        <v>1000</v>
      </c>
      <c r="B1002" s="1" t="s">
        <v>1009</v>
      </c>
      <c r="C1002" s="1">
        <v>6040.0400390000004</v>
      </c>
      <c r="D1002" s="1">
        <v>6040.0400390000004</v>
      </c>
      <c r="E1002" s="1">
        <v>6040.1000979999999</v>
      </c>
      <c r="F1002" s="1">
        <v>5981.4399409999996</v>
      </c>
      <c r="G1002" s="1">
        <v>5984.6298829999996</v>
      </c>
      <c r="H1002" s="1">
        <v>1757720000</v>
      </c>
      <c r="I1002" s="1">
        <f t="shared" si="15"/>
        <v>1.1042759281951151E-2</v>
      </c>
    </row>
    <row r="1003" spans="1:9" x14ac:dyDescent="0.35">
      <c r="A1003" s="1">
        <v>1001</v>
      </c>
      <c r="B1003" s="1" t="s">
        <v>1010</v>
      </c>
      <c r="C1003" s="1">
        <v>6037.5898440000001</v>
      </c>
      <c r="D1003" s="1">
        <v>6037.5898440000001</v>
      </c>
      <c r="E1003" s="1">
        <v>6049.75</v>
      </c>
      <c r="F1003" s="1">
        <v>6007.3701170000004</v>
      </c>
      <c r="G1003" s="1">
        <v>6024.9702150000003</v>
      </c>
      <c r="H1003" s="1">
        <v>2904530000</v>
      </c>
      <c r="I1003" s="1">
        <f t="shared" si="15"/>
        <v>-4.056587347401107E-4</v>
      </c>
    </row>
    <row r="1004" spans="1:9" x14ac:dyDescent="0.35">
      <c r="A1004" s="1">
        <v>1002</v>
      </c>
      <c r="B1004" s="1" t="s">
        <v>1011</v>
      </c>
      <c r="C1004" s="1">
        <v>5970.8398440000001</v>
      </c>
      <c r="D1004" s="1">
        <v>5970.8398440000001</v>
      </c>
      <c r="E1004" s="1">
        <v>6006.169922</v>
      </c>
      <c r="F1004" s="1">
        <v>5932.9501950000003</v>
      </c>
      <c r="G1004" s="1">
        <v>6006.169922</v>
      </c>
      <c r="H1004" s="1">
        <v>3159610000</v>
      </c>
      <c r="I1004" s="1">
        <f t="shared" si="15"/>
        <v>-1.1055736100777766E-2</v>
      </c>
    </row>
    <row r="1005" spans="1:9" x14ac:dyDescent="0.35">
      <c r="A1005" s="1">
        <v>1003</v>
      </c>
      <c r="B1005" s="1" t="s">
        <v>1012</v>
      </c>
      <c r="C1005" s="1">
        <v>5906.9399409999996</v>
      </c>
      <c r="D1005" s="1">
        <v>5906.9399409999996</v>
      </c>
      <c r="E1005" s="1">
        <v>5940.7900390000004</v>
      </c>
      <c r="F1005" s="1">
        <v>5869.1601559999999</v>
      </c>
      <c r="G1005" s="1">
        <v>5920.669922</v>
      </c>
      <c r="H1005" s="1">
        <v>3433250000</v>
      </c>
      <c r="I1005" s="1">
        <f t="shared" si="15"/>
        <v>-1.0701995811227867E-2</v>
      </c>
    </row>
    <row r="1006" spans="1:9" x14ac:dyDescent="0.35">
      <c r="A1006" s="1">
        <v>1004</v>
      </c>
      <c r="B1006" s="1" t="s">
        <v>1013</v>
      </c>
      <c r="C1006" s="1">
        <v>5881.6298829999996</v>
      </c>
      <c r="D1006" s="1">
        <v>5881.6298829999996</v>
      </c>
      <c r="E1006" s="1">
        <v>5929.7402339999999</v>
      </c>
      <c r="F1006" s="1">
        <v>5868.8598629999997</v>
      </c>
      <c r="G1006" s="1">
        <v>5919.7402339999999</v>
      </c>
      <c r="H1006" s="1">
        <v>3128350000</v>
      </c>
      <c r="I1006" s="1">
        <f t="shared" si="15"/>
        <v>-4.284800294704745E-3</v>
      </c>
    </row>
    <row r="1007" spans="1:9" x14ac:dyDescent="0.35">
      <c r="A1007" s="1">
        <v>1005</v>
      </c>
      <c r="B1007" s="1" t="s">
        <v>1014</v>
      </c>
      <c r="C1007" s="1">
        <v>5868.5498049999997</v>
      </c>
      <c r="D1007" s="1">
        <v>5868.5498049999997</v>
      </c>
      <c r="E1007" s="1">
        <v>5935.0898440000001</v>
      </c>
      <c r="F1007" s="1">
        <v>5829.5297849999997</v>
      </c>
      <c r="G1007" s="1">
        <v>5903.2597660000001</v>
      </c>
      <c r="H1007" s="1">
        <v>3621680000</v>
      </c>
      <c r="I1007" s="1">
        <f t="shared" si="15"/>
        <v>-2.2238866198986832E-3</v>
      </c>
    </row>
    <row r="1008" spans="1:9" x14ac:dyDescent="0.35">
      <c r="A1008" s="1">
        <v>1006</v>
      </c>
      <c r="B1008" s="1" t="s">
        <v>1015</v>
      </c>
      <c r="C1008" s="1">
        <v>5942.4702150000003</v>
      </c>
      <c r="D1008" s="1">
        <v>5942.4702150000003</v>
      </c>
      <c r="E1008" s="1">
        <v>5949.3398440000001</v>
      </c>
      <c r="F1008" s="1">
        <v>5888.6601559999999</v>
      </c>
      <c r="G1008" s="1">
        <v>5891.0698240000002</v>
      </c>
      <c r="H1008" s="1">
        <v>3667340000</v>
      </c>
      <c r="I1008" s="1">
        <f t="shared" si="15"/>
        <v>1.2596026694196323E-2</v>
      </c>
    </row>
    <row r="1009" spans="1:9" x14ac:dyDescent="0.35">
      <c r="A1009" s="1">
        <v>1007</v>
      </c>
      <c r="B1009" s="1" t="s">
        <v>1016</v>
      </c>
      <c r="C1009" s="1">
        <v>5975.3798829999996</v>
      </c>
      <c r="D1009" s="1">
        <v>5975.3798829999996</v>
      </c>
      <c r="E1009" s="1">
        <v>6021.0400390000004</v>
      </c>
      <c r="F1009" s="1">
        <v>5960.0097660000001</v>
      </c>
      <c r="G1009" s="1">
        <v>5982.8100590000004</v>
      </c>
      <c r="H1009" s="1">
        <v>4940120000</v>
      </c>
      <c r="I1009" s="1">
        <f t="shared" si="15"/>
        <v>5.5380450905632896E-3</v>
      </c>
    </row>
    <row r="1010" spans="1:9" x14ac:dyDescent="0.35">
      <c r="A1010" s="1">
        <v>1008</v>
      </c>
      <c r="B1010" s="1" t="s">
        <v>1017</v>
      </c>
      <c r="C1010" s="1">
        <v>5909.0297849999997</v>
      </c>
      <c r="D1010" s="1">
        <v>5909.0297849999997</v>
      </c>
      <c r="E1010" s="1">
        <v>6000.6801759999998</v>
      </c>
      <c r="F1010" s="1">
        <v>5890.6801759999998</v>
      </c>
      <c r="G1010" s="1">
        <v>5993.2597660000001</v>
      </c>
      <c r="H1010" s="1">
        <v>4517330000</v>
      </c>
      <c r="I1010" s="1">
        <f t="shared" si="15"/>
        <v>-1.1103912939287159E-2</v>
      </c>
    </row>
    <row r="1011" spans="1:9" x14ac:dyDescent="0.35">
      <c r="A1011" s="1">
        <v>1009</v>
      </c>
      <c r="B1011" s="1" t="s">
        <v>1018</v>
      </c>
      <c r="C1011" s="1">
        <v>5918.25</v>
      </c>
      <c r="D1011" s="1">
        <v>5918.25</v>
      </c>
      <c r="E1011" s="1">
        <v>5927.8901370000003</v>
      </c>
      <c r="F1011" s="1">
        <v>5874.7797849999997</v>
      </c>
      <c r="G1011" s="1">
        <v>5910.6601559999999</v>
      </c>
      <c r="H1011" s="1">
        <v>4441740000</v>
      </c>
      <c r="I1011" s="1">
        <f t="shared" si="15"/>
        <v>1.560360217409241E-3</v>
      </c>
    </row>
    <row r="1012" spans="1:9" x14ac:dyDescent="0.35">
      <c r="A1012" s="1">
        <v>1010</v>
      </c>
      <c r="B1012" s="1" t="s">
        <v>1019</v>
      </c>
      <c r="C1012" s="1">
        <v>5827.0400390000004</v>
      </c>
      <c r="D1012" s="1">
        <v>5827.0400390000004</v>
      </c>
      <c r="E1012" s="1">
        <v>5890.3500979999999</v>
      </c>
      <c r="F1012" s="1">
        <v>5807.7797849999997</v>
      </c>
      <c r="G1012" s="1">
        <v>5890.3500979999999</v>
      </c>
      <c r="H1012" s="1">
        <v>4751930000</v>
      </c>
      <c r="I1012" s="1">
        <f t="shared" si="15"/>
        <v>-1.5411643813627265E-2</v>
      </c>
    </row>
    <row r="1013" spans="1:9" x14ac:dyDescent="0.35">
      <c r="A1013" s="1">
        <v>1011</v>
      </c>
      <c r="B1013" s="1" t="s">
        <v>1020</v>
      </c>
      <c r="C1013" s="1">
        <v>5836.2202150000003</v>
      </c>
      <c r="D1013" s="1">
        <v>5836.2202150000003</v>
      </c>
      <c r="E1013" s="1">
        <v>5838.6098629999997</v>
      </c>
      <c r="F1013" s="1">
        <v>5773.3100590000004</v>
      </c>
      <c r="G1013" s="1">
        <v>5782.0200199999999</v>
      </c>
      <c r="H1013" s="1">
        <v>4421200000</v>
      </c>
      <c r="I1013" s="1">
        <f t="shared" si="15"/>
        <v>1.575444125758108E-3</v>
      </c>
    </row>
    <row r="1014" spans="1:9" x14ac:dyDescent="0.35">
      <c r="A1014" s="1">
        <v>1012</v>
      </c>
      <c r="B1014" s="1" t="s">
        <v>1021</v>
      </c>
      <c r="C1014" s="1">
        <v>5842.9101559999999</v>
      </c>
      <c r="D1014" s="1">
        <v>5842.9101559999999</v>
      </c>
      <c r="E1014" s="1">
        <v>5871.919922</v>
      </c>
      <c r="F1014" s="1">
        <v>5805.419922</v>
      </c>
      <c r="G1014" s="1">
        <v>5859.2700199999999</v>
      </c>
      <c r="H1014" s="1">
        <v>4142280000</v>
      </c>
      <c r="I1014" s="1">
        <f t="shared" si="15"/>
        <v>1.1462797416049242E-3</v>
      </c>
    </row>
    <row r="1015" spans="1:9" x14ac:dyDescent="0.35">
      <c r="A1015" s="1">
        <v>1013</v>
      </c>
      <c r="B1015" s="1" t="s">
        <v>1022</v>
      </c>
      <c r="C1015" s="1">
        <v>5949.9101559999999</v>
      </c>
      <c r="D1015" s="1">
        <v>5949.9101559999999</v>
      </c>
      <c r="E1015" s="1">
        <v>5960.6098629999997</v>
      </c>
      <c r="F1015" s="1">
        <v>5905.2099609999996</v>
      </c>
      <c r="G1015" s="1">
        <v>5905.2099609999996</v>
      </c>
      <c r="H1015" s="1">
        <v>4544570000</v>
      </c>
      <c r="I1015" s="1">
        <f t="shared" si="15"/>
        <v>1.8312792280422666E-2</v>
      </c>
    </row>
    <row r="1016" spans="1:9" x14ac:dyDescent="0.35">
      <c r="A1016" s="1">
        <v>1014</v>
      </c>
      <c r="B1016" s="1" t="s">
        <v>1023</v>
      </c>
      <c r="C1016" s="1">
        <v>5937.3398440000001</v>
      </c>
      <c r="D1016" s="1">
        <v>5937.3398440000001</v>
      </c>
      <c r="E1016" s="1">
        <v>5964.6899409999996</v>
      </c>
      <c r="F1016" s="1">
        <v>5930.7202150000003</v>
      </c>
      <c r="G1016" s="1">
        <v>5963.6098629999997</v>
      </c>
      <c r="H1016" s="1">
        <v>4285810000</v>
      </c>
      <c r="I1016" s="1">
        <f t="shared" si="15"/>
        <v>-2.1126893802461363E-3</v>
      </c>
    </row>
    <row r="1017" spans="1:9" x14ac:dyDescent="0.35">
      <c r="A1017" s="1">
        <v>1015</v>
      </c>
      <c r="B1017" s="1" t="s">
        <v>1024</v>
      </c>
      <c r="C1017" s="1">
        <v>5996.6601559999999</v>
      </c>
      <c r="D1017" s="1">
        <v>5996.6601559999999</v>
      </c>
      <c r="E1017" s="1">
        <v>6014.9599609999996</v>
      </c>
      <c r="F1017" s="1">
        <v>5978.4399409999996</v>
      </c>
      <c r="G1017" s="1">
        <v>5995.3999020000001</v>
      </c>
      <c r="H1017" s="1">
        <v>4366830000</v>
      </c>
      <c r="I1017" s="1">
        <f t="shared" si="15"/>
        <v>9.9910588847202646E-3</v>
      </c>
    </row>
    <row r="1018" spans="1:9" x14ac:dyDescent="0.35">
      <c r="A1018" s="1">
        <v>1016</v>
      </c>
      <c r="B1018" s="1" t="s">
        <v>1025</v>
      </c>
      <c r="C1018" s="1">
        <v>6049.2402339999999</v>
      </c>
      <c r="D1018" s="1">
        <v>6049.2402339999999</v>
      </c>
      <c r="E1018" s="1">
        <v>6051.5097660000001</v>
      </c>
      <c r="F1018" s="1">
        <v>6006.8798829999996</v>
      </c>
      <c r="G1018" s="1">
        <v>6014.1201170000004</v>
      </c>
      <c r="H1018" s="1">
        <v>4702920000</v>
      </c>
      <c r="I1018" s="1">
        <f t="shared" si="15"/>
        <v>8.7682270851034624E-3</v>
      </c>
    </row>
    <row r="1019" spans="1:9" x14ac:dyDescent="0.35">
      <c r="A1019" s="1">
        <v>1017</v>
      </c>
      <c r="B1019" s="1" t="s">
        <v>1026</v>
      </c>
      <c r="C1019" s="1">
        <v>6086.3701170000004</v>
      </c>
      <c r="D1019" s="1">
        <v>6086.3701170000004</v>
      </c>
      <c r="E1019" s="1">
        <v>6100.8100590000004</v>
      </c>
      <c r="F1019" s="1">
        <v>6076.1298829999996</v>
      </c>
      <c r="G1019" s="1">
        <v>6081.3901370000003</v>
      </c>
      <c r="H1019" s="1">
        <v>4323040000</v>
      </c>
      <c r="I1019" s="1">
        <f t="shared" si="15"/>
        <v>6.1379415536037905E-3</v>
      </c>
    </row>
    <row r="1020" spans="1:9" x14ac:dyDescent="0.35">
      <c r="A1020" s="1">
        <v>1018</v>
      </c>
      <c r="B1020" s="1" t="s">
        <v>1027</v>
      </c>
      <c r="C1020" s="1">
        <v>6118.7099609999996</v>
      </c>
      <c r="D1020" s="1">
        <v>6118.7099609999996</v>
      </c>
      <c r="E1020" s="1">
        <v>6118.7299800000001</v>
      </c>
      <c r="F1020" s="1">
        <v>6074.669922</v>
      </c>
      <c r="G1020" s="1">
        <v>6076.3198240000002</v>
      </c>
      <c r="H1020" s="1">
        <v>4432250000</v>
      </c>
      <c r="I1020" s="1">
        <f t="shared" si="15"/>
        <v>5.3134862616504219E-3</v>
      </c>
    </row>
    <row r="1021" spans="1:9" x14ac:dyDescent="0.35">
      <c r="A1021" s="1">
        <v>1019</v>
      </c>
      <c r="B1021" s="1" t="s">
        <v>1028</v>
      </c>
      <c r="C1021" s="1">
        <v>6101.2402339999999</v>
      </c>
      <c r="D1021" s="1">
        <v>6101.2402339999999</v>
      </c>
      <c r="E1021" s="1">
        <v>6128.1801759999998</v>
      </c>
      <c r="F1021" s="1">
        <v>6088.7402339999999</v>
      </c>
      <c r="G1021" s="1">
        <v>6121.4301759999998</v>
      </c>
      <c r="H1021" s="1">
        <v>4214250000</v>
      </c>
      <c r="I1021" s="1">
        <f t="shared" si="15"/>
        <v>-2.8551323908715819E-3</v>
      </c>
    </row>
    <row r="1022" spans="1:9" x14ac:dyDescent="0.35">
      <c r="A1022" s="1">
        <v>1020</v>
      </c>
      <c r="B1022" s="1" t="s">
        <v>1029</v>
      </c>
      <c r="C1022" s="1">
        <v>6012.2797849999997</v>
      </c>
      <c r="D1022" s="1">
        <v>6012.2797849999997</v>
      </c>
      <c r="E1022" s="1">
        <v>6017.169922</v>
      </c>
      <c r="F1022" s="1">
        <v>5962.919922</v>
      </c>
      <c r="G1022" s="1">
        <v>5969.0400390000004</v>
      </c>
      <c r="H1022" s="1">
        <v>5198750000</v>
      </c>
      <c r="I1022" s="1">
        <f t="shared" si="15"/>
        <v>-1.4580715655852367E-2</v>
      </c>
    </row>
    <row r="1023" spans="1:9" x14ac:dyDescent="0.35">
      <c r="A1023" s="1">
        <v>1021</v>
      </c>
      <c r="B1023" s="1" t="s">
        <v>1030</v>
      </c>
      <c r="C1023" s="1">
        <v>6067.7001950000003</v>
      </c>
      <c r="D1023" s="1">
        <v>6067.7001950000003</v>
      </c>
      <c r="E1023" s="1">
        <v>6074.5400390000004</v>
      </c>
      <c r="F1023" s="1">
        <v>5994.6298829999996</v>
      </c>
      <c r="G1023" s="1">
        <v>6026.9702150000003</v>
      </c>
      <c r="H1023" s="1">
        <v>4473640000</v>
      </c>
      <c r="I1023" s="1">
        <f t="shared" si="15"/>
        <v>9.217869424218858E-3</v>
      </c>
    </row>
    <row r="1024" spans="1:9" x14ac:dyDescent="0.35">
      <c r="A1024" s="1">
        <v>1022</v>
      </c>
      <c r="B1024" s="1" t="s">
        <v>1031</v>
      </c>
      <c r="C1024" s="1">
        <v>6039.3100590000004</v>
      </c>
      <c r="D1024" s="1">
        <v>6039.3100590000004</v>
      </c>
      <c r="E1024" s="1">
        <v>6062.830078</v>
      </c>
      <c r="F1024" s="1">
        <v>6012.9599609999996</v>
      </c>
      <c r="G1024" s="1">
        <v>6057.7001950000003</v>
      </c>
      <c r="H1024" s="1">
        <v>4115310000</v>
      </c>
      <c r="I1024" s="1">
        <f t="shared" si="15"/>
        <v>-4.6788956421074434E-3</v>
      </c>
    </row>
    <row r="1025" spans="1:9" x14ac:dyDescent="0.35">
      <c r="A1025" s="1">
        <v>1023</v>
      </c>
      <c r="B1025" s="1" t="s">
        <v>1032</v>
      </c>
      <c r="C1025" s="1">
        <v>6071.169922</v>
      </c>
      <c r="D1025" s="1">
        <v>6071.169922</v>
      </c>
      <c r="E1025" s="1">
        <v>6086.6401370000003</v>
      </c>
      <c r="F1025" s="1">
        <v>6027.4599609999996</v>
      </c>
      <c r="G1025" s="1">
        <v>6050.75</v>
      </c>
      <c r="H1025" s="1">
        <v>4634620000</v>
      </c>
      <c r="I1025" s="1">
        <f t="shared" si="15"/>
        <v>5.2754143583870058E-3</v>
      </c>
    </row>
    <row r="1026" spans="1:9" x14ac:dyDescent="0.35">
      <c r="A1026" s="1">
        <v>1024</v>
      </c>
      <c r="B1026" s="1" t="s">
        <v>1033</v>
      </c>
      <c r="C1026" s="1">
        <v>6040.5297849999997</v>
      </c>
      <c r="D1026" s="1">
        <v>6040.5297849999997</v>
      </c>
      <c r="E1026" s="1">
        <v>6120.9101559999999</v>
      </c>
      <c r="F1026" s="1">
        <v>6030.9301759999998</v>
      </c>
      <c r="G1026" s="1">
        <v>6096.7900390000004</v>
      </c>
      <c r="H1026" s="1">
        <v>4843770000</v>
      </c>
      <c r="I1026" s="1">
        <f t="shared" si="15"/>
        <v>-5.0468258002415904E-3</v>
      </c>
    </row>
    <row r="1027" spans="1:9" x14ac:dyDescent="0.35">
      <c r="A1027" s="1">
        <v>1025</v>
      </c>
      <c r="B1027" s="1" t="s">
        <v>1034</v>
      </c>
      <c r="C1027" s="1">
        <v>5994.5698240000002</v>
      </c>
      <c r="D1027" s="1">
        <v>5994.5698240000002</v>
      </c>
      <c r="E1027" s="1">
        <v>6022.1298829999996</v>
      </c>
      <c r="F1027" s="1">
        <v>5923.9301759999998</v>
      </c>
      <c r="G1027" s="1">
        <v>5969.6499020000001</v>
      </c>
      <c r="H1027" s="1">
        <v>4797210000</v>
      </c>
      <c r="I1027" s="1">
        <f t="shared" si="15"/>
        <v>-7.608597695210201E-3</v>
      </c>
    </row>
    <row r="1028" spans="1:9" x14ac:dyDescent="0.35">
      <c r="A1028" s="1">
        <v>1026</v>
      </c>
      <c r="B1028" s="1" t="s">
        <v>1035</v>
      </c>
      <c r="C1028" s="1">
        <v>6037.8798829999996</v>
      </c>
      <c r="D1028" s="1">
        <v>6037.8798829999996</v>
      </c>
      <c r="E1028" s="1">
        <v>6042.4799800000001</v>
      </c>
      <c r="F1028" s="1">
        <v>5990.8701170000004</v>
      </c>
      <c r="G1028" s="1">
        <v>5998.1401370000003</v>
      </c>
      <c r="H1028" s="1">
        <v>4410160000</v>
      </c>
      <c r="I1028" s="1">
        <f t="shared" ref="I1028:I1091" si="16">(C1028-C1027)/C1027</f>
        <v>7.2248818967129702E-3</v>
      </c>
    </row>
    <row r="1029" spans="1:9" x14ac:dyDescent="0.35">
      <c r="A1029" s="1">
        <v>1027</v>
      </c>
      <c r="B1029" s="1" t="s">
        <v>1036</v>
      </c>
      <c r="C1029" s="1">
        <v>6061.4799800000001</v>
      </c>
      <c r="D1029" s="1">
        <v>6061.4799800000001</v>
      </c>
      <c r="E1029" s="1">
        <v>6062.8598629999997</v>
      </c>
      <c r="F1029" s="1">
        <v>6007.0600590000004</v>
      </c>
      <c r="G1029" s="1">
        <v>6020.4501950000003</v>
      </c>
      <c r="H1029" s="1">
        <v>4756250000</v>
      </c>
      <c r="I1029" s="1">
        <f t="shared" si="16"/>
        <v>3.9086728218042065E-3</v>
      </c>
    </row>
    <row r="1030" spans="1:9" x14ac:dyDescent="0.35">
      <c r="A1030" s="1">
        <v>1028</v>
      </c>
      <c r="B1030" s="1" t="s">
        <v>1037</v>
      </c>
      <c r="C1030" s="1">
        <v>6083.5698240000002</v>
      </c>
      <c r="D1030" s="1">
        <v>6083.5698240000002</v>
      </c>
      <c r="E1030" s="1">
        <v>6084.0297849999997</v>
      </c>
      <c r="F1030" s="1">
        <v>6046.830078</v>
      </c>
      <c r="G1030" s="1">
        <v>6072.2202150000003</v>
      </c>
      <c r="H1030" s="1">
        <v>4847120000</v>
      </c>
      <c r="I1030" s="1">
        <f t="shared" si="16"/>
        <v>3.6442987641444103E-3</v>
      </c>
    </row>
    <row r="1031" spans="1:9" x14ac:dyDescent="0.35">
      <c r="A1031" s="1">
        <v>1029</v>
      </c>
      <c r="B1031" s="1" t="s">
        <v>1038</v>
      </c>
      <c r="C1031" s="1">
        <v>6025.9902339999999</v>
      </c>
      <c r="D1031" s="1">
        <v>6025.9902339999999</v>
      </c>
      <c r="E1031" s="1">
        <v>6101.2797849999997</v>
      </c>
      <c r="F1031" s="1">
        <v>6019.9599609999996</v>
      </c>
      <c r="G1031" s="1">
        <v>6083.1298829999996</v>
      </c>
      <c r="H1031" s="1">
        <v>4766900000</v>
      </c>
      <c r="I1031" s="1">
        <f t="shared" si="16"/>
        <v>-9.4647701375672223E-3</v>
      </c>
    </row>
    <row r="1032" spans="1:9" x14ac:dyDescent="0.35">
      <c r="A1032" s="1">
        <v>1030</v>
      </c>
      <c r="B1032" s="1" t="s">
        <v>1039</v>
      </c>
      <c r="C1032" s="1">
        <v>6066.4399409999996</v>
      </c>
      <c r="D1032" s="1">
        <v>6066.4399409999996</v>
      </c>
      <c r="E1032" s="1">
        <v>6073.3798829999996</v>
      </c>
      <c r="F1032" s="1">
        <v>6044.8398440000001</v>
      </c>
      <c r="G1032" s="1">
        <v>6046.3999020000001</v>
      </c>
      <c r="H1032" s="1">
        <v>4458760000</v>
      </c>
      <c r="I1032" s="1">
        <f t="shared" si="16"/>
        <v>6.712541081094584E-3</v>
      </c>
    </row>
    <row r="1033" spans="1:9" x14ac:dyDescent="0.35">
      <c r="A1033" s="1">
        <v>1031</v>
      </c>
      <c r="B1033" s="1" t="s">
        <v>1040</v>
      </c>
      <c r="C1033" s="1">
        <v>6068.5</v>
      </c>
      <c r="D1033" s="1">
        <v>6068.5</v>
      </c>
      <c r="E1033" s="1">
        <v>6076.2797849999997</v>
      </c>
      <c r="F1033" s="1">
        <v>6042.3398440000001</v>
      </c>
      <c r="G1033" s="1">
        <v>6049.3198240000002</v>
      </c>
      <c r="H1033" s="1">
        <v>4324880000</v>
      </c>
      <c r="I1033" s="1">
        <f t="shared" si="16"/>
        <v>3.3958285584885923E-4</v>
      </c>
    </row>
    <row r="1034" spans="1:9" x14ac:dyDescent="0.35">
      <c r="A1034" s="1">
        <v>1032</v>
      </c>
      <c r="B1034" s="1" t="s">
        <v>1041</v>
      </c>
      <c r="C1034" s="1">
        <v>6051.9702150000003</v>
      </c>
      <c r="D1034" s="1">
        <v>6051.9702150000003</v>
      </c>
      <c r="E1034" s="1">
        <v>6063</v>
      </c>
      <c r="F1034" s="1">
        <v>6003</v>
      </c>
      <c r="G1034" s="1">
        <v>6025.080078</v>
      </c>
      <c r="H1034" s="1">
        <v>4627960000</v>
      </c>
      <c r="I1034" s="1">
        <f t="shared" si="16"/>
        <v>-2.7238666886380027E-3</v>
      </c>
    </row>
    <row r="1035" spans="1:9" x14ac:dyDescent="0.35">
      <c r="A1035" s="1">
        <v>1033</v>
      </c>
      <c r="B1035" s="1" t="s">
        <v>1042</v>
      </c>
      <c r="C1035" s="1">
        <v>6115.0698240000002</v>
      </c>
      <c r="D1035" s="1">
        <v>6115.0698240000002</v>
      </c>
      <c r="E1035" s="1">
        <v>6116.9101559999999</v>
      </c>
      <c r="F1035" s="1">
        <v>6050.9501950000003</v>
      </c>
      <c r="G1035" s="1">
        <v>6060.5898440000001</v>
      </c>
      <c r="H1035" s="1">
        <v>4763800000</v>
      </c>
      <c r="I1035" s="1">
        <f t="shared" si="16"/>
        <v>1.0426292059998163E-2</v>
      </c>
    </row>
    <row r="1036" spans="1:9" x14ac:dyDescent="0.35">
      <c r="A1036" s="1">
        <v>1034</v>
      </c>
      <c r="B1036" s="1" t="s">
        <v>1043</v>
      </c>
      <c r="C1036" s="1">
        <v>6114.6298829999996</v>
      </c>
      <c r="D1036" s="1">
        <v>6114.6298829999996</v>
      </c>
      <c r="E1036" s="1">
        <v>6127.4702150000003</v>
      </c>
      <c r="F1036" s="1">
        <v>6107.6201170000004</v>
      </c>
      <c r="G1036" s="1">
        <v>6115.5200199999999</v>
      </c>
      <c r="H1036" s="1">
        <v>4335190000</v>
      </c>
      <c r="I1036" s="1">
        <f t="shared" si="16"/>
        <v>-7.1943741063085624E-5</v>
      </c>
    </row>
    <row r="1037" spans="1:9" x14ac:dyDescent="0.35">
      <c r="A1037" s="1">
        <v>1035</v>
      </c>
      <c r="B1037" s="1" t="s">
        <v>1044</v>
      </c>
      <c r="C1037" s="1">
        <v>6129.580078</v>
      </c>
      <c r="D1037" s="1">
        <v>6129.580078</v>
      </c>
      <c r="E1037" s="1">
        <v>6129.6298829999996</v>
      </c>
      <c r="F1037" s="1">
        <v>6099.5097660000001</v>
      </c>
      <c r="G1037" s="1">
        <v>6121.6000979999999</v>
      </c>
      <c r="H1037" s="1">
        <v>4684980000</v>
      </c>
      <c r="I1037" s="1">
        <f t="shared" si="16"/>
        <v>2.4449877238792721E-3</v>
      </c>
    </row>
    <row r="1038" spans="1:9" x14ac:dyDescent="0.35">
      <c r="A1038" s="1">
        <v>1036</v>
      </c>
      <c r="B1038" s="1" t="s">
        <v>1045</v>
      </c>
      <c r="C1038" s="1">
        <v>6144.1499020000001</v>
      </c>
      <c r="D1038" s="1">
        <v>6144.1499020000001</v>
      </c>
      <c r="E1038" s="1">
        <v>6147.4301759999998</v>
      </c>
      <c r="F1038" s="1">
        <v>6111.1499020000001</v>
      </c>
      <c r="G1038" s="1">
        <v>6117.7597660000001</v>
      </c>
      <c r="H1038" s="1">
        <v>4562330000</v>
      </c>
      <c r="I1038" s="1">
        <f t="shared" si="16"/>
        <v>2.3769693542781958E-3</v>
      </c>
    </row>
    <row r="1039" spans="1:9" x14ac:dyDescent="0.35">
      <c r="A1039" s="1">
        <v>1037</v>
      </c>
      <c r="B1039" s="1" t="s">
        <v>1046</v>
      </c>
      <c r="C1039" s="1">
        <v>6117.5200199999999</v>
      </c>
      <c r="D1039" s="1">
        <v>6117.5200199999999</v>
      </c>
      <c r="E1039" s="1">
        <v>6134.5</v>
      </c>
      <c r="F1039" s="1">
        <v>6084.5898440000001</v>
      </c>
      <c r="G1039" s="1">
        <v>6134.5</v>
      </c>
      <c r="H1039" s="1">
        <v>4813690000</v>
      </c>
      <c r="I1039" s="1">
        <f t="shared" si="16"/>
        <v>-4.3341849441745897E-3</v>
      </c>
    </row>
    <row r="1040" spans="1:9" x14ac:dyDescent="0.35">
      <c r="A1040" s="1">
        <v>1038</v>
      </c>
      <c r="B1040" s="1" t="s">
        <v>1047</v>
      </c>
      <c r="C1040" s="1">
        <v>6013.1298829999996</v>
      </c>
      <c r="D1040" s="1">
        <v>6013.1298829999996</v>
      </c>
      <c r="E1040" s="1">
        <v>6114.8198240000002</v>
      </c>
      <c r="F1040" s="1">
        <v>6008.5600590000004</v>
      </c>
      <c r="G1040" s="1">
        <v>6114.1000979999999</v>
      </c>
      <c r="H1040" s="1">
        <v>5434560000</v>
      </c>
      <c r="I1040" s="1">
        <f t="shared" si="16"/>
        <v>-1.7064126747230544E-2</v>
      </c>
    </row>
    <row r="1041" spans="1:9" x14ac:dyDescent="0.35">
      <c r="A1041" s="1">
        <v>1039</v>
      </c>
      <c r="B1041" s="1" t="s">
        <v>1048</v>
      </c>
      <c r="C1041" s="1">
        <v>5983.25</v>
      </c>
      <c r="D1041" s="1">
        <v>5983.25</v>
      </c>
      <c r="E1041" s="1">
        <v>6043.6499020000001</v>
      </c>
      <c r="F1041" s="1">
        <v>5977.830078</v>
      </c>
      <c r="G1041" s="1">
        <v>6026.6899409999996</v>
      </c>
      <c r="H1041" s="1">
        <v>4990120000</v>
      </c>
      <c r="I1041" s="1">
        <f t="shared" si="16"/>
        <v>-4.9691065354291481E-3</v>
      </c>
    </row>
    <row r="1042" spans="1:9" x14ac:dyDescent="0.35">
      <c r="A1042" s="1">
        <v>1040</v>
      </c>
      <c r="B1042" s="1" t="s">
        <v>1049</v>
      </c>
      <c r="C1042" s="1">
        <v>5955.25</v>
      </c>
      <c r="D1042" s="1">
        <v>5955.25</v>
      </c>
      <c r="E1042" s="1">
        <v>5992.6499020000001</v>
      </c>
      <c r="F1042" s="1">
        <v>5908.4902339999999</v>
      </c>
      <c r="G1042" s="1">
        <v>5982.7299800000001</v>
      </c>
      <c r="H1042" s="1">
        <v>5374690000</v>
      </c>
      <c r="I1042" s="1">
        <f t="shared" si="16"/>
        <v>-4.6797309154723602E-3</v>
      </c>
    </row>
    <row r="1043" spans="1:9" x14ac:dyDescent="0.35">
      <c r="A1043" s="1">
        <v>1041</v>
      </c>
      <c r="B1043" s="1" t="s">
        <v>1050</v>
      </c>
      <c r="C1043" s="1">
        <v>5956.0600590000004</v>
      </c>
      <c r="D1043" s="1">
        <v>5956.0600590000004</v>
      </c>
      <c r="E1043" s="1">
        <v>6009.8198240000002</v>
      </c>
      <c r="F1043" s="1">
        <v>5932.6899409999996</v>
      </c>
      <c r="G1043" s="1">
        <v>5970.8701170000004</v>
      </c>
      <c r="H1043" s="1">
        <v>4869580000</v>
      </c>
      <c r="I1043" s="1">
        <f t="shared" si="16"/>
        <v>1.3602434826419797E-4</v>
      </c>
    </row>
    <row r="1044" spans="1:9" x14ac:dyDescent="0.35">
      <c r="A1044" s="1">
        <v>1042</v>
      </c>
      <c r="B1044" s="1" t="s">
        <v>1051</v>
      </c>
      <c r="C1044" s="1">
        <v>5861.5698240000002</v>
      </c>
      <c r="D1044" s="1">
        <v>5861.5698240000002</v>
      </c>
      <c r="E1044" s="1">
        <v>5993.6899409999996</v>
      </c>
      <c r="F1044" s="1">
        <v>5858.7797849999997</v>
      </c>
      <c r="G1044" s="1">
        <v>5981.8798829999996</v>
      </c>
      <c r="H1044" s="1">
        <v>5057680000</v>
      </c>
      <c r="I1044" s="1">
        <f t="shared" si="16"/>
        <v>-1.5864553759362989E-2</v>
      </c>
    </row>
    <row r="1045" spans="1:9" x14ac:dyDescent="0.35">
      <c r="A1045" s="1">
        <v>1043</v>
      </c>
      <c r="B1045" s="1" t="s">
        <v>1052</v>
      </c>
      <c r="C1045" s="1">
        <v>5954.5</v>
      </c>
      <c r="D1045" s="1">
        <v>5954.5</v>
      </c>
      <c r="E1045" s="1">
        <v>5959.3999020000001</v>
      </c>
      <c r="F1045" s="1">
        <v>5837.6601559999999</v>
      </c>
      <c r="G1045" s="1">
        <v>5856.7402339999999</v>
      </c>
      <c r="H1045" s="1">
        <v>6441140000</v>
      </c>
      <c r="I1045" s="1">
        <f t="shared" si="16"/>
        <v>1.5854144672899806E-2</v>
      </c>
    </row>
    <row r="1046" spans="1:9" x14ac:dyDescent="0.35">
      <c r="A1046" s="1">
        <v>1044</v>
      </c>
      <c r="B1046" s="1" t="s">
        <v>1053</v>
      </c>
      <c r="C1046" s="1">
        <v>5849.7202150000003</v>
      </c>
      <c r="D1046" s="1">
        <v>5849.7202150000003</v>
      </c>
      <c r="E1046" s="1">
        <v>5986.0898440000001</v>
      </c>
      <c r="F1046" s="1">
        <v>5810.9101559999999</v>
      </c>
      <c r="G1046" s="1">
        <v>5968.330078</v>
      </c>
      <c r="H1046" s="1">
        <v>5613850000</v>
      </c>
      <c r="I1046" s="1">
        <f t="shared" si="16"/>
        <v>-1.7596739440759044E-2</v>
      </c>
    </row>
    <row r="1047" spans="1:9" x14ac:dyDescent="0.35">
      <c r="A1047" s="1">
        <v>1045</v>
      </c>
      <c r="B1047" s="1" t="s">
        <v>1054</v>
      </c>
      <c r="C1047" s="1">
        <v>5778.1499020000001</v>
      </c>
      <c r="D1047" s="1">
        <v>5778.1499020000001</v>
      </c>
      <c r="E1047" s="1">
        <v>5865.080078</v>
      </c>
      <c r="F1047" s="1">
        <v>5732.5898440000001</v>
      </c>
      <c r="G1047" s="1">
        <v>5811.9799800000001</v>
      </c>
      <c r="H1047" s="1">
        <v>6138110000</v>
      </c>
      <c r="I1047" s="1">
        <f t="shared" si="16"/>
        <v>-1.2234826687347844E-2</v>
      </c>
    </row>
    <row r="1048" spans="1:9" x14ac:dyDescent="0.35">
      <c r="A1048" s="1">
        <v>1046</v>
      </c>
      <c r="B1048" s="1" t="s">
        <v>1055</v>
      </c>
      <c r="C1048" s="1">
        <v>5842.6298829999996</v>
      </c>
      <c r="D1048" s="1">
        <v>5842.6298829999996</v>
      </c>
      <c r="E1048" s="1">
        <v>5860.5898440000001</v>
      </c>
      <c r="F1048" s="1">
        <v>5742.3500979999999</v>
      </c>
      <c r="G1048" s="1">
        <v>5781.3598629999997</v>
      </c>
      <c r="H1048" s="1">
        <v>5285970000</v>
      </c>
      <c r="I1048" s="1">
        <f t="shared" si="16"/>
        <v>1.1159277985792812E-2</v>
      </c>
    </row>
    <row r="1049" spans="1:9" x14ac:dyDescent="0.35">
      <c r="A1049" s="1">
        <v>1047</v>
      </c>
      <c r="B1049" s="1" t="s">
        <v>1056</v>
      </c>
      <c r="C1049" s="1">
        <v>5738.5200199999999</v>
      </c>
      <c r="D1049" s="1">
        <v>5738.5200199999999</v>
      </c>
      <c r="E1049" s="1">
        <v>5812.080078</v>
      </c>
      <c r="F1049" s="1">
        <v>5711.6401370000003</v>
      </c>
      <c r="G1049" s="1">
        <v>5785.8701170000004</v>
      </c>
      <c r="H1049" s="1">
        <v>5165080000</v>
      </c>
      <c r="I1049" s="1">
        <f t="shared" si="16"/>
        <v>-1.7819007037040428E-2</v>
      </c>
    </row>
    <row r="1050" spans="1:9" x14ac:dyDescent="0.35">
      <c r="A1050" s="1">
        <v>1048</v>
      </c>
      <c r="B1050" s="1" t="s">
        <v>1057</v>
      </c>
      <c r="C1050" s="1">
        <v>5770.2001950000003</v>
      </c>
      <c r="D1050" s="1">
        <v>5770.2001950000003</v>
      </c>
      <c r="E1050" s="1">
        <v>5783.0097660000001</v>
      </c>
      <c r="F1050" s="1">
        <v>5666.2900390000004</v>
      </c>
      <c r="G1050" s="1">
        <v>5726.0097660000001</v>
      </c>
      <c r="H1050" s="1">
        <v>5705140000</v>
      </c>
      <c r="I1050" s="1">
        <f t="shared" si="16"/>
        <v>5.5206176661557445E-3</v>
      </c>
    </row>
    <row r="1051" spans="1:9" x14ac:dyDescent="0.35">
      <c r="A1051" s="1">
        <v>1049</v>
      </c>
      <c r="B1051" s="1" t="s">
        <v>1058</v>
      </c>
      <c r="C1051" s="1">
        <v>5614.5600590000004</v>
      </c>
      <c r="D1051" s="1">
        <v>5614.5600590000004</v>
      </c>
      <c r="E1051" s="1">
        <v>5705.3701170000004</v>
      </c>
      <c r="F1051" s="1">
        <v>5564.0200199999999</v>
      </c>
      <c r="G1051" s="1">
        <v>5705.3701170000004</v>
      </c>
      <c r="H1051" s="1">
        <v>6409370000</v>
      </c>
      <c r="I1051" s="1">
        <f t="shared" si="16"/>
        <v>-2.6973091182324216E-2</v>
      </c>
    </row>
    <row r="1052" spans="1:9" x14ac:dyDescent="0.35">
      <c r="A1052" s="1">
        <v>1050</v>
      </c>
      <c r="B1052" s="1" t="s">
        <v>1059</v>
      </c>
      <c r="C1052" s="1">
        <v>5572.0698240000002</v>
      </c>
      <c r="D1052" s="1">
        <v>5572.0698240000002</v>
      </c>
      <c r="E1052" s="1">
        <v>5636.2998049999997</v>
      </c>
      <c r="F1052" s="1">
        <v>5528.4101559999999</v>
      </c>
      <c r="G1052" s="1">
        <v>5603.6499020000001</v>
      </c>
      <c r="H1052" s="1">
        <v>6221240000</v>
      </c>
      <c r="I1052" s="1">
        <f t="shared" si="16"/>
        <v>-7.5678654344233827E-3</v>
      </c>
    </row>
    <row r="1053" spans="1:9" x14ac:dyDescent="0.35">
      <c r="A1053" s="1">
        <v>1051</v>
      </c>
      <c r="B1053" s="1" t="s">
        <v>1060</v>
      </c>
      <c r="C1053" s="1">
        <v>5599.2998049999997</v>
      </c>
      <c r="D1053" s="1">
        <v>5599.2998049999997</v>
      </c>
      <c r="E1053" s="1">
        <v>5642.1899409999996</v>
      </c>
      <c r="F1053" s="1">
        <v>5546.0898440000001</v>
      </c>
      <c r="G1053" s="1">
        <v>5624.8398440000001</v>
      </c>
      <c r="H1053" s="1">
        <v>5219830000</v>
      </c>
      <c r="I1053" s="1">
        <f t="shared" si="16"/>
        <v>4.8868700249796969E-3</v>
      </c>
    </row>
    <row r="1054" spans="1:9" x14ac:dyDescent="0.35">
      <c r="A1054" s="1">
        <v>1052</v>
      </c>
      <c r="B1054" s="1" t="s">
        <v>1061</v>
      </c>
      <c r="C1054" s="1">
        <v>5521.5200199999999</v>
      </c>
      <c r="D1054" s="1">
        <v>5521.5200199999999</v>
      </c>
      <c r="E1054" s="1">
        <v>5597.7797849999997</v>
      </c>
      <c r="F1054" s="1">
        <v>5504.6499020000001</v>
      </c>
      <c r="G1054" s="1">
        <v>5594.4501950000003</v>
      </c>
      <c r="H1054" s="1">
        <v>5018980000</v>
      </c>
      <c r="I1054" s="1">
        <f t="shared" si="16"/>
        <v>-1.3890984178154705E-2</v>
      </c>
    </row>
    <row r="1055" spans="1:9" x14ac:dyDescent="0.35">
      <c r="A1055" s="1">
        <v>1053</v>
      </c>
      <c r="B1055" s="1" t="s">
        <v>1062</v>
      </c>
      <c r="C1055" s="1">
        <v>5638.9399409999996</v>
      </c>
      <c r="D1055" s="1">
        <v>5638.9399409999996</v>
      </c>
      <c r="E1055" s="1">
        <v>5645.2700199999999</v>
      </c>
      <c r="F1055" s="1">
        <v>5563.8500979999999</v>
      </c>
      <c r="G1055" s="1">
        <v>5563.8500979999999</v>
      </c>
      <c r="H1055" s="1">
        <v>4863180000</v>
      </c>
      <c r="I1055" s="1">
        <f t="shared" si="16"/>
        <v>2.1265868922811532E-2</v>
      </c>
    </row>
    <row r="1056" spans="1:9" x14ac:dyDescent="0.35">
      <c r="A1056" s="1">
        <v>1054</v>
      </c>
      <c r="B1056" s="1" t="s">
        <v>1063</v>
      </c>
      <c r="C1056" s="1">
        <v>5675.1201170000004</v>
      </c>
      <c r="D1056" s="1">
        <v>5675.1201170000004</v>
      </c>
      <c r="E1056" s="1">
        <v>5703.5200199999999</v>
      </c>
      <c r="F1056" s="1">
        <v>5631.1201170000004</v>
      </c>
      <c r="G1056" s="1">
        <v>5635.6000979999999</v>
      </c>
      <c r="H1056" s="1">
        <v>5031770000</v>
      </c>
      <c r="I1056" s="1">
        <f t="shared" si="16"/>
        <v>6.4161307583610527E-3</v>
      </c>
    </row>
    <row r="1057" spans="1:9" x14ac:dyDescent="0.35">
      <c r="A1057" s="1">
        <v>1055</v>
      </c>
      <c r="B1057" s="1" t="s">
        <v>1064</v>
      </c>
      <c r="C1057" s="1">
        <v>5614.6601559999999</v>
      </c>
      <c r="D1057" s="1">
        <v>5614.6601559999999</v>
      </c>
      <c r="E1057" s="1">
        <v>5654.5297849999997</v>
      </c>
      <c r="F1057" s="1">
        <v>5597.7597660000001</v>
      </c>
      <c r="G1057" s="1">
        <v>5654.5297849999997</v>
      </c>
      <c r="H1057" s="1">
        <v>4666270000</v>
      </c>
      <c r="I1057" s="1">
        <f t="shared" si="16"/>
        <v>-1.0653512129001598E-2</v>
      </c>
    </row>
    <row r="1058" spans="1:9" x14ac:dyDescent="0.35">
      <c r="A1058" s="1">
        <v>1056</v>
      </c>
      <c r="B1058" s="1" t="s">
        <v>1065</v>
      </c>
      <c r="C1058" s="1">
        <v>5675.2900390000004</v>
      </c>
      <c r="D1058" s="1">
        <v>5675.2900390000004</v>
      </c>
      <c r="E1058" s="1">
        <v>5715.330078</v>
      </c>
      <c r="F1058" s="1">
        <v>5622.2001950000003</v>
      </c>
      <c r="G1058" s="1">
        <v>5632.3701170000004</v>
      </c>
      <c r="H1058" s="1">
        <v>4660090000</v>
      </c>
      <c r="I1058" s="1">
        <f t="shared" si="16"/>
        <v>1.0798495601770224E-2</v>
      </c>
    </row>
    <row r="1059" spans="1:9" x14ac:dyDescent="0.35">
      <c r="A1059" s="1">
        <v>1057</v>
      </c>
      <c r="B1059" s="1" t="s">
        <v>1066</v>
      </c>
      <c r="C1059" s="1">
        <v>5662.8901370000003</v>
      </c>
      <c r="D1059" s="1">
        <v>5662.8901370000003</v>
      </c>
      <c r="E1059" s="1">
        <v>5711.1499020000001</v>
      </c>
      <c r="F1059" s="1">
        <v>5632.330078</v>
      </c>
      <c r="G1059" s="1">
        <v>5646.919922</v>
      </c>
      <c r="H1059" s="1">
        <v>4678420000</v>
      </c>
      <c r="I1059" s="1">
        <f t="shared" si="16"/>
        <v>-2.1848930917696329E-3</v>
      </c>
    </row>
    <row r="1060" spans="1:9" x14ac:dyDescent="0.35">
      <c r="A1060" s="1">
        <v>1058</v>
      </c>
      <c r="B1060" s="1" t="s">
        <v>1067</v>
      </c>
      <c r="C1060" s="1">
        <v>5667.5600590000004</v>
      </c>
      <c r="D1060" s="1">
        <v>5667.5600590000004</v>
      </c>
      <c r="E1060" s="1">
        <v>5670.8398440000001</v>
      </c>
      <c r="F1060" s="1">
        <v>5603.1000979999999</v>
      </c>
      <c r="G1060" s="1">
        <v>5630.7299800000001</v>
      </c>
      <c r="H1060" s="1">
        <v>9367460000</v>
      </c>
      <c r="I1060" s="1">
        <f t="shared" si="16"/>
        <v>8.2465346969877863E-4</v>
      </c>
    </row>
    <row r="1061" spans="1:9" x14ac:dyDescent="0.35">
      <c r="A1061" s="1">
        <v>1059</v>
      </c>
      <c r="B1061" s="1" t="s">
        <v>1068</v>
      </c>
      <c r="C1061" s="1">
        <v>5767.5698240000002</v>
      </c>
      <c r="D1061" s="1">
        <v>5767.5698240000002</v>
      </c>
      <c r="E1061" s="1">
        <v>5775.1401370000003</v>
      </c>
      <c r="F1061" s="1">
        <v>5718.080078</v>
      </c>
      <c r="G1061" s="1">
        <v>5718.080078</v>
      </c>
      <c r="H1061" s="1">
        <v>4517990000</v>
      </c>
      <c r="I1061" s="1">
        <f t="shared" si="16"/>
        <v>1.7646000035091959E-2</v>
      </c>
    </row>
    <row r="1062" spans="1:9" x14ac:dyDescent="0.35">
      <c r="A1062" s="1">
        <v>1060</v>
      </c>
      <c r="B1062" s="1" t="s">
        <v>1069</v>
      </c>
      <c r="C1062" s="1">
        <v>5776.6499020000001</v>
      </c>
      <c r="D1062" s="1">
        <v>5776.6499020000001</v>
      </c>
      <c r="E1062" s="1">
        <v>5786.9501950000003</v>
      </c>
      <c r="F1062" s="1">
        <v>5760.419922</v>
      </c>
      <c r="G1062" s="1">
        <v>5775.9599609999996</v>
      </c>
      <c r="H1062" s="1">
        <v>4467340000</v>
      </c>
      <c r="I1062" s="1">
        <f t="shared" si="16"/>
        <v>1.57433343281185E-3</v>
      </c>
    </row>
    <row r="1063" spans="1:9" x14ac:dyDescent="0.35">
      <c r="A1063" s="1">
        <v>1061</v>
      </c>
      <c r="B1063" s="1" t="s">
        <v>1070</v>
      </c>
      <c r="C1063" s="1">
        <v>5712.2001950000003</v>
      </c>
      <c r="D1063" s="1">
        <v>5712.2001950000003</v>
      </c>
      <c r="E1063" s="1">
        <v>5783.6201170000004</v>
      </c>
      <c r="F1063" s="1">
        <v>5694.4101559999999</v>
      </c>
      <c r="G1063" s="1">
        <v>5771.6601559999999</v>
      </c>
      <c r="H1063" s="1">
        <v>4183140000</v>
      </c>
      <c r="I1063" s="1">
        <f t="shared" si="16"/>
        <v>-1.1156934917881365E-2</v>
      </c>
    </row>
    <row r="1064" spans="1:9" x14ac:dyDescent="0.35">
      <c r="A1064" s="1">
        <v>1062</v>
      </c>
      <c r="B1064" s="1" t="s">
        <v>1071</v>
      </c>
      <c r="C1064" s="1">
        <v>5693.3100590000004</v>
      </c>
      <c r="D1064" s="1">
        <v>5693.3100590000004</v>
      </c>
      <c r="E1064" s="1">
        <v>5732.2797849999997</v>
      </c>
      <c r="F1064" s="1">
        <v>5670.9399409999996</v>
      </c>
      <c r="G1064" s="1">
        <v>5695.6401370000003</v>
      </c>
      <c r="H1064" s="1">
        <v>4403460000</v>
      </c>
      <c r="I1064" s="1">
        <f t="shared" si="16"/>
        <v>-3.3069807351175972E-3</v>
      </c>
    </row>
    <row r="1065" spans="1:9" x14ac:dyDescent="0.35">
      <c r="A1065" s="1">
        <v>1063</v>
      </c>
      <c r="B1065" s="1" t="s">
        <v>1072</v>
      </c>
      <c r="C1065" s="1">
        <v>5580.9399409999996</v>
      </c>
      <c r="D1065" s="1">
        <v>5580.9399409999996</v>
      </c>
      <c r="E1065" s="1">
        <v>5685.8901370000003</v>
      </c>
      <c r="F1065" s="1">
        <v>5572.419922</v>
      </c>
      <c r="G1065" s="1">
        <v>5679.2001950000003</v>
      </c>
      <c r="H1065" s="1">
        <v>4513330000</v>
      </c>
      <c r="I1065" s="1">
        <f t="shared" si="16"/>
        <v>-1.9737220849647165E-2</v>
      </c>
    </row>
    <row r="1066" spans="1:9" x14ac:dyDescent="0.35">
      <c r="A1066" s="1">
        <v>1064</v>
      </c>
      <c r="B1066" s="1" t="s">
        <v>1073</v>
      </c>
      <c r="C1066" s="1">
        <v>5611.8500979999999</v>
      </c>
      <c r="D1066" s="1">
        <v>5611.8500979999999</v>
      </c>
      <c r="E1066" s="1">
        <v>5627.5600590000004</v>
      </c>
      <c r="F1066" s="1">
        <v>5488.7299800000001</v>
      </c>
      <c r="G1066" s="1">
        <v>5527.9101559999999</v>
      </c>
      <c r="H1066" s="1">
        <v>5257250000</v>
      </c>
      <c r="I1066" s="1">
        <f t="shared" si="16"/>
        <v>5.5385217054426377E-3</v>
      </c>
    </row>
    <row r="1067" spans="1:9" x14ac:dyDescent="0.35">
      <c r="A1067" s="1">
        <v>1065</v>
      </c>
      <c r="B1067" s="1" t="s">
        <v>1074</v>
      </c>
      <c r="C1067" s="1">
        <v>5633.0698240000002</v>
      </c>
      <c r="D1067" s="1">
        <v>5633.0698240000002</v>
      </c>
      <c r="E1067" s="1">
        <v>5650.5698240000002</v>
      </c>
      <c r="F1067" s="1">
        <v>5558.5200199999999</v>
      </c>
      <c r="G1067" s="1">
        <v>5597.5297849999997</v>
      </c>
      <c r="H1067" s="1">
        <v>4434500000</v>
      </c>
      <c r="I1067" s="1">
        <f t="shared" si="16"/>
        <v>3.7812353554423587E-3</v>
      </c>
    </row>
    <row r="1068" spans="1:9" x14ac:dyDescent="0.35">
      <c r="A1068" s="1">
        <v>1066</v>
      </c>
      <c r="B1068" s="1" t="s">
        <v>1075</v>
      </c>
      <c r="C1068" s="1">
        <v>5670.9702150000003</v>
      </c>
      <c r="D1068" s="1">
        <v>5670.9702150000003</v>
      </c>
      <c r="E1068" s="1">
        <v>5695.3100590000004</v>
      </c>
      <c r="F1068" s="1">
        <v>5571.4799800000001</v>
      </c>
      <c r="G1068" s="1">
        <v>5580.7597660000001</v>
      </c>
      <c r="H1068" s="1">
        <v>4243830000</v>
      </c>
      <c r="I1068" s="1">
        <f t="shared" si="16"/>
        <v>6.7281947826251772E-3</v>
      </c>
    </row>
    <row r="1069" spans="1:9" x14ac:dyDescent="0.35">
      <c r="A1069" s="1">
        <v>1067</v>
      </c>
      <c r="B1069" s="1" t="s">
        <v>1076</v>
      </c>
      <c r="C1069" s="1">
        <v>5396.5200199999999</v>
      </c>
      <c r="D1069" s="1">
        <v>5396.5200199999999</v>
      </c>
      <c r="E1069" s="1">
        <v>5499.5297849999997</v>
      </c>
      <c r="F1069" s="1">
        <v>5390.830078</v>
      </c>
      <c r="G1069" s="1">
        <v>5492.7402339999999</v>
      </c>
      <c r="H1069" s="1">
        <v>7210470000</v>
      </c>
      <c r="I1069" s="1">
        <f t="shared" si="16"/>
        <v>-4.8395633303462929E-2</v>
      </c>
    </row>
    <row r="1070" spans="1:9" x14ac:dyDescent="0.35">
      <c r="A1070" s="1">
        <v>1068</v>
      </c>
      <c r="B1070" s="1" t="s">
        <v>1077</v>
      </c>
      <c r="C1070" s="1">
        <v>5074.080078</v>
      </c>
      <c r="D1070" s="1">
        <v>5074.080078</v>
      </c>
      <c r="E1070" s="1">
        <v>5292.1401370000003</v>
      </c>
      <c r="F1070" s="1">
        <v>5069.8999020000001</v>
      </c>
      <c r="G1070" s="1">
        <v>5292.1401370000003</v>
      </c>
      <c r="H1070" s="1">
        <v>8853500000</v>
      </c>
      <c r="I1070" s="1">
        <f t="shared" si="16"/>
        <v>-5.974960545036577E-2</v>
      </c>
    </row>
    <row r="1071" spans="1:9" x14ac:dyDescent="0.35">
      <c r="A1071" s="1">
        <v>1069</v>
      </c>
      <c r="B1071" s="1" t="s">
        <v>1078</v>
      </c>
      <c r="C1071" s="1">
        <v>5062.25</v>
      </c>
      <c r="D1071" s="1">
        <v>5062.25</v>
      </c>
      <c r="E1071" s="1">
        <v>5246.5698240000002</v>
      </c>
      <c r="F1071" s="1">
        <v>4835.0400390000004</v>
      </c>
      <c r="G1071" s="1">
        <v>4953.7900390000004</v>
      </c>
      <c r="H1071" s="1">
        <v>8691980000</v>
      </c>
      <c r="I1071" s="1">
        <f t="shared" si="16"/>
        <v>-2.3314724675498034E-3</v>
      </c>
    </row>
    <row r="1072" spans="1:9" x14ac:dyDescent="0.35">
      <c r="A1072" s="1">
        <v>1070</v>
      </c>
      <c r="B1072" s="1" t="s">
        <v>1079</v>
      </c>
      <c r="C1072" s="1">
        <v>4982.7700199999999</v>
      </c>
      <c r="D1072" s="1">
        <v>4982.7700199999999</v>
      </c>
      <c r="E1072" s="1">
        <v>5267.4702150000003</v>
      </c>
      <c r="F1072" s="1">
        <v>4910.419922</v>
      </c>
      <c r="G1072" s="1">
        <v>5193.5698240000002</v>
      </c>
      <c r="H1072" s="1">
        <v>7408140000</v>
      </c>
      <c r="I1072" s="1">
        <f t="shared" si="16"/>
        <v>-1.5700524470344229E-2</v>
      </c>
    </row>
    <row r="1073" spans="1:9" x14ac:dyDescent="0.35">
      <c r="A1073" s="1">
        <v>1071</v>
      </c>
      <c r="B1073" s="1" t="s">
        <v>1080</v>
      </c>
      <c r="C1073" s="1">
        <v>5456.8999020000001</v>
      </c>
      <c r="D1073" s="1">
        <v>5456.8999020000001</v>
      </c>
      <c r="E1073" s="1">
        <v>5481.3398440000001</v>
      </c>
      <c r="F1073" s="1">
        <v>4948.4301759999998</v>
      </c>
      <c r="G1073" s="1">
        <v>4965.2797849999997</v>
      </c>
      <c r="H1073" s="1">
        <v>9489600000</v>
      </c>
      <c r="I1073" s="1">
        <f t="shared" si="16"/>
        <v>9.5153876277035199E-2</v>
      </c>
    </row>
    <row r="1074" spans="1:9" x14ac:dyDescent="0.35">
      <c r="A1074" s="1">
        <v>1072</v>
      </c>
      <c r="B1074" s="1" t="s">
        <v>1081</v>
      </c>
      <c r="C1074" s="1">
        <v>5268.0498049999997</v>
      </c>
      <c r="D1074" s="1">
        <v>5268.0498049999997</v>
      </c>
      <c r="E1074" s="1">
        <v>5353.1499020000001</v>
      </c>
      <c r="F1074" s="1">
        <v>5115.2700199999999</v>
      </c>
      <c r="G1074" s="1">
        <v>5353.1499020000001</v>
      </c>
      <c r="H1074" s="1">
        <v>6677140000</v>
      </c>
      <c r="I1074" s="1">
        <f t="shared" si="16"/>
        <v>-3.4607579466646492E-2</v>
      </c>
    </row>
    <row r="1075" spans="1:9" x14ac:dyDescent="0.35">
      <c r="A1075" s="1">
        <v>1073</v>
      </c>
      <c r="B1075" s="1" t="s">
        <v>1082</v>
      </c>
      <c r="C1075" s="1">
        <v>5363.3598629999997</v>
      </c>
      <c r="D1075" s="1">
        <v>5363.3598629999997</v>
      </c>
      <c r="E1075" s="1">
        <v>5381.4599609999996</v>
      </c>
      <c r="F1075" s="1">
        <v>5220.7700199999999</v>
      </c>
      <c r="G1075" s="1">
        <v>5255.5600590000004</v>
      </c>
      <c r="H1075" s="1">
        <v>5602550000</v>
      </c>
      <c r="I1075" s="1">
        <f t="shared" si="16"/>
        <v>1.80920950879279E-2</v>
      </c>
    </row>
    <row r="1076" spans="1:9" x14ac:dyDescent="0.35">
      <c r="A1076" s="1">
        <v>1074</v>
      </c>
      <c r="B1076" s="1" t="s">
        <v>1083</v>
      </c>
      <c r="C1076" s="1">
        <v>5405.9702150000003</v>
      </c>
      <c r="D1076" s="1">
        <v>5405.9702150000003</v>
      </c>
      <c r="E1076" s="1">
        <v>5459.4599609999996</v>
      </c>
      <c r="F1076" s="1">
        <v>5358.0200199999999</v>
      </c>
      <c r="G1076" s="1">
        <v>5441.9599609999996</v>
      </c>
      <c r="H1076" s="1">
        <v>5031440000</v>
      </c>
      <c r="I1076" s="1">
        <f t="shared" si="16"/>
        <v>7.9447124728577265E-3</v>
      </c>
    </row>
    <row r="1077" spans="1:9" x14ac:dyDescent="0.35">
      <c r="A1077" s="1">
        <v>1075</v>
      </c>
      <c r="B1077" s="1" t="s">
        <v>1084</v>
      </c>
      <c r="C1077" s="1">
        <v>5396.6298829999996</v>
      </c>
      <c r="D1077" s="1">
        <v>5396.6298829999996</v>
      </c>
      <c r="E1077" s="1">
        <v>5450.4101559999999</v>
      </c>
      <c r="F1077" s="1">
        <v>5386.4399409999996</v>
      </c>
      <c r="G1077" s="1">
        <v>5411.9902339999999</v>
      </c>
      <c r="H1077" s="1">
        <v>4317110000</v>
      </c>
      <c r="I1077" s="1">
        <f t="shared" si="16"/>
        <v>-1.7277808845642467E-3</v>
      </c>
    </row>
    <row r="1078" spans="1:9" x14ac:dyDescent="0.35">
      <c r="A1078" s="1">
        <v>1076</v>
      </c>
      <c r="B1078" s="1" t="s">
        <v>1085</v>
      </c>
      <c r="C1078" s="1">
        <v>5275.7001950000003</v>
      </c>
      <c r="D1078" s="1">
        <v>5275.7001950000003</v>
      </c>
      <c r="E1078" s="1">
        <v>5367.2402339999999</v>
      </c>
      <c r="F1078" s="1">
        <v>5220.7900390000004</v>
      </c>
      <c r="G1078" s="1">
        <v>5335.75</v>
      </c>
      <c r="H1078" s="1">
        <v>4607750000</v>
      </c>
      <c r="I1078" s="1">
        <f t="shared" si="16"/>
        <v>-2.2408371635961471E-2</v>
      </c>
    </row>
    <row r="1079" spans="1:9" x14ac:dyDescent="0.35">
      <c r="A1079" s="1">
        <v>1077</v>
      </c>
      <c r="B1079" s="1" t="s">
        <v>1086</v>
      </c>
      <c r="C1079" s="1">
        <v>5282.7001950000003</v>
      </c>
      <c r="D1079" s="1">
        <v>5282.7001950000003</v>
      </c>
      <c r="E1079" s="1">
        <v>5328.3100590000004</v>
      </c>
      <c r="F1079" s="1">
        <v>5255.580078</v>
      </c>
      <c r="G1079" s="1">
        <v>5305.4501950000003</v>
      </c>
      <c r="H1079" s="1">
        <v>4714880000</v>
      </c>
      <c r="I1079" s="1">
        <f t="shared" si="16"/>
        <v>1.3268380956586937E-3</v>
      </c>
    </row>
    <row r="1080" spans="1:9" x14ac:dyDescent="0.35">
      <c r="A1080" s="1">
        <v>1078</v>
      </c>
      <c r="B1080" s="1" t="s">
        <v>1087</v>
      </c>
      <c r="C1080" s="1">
        <v>5158.2001950000003</v>
      </c>
      <c r="D1080" s="1">
        <v>5158.2001950000003</v>
      </c>
      <c r="E1080" s="1">
        <v>5232.9399409999996</v>
      </c>
      <c r="F1080" s="1">
        <v>5101.6298829999996</v>
      </c>
      <c r="G1080" s="1">
        <v>5232.9399409999996</v>
      </c>
      <c r="H1080" s="1">
        <v>4226340000</v>
      </c>
      <c r="I1080" s="1">
        <f t="shared" si="16"/>
        <v>-2.3567493025221733E-2</v>
      </c>
    </row>
    <row r="1081" spans="1:9" x14ac:dyDescent="0.35">
      <c r="A1081" s="1">
        <v>1079</v>
      </c>
      <c r="B1081" s="1" t="s">
        <v>1088</v>
      </c>
      <c r="C1081" s="1">
        <v>5287.7597660000001</v>
      </c>
      <c r="D1081" s="1">
        <v>5287.7597660000001</v>
      </c>
      <c r="E1081" s="1">
        <v>5309.6098629999997</v>
      </c>
      <c r="F1081" s="1">
        <v>5207.669922</v>
      </c>
      <c r="G1081" s="1">
        <v>5207.669922</v>
      </c>
      <c r="H1081" s="1">
        <v>4666950000</v>
      </c>
      <c r="I1081" s="1">
        <f t="shared" si="16"/>
        <v>2.5117204858699706E-2</v>
      </c>
    </row>
    <row r="1082" spans="1:9" x14ac:dyDescent="0.35">
      <c r="A1082" s="1">
        <v>1080</v>
      </c>
      <c r="B1082" s="1" t="s">
        <v>1089</v>
      </c>
      <c r="C1082" s="1">
        <v>5375.8598629999997</v>
      </c>
      <c r="D1082" s="1">
        <v>5375.8598629999997</v>
      </c>
      <c r="E1082" s="1">
        <v>5469.6899409999996</v>
      </c>
      <c r="F1082" s="1">
        <v>5356.169922</v>
      </c>
      <c r="G1082" s="1">
        <v>5395.919922</v>
      </c>
      <c r="H1082" s="1">
        <v>5371390000</v>
      </c>
      <c r="I1082" s="1">
        <f t="shared" si="16"/>
        <v>1.6661138345671119E-2</v>
      </c>
    </row>
    <row r="1083" spans="1:9" x14ac:dyDescent="0.35">
      <c r="A1083" s="1">
        <v>1081</v>
      </c>
      <c r="B1083" s="1" t="s">
        <v>1090</v>
      </c>
      <c r="C1083" s="1">
        <v>5484.7700199999999</v>
      </c>
      <c r="D1083" s="1">
        <v>5484.7700199999999</v>
      </c>
      <c r="E1083" s="1">
        <v>5489.3999020000001</v>
      </c>
      <c r="F1083" s="1">
        <v>5371.9599609999996</v>
      </c>
      <c r="G1083" s="1">
        <v>5381.3798829999996</v>
      </c>
      <c r="H1083" s="1">
        <v>4697710000</v>
      </c>
      <c r="I1083" s="1">
        <f t="shared" si="16"/>
        <v>2.025911384885374E-2</v>
      </c>
    </row>
    <row r="1084" spans="1:9" x14ac:dyDescent="0.35">
      <c r="A1084" s="1">
        <v>1082</v>
      </c>
      <c r="B1084" s="1" t="s">
        <v>1091</v>
      </c>
      <c r="C1084" s="1">
        <v>5525.2099609999996</v>
      </c>
      <c r="D1084" s="1">
        <v>5525.2099609999996</v>
      </c>
      <c r="E1084" s="1">
        <v>5528.1098629999997</v>
      </c>
      <c r="F1084" s="1">
        <v>5455.8598629999997</v>
      </c>
      <c r="G1084" s="1">
        <v>5489.7299800000001</v>
      </c>
      <c r="H1084" s="1">
        <v>4236580000</v>
      </c>
      <c r="I1084" s="1">
        <f t="shared" si="16"/>
        <v>7.3731333952995236E-3</v>
      </c>
    </row>
    <row r="1085" spans="1:9" x14ac:dyDescent="0.35">
      <c r="A1085" s="1">
        <v>1083</v>
      </c>
      <c r="B1085" s="1" t="s">
        <v>1092</v>
      </c>
      <c r="C1085" s="1">
        <v>5528.75</v>
      </c>
      <c r="D1085" s="1">
        <v>5528.75</v>
      </c>
      <c r="E1085" s="1">
        <v>5553.6601559999999</v>
      </c>
      <c r="F1085" s="1">
        <v>5468.6401370000003</v>
      </c>
      <c r="G1085" s="1">
        <v>5529.2202150000003</v>
      </c>
      <c r="H1085" s="1">
        <v>4257880000</v>
      </c>
      <c r="I1085" s="1">
        <f t="shared" si="16"/>
        <v>6.4070669259412669E-4</v>
      </c>
    </row>
    <row r="1086" spans="1:9" x14ac:dyDescent="0.35">
      <c r="A1086" s="1">
        <v>1084</v>
      </c>
      <c r="B1086" s="1" t="s">
        <v>1093</v>
      </c>
      <c r="C1086" s="1">
        <v>5560.830078</v>
      </c>
      <c r="D1086" s="1">
        <v>5560.830078</v>
      </c>
      <c r="E1086" s="1">
        <v>5571.9501950000003</v>
      </c>
      <c r="F1086" s="1">
        <v>5505.7001950000003</v>
      </c>
      <c r="G1086" s="1">
        <v>5508.8701170000004</v>
      </c>
      <c r="H1086" s="1">
        <v>4747150000</v>
      </c>
      <c r="I1086" s="1">
        <f t="shared" si="16"/>
        <v>5.8024106714899314E-3</v>
      </c>
    </row>
    <row r="1087" spans="1:9" x14ac:dyDescent="0.35">
      <c r="A1087" s="1">
        <v>1085</v>
      </c>
      <c r="B1087" s="1" t="s">
        <v>1094</v>
      </c>
      <c r="C1087" s="1">
        <v>5569.0600590000004</v>
      </c>
      <c r="D1087" s="1">
        <v>5569.0600590000004</v>
      </c>
      <c r="E1087" s="1">
        <v>5581.8398440000001</v>
      </c>
      <c r="F1087" s="1">
        <v>5433.2402339999999</v>
      </c>
      <c r="G1087" s="1">
        <v>5499.4399409999996</v>
      </c>
      <c r="H1087" s="1">
        <v>5449490000</v>
      </c>
      <c r="I1087" s="1">
        <f t="shared" si="16"/>
        <v>1.4799914553332999E-3</v>
      </c>
    </row>
    <row r="1088" spans="1:9" x14ac:dyDescent="0.35">
      <c r="A1088" s="1">
        <v>1086</v>
      </c>
      <c r="B1088" s="1" t="s">
        <v>1095</v>
      </c>
      <c r="C1088" s="1">
        <v>5604.1401370000003</v>
      </c>
      <c r="D1088" s="1">
        <v>5604.1401370000003</v>
      </c>
      <c r="E1088" s="1">
        <v>5658.9101559999999</v>
      </c>
      <c r="F1088" s="1">
        <v>5597.3500979999999</v>
      </c>
      <c r="G1088" s="1">
        <v>5625.1401370000003</v>
      </c>
      <c r="H1088" s="1">
        <v>4935270000</v>
      </c>
      <c r="I1088" s="1">
        <f t="shared" si="16"/>
        <v>6.2991021156807306E-3</v>
      </c>
    </row>
    <row r="1089" spans="1:9" x14ac:dyDescent="0.35">
      <c r="A1089" s="1">
        <v>1087</v>
      </c>
      <c r="B1089" s="1" t="s">
        <v>1096</v>
      </c>
      <c r="C1089" s="1">
        <v>5686.669922</v>
      </c>
      <c r="D1089" s="1">
        <v>5686.669922</v>
      </c>
      <c r="E1089" s="1">
        <v>5700.7001950000003</v>
      </c>
      <c r="F1089" s="1">
        <v>5642.2797849999997</v>
      </c>
      <c r="G1089" s="1">
        <v>5645.8798829999996</v>
      </c>
      <c r="H1089" s="1">
        <v>4854380000</v>
      </c>
      <c r="I1089" s="1">
        <f t="shared" si="16"/>
        <v>1.4726574101014439E-2</v>
      </c>
    </row>
    <row r="1090" spans="1:9" x14ac:dyDescent="0.35">
      <c r="A1090" s="1">
        <v>1088</v>
      </c>
      <c r="B1090" s="1" t="s">
        <v>1097</v>
      </c>
      <c r="C1090" s="1">
        <v>5650.3798829999996</v>
      </c>
      <c r="D1090" s="1">
        <v>5650.3798829999996</v>
      </c>
      <c r="E1090" s="1">
        <v>5683.3798829999996</v>
      </c>
      <c r="F1090" s="1">
        <v>5634.4799800000001</v>
      </c>
      <c r="G1090" s="1">
        <v>5655.3198240000002</v>
      </c>
      <c r="H1090" s="1">
        <v>4358260000</v>
      </c>
      <c r="I1090" s="1">
        <f t="shared" si="16"/>
        <v>-6.3815975778030104E-3</v>
      </c>
    </row>
    <row r="1091" spans="1:9" x14ac:dyDescent="0.35">
      <c r="A1091" s="1">
        <v>1089</v>
      </c>
      <c r="B1091" s="1" t="s">
        <v>1098</v>
      </c>
      <c r="C1091" s="1">
        <v>5606.9101559999999</v>
      </c>
      <c r="D1091" s="1">
        <v>5606.9101559999999</v>
      </c>
      <c r="E1091" s="1">
        <v>5649.580078</v>
      </c>
      <c r="F1091" s="1">
        <v>5586.0400390000004</v>
      </c>
      <c r="G1091" s="1">
        <v>5605.8701170000004</v>
      </c>
      <c r="H1091" s="1">
        <v>4717260000</v>
      </c>
      <c r="I1091" s="1">
        <f t="shared" si="16"/>
        <v>-7.6932397290286215E-3</v>
      </c>
    </row>
    <row r="1092" spans="1:9" x14ac:dyDescent="0.35">
      <c r="A1092" s="1">
        <v>1090</v>
      </c>
      <c r="B1092" s="1" t="s">
        <v>1099</v>
      </c>
      <c r="C1092" s="1">
        <v>5631.2797849999997</v>
      </c>
      <c r="D1092" s="1">
        <v>5631.2797849999997</v>
      </c>
      <c r="E1092" s="1">
        <v>5654.7299800000001</v>
      </c>
      <c r="F1092" s="1">
        <v>5578.6401370000003</v>
      </c>
      <c r="G1092" s="1">
        <v>5614.1801759999998</v>
      </c>
      <c r="H1092" s="1">
        <v>4987440000</v>
      </c>
      <c r="I1092" s="1">
        <f t="shared" ref="I1092:I1155" si="17">(C1092-C1091)/C1091</f>
        <v>4.3463562500500683E-3</v>
      </c>
    </row>
    <row r="1093" spans="1:9" x14ac:dyDescent="0.35">
      <c r="A1093" s="1">
        <v>1091</v>
      </c>
      <c r="B1093" s="1" t="s">
        <v>1100</v>
      </c>
      <c r="C1093" s="1">
        <v>5663.9399409999996</v>
      </c>
      <c r="D1093" s="1">
        <v>5663.9399409999996</v>
      </c>
      <c r="E1093" s="1">
        <v>5720.1000979999999</v>
      </c>
      <c r="F1093" s="1">
        <v>5635.3798829999996</v>
      </c>
      <c r="G1093" s="1">
        <v>5663.6000979999999</v>
      </c>
      <c r="H1093" s="1">
        <v>5627400000</v>
      </c>
      <c r="I1093" s="1">
        <f t="shared" si="17"/>
        <v>5.7997750506015603E-3</v>
      </c>
    </row>
    <row r="1094" spans="1:9" x14ac:dyDescent="0.35">
      <c r="A1094" s="1">
        <v>1092</v>
      </c>
      <c r="B1094" s="1" t="s">
        <v>1101</v>
      </c>
      <c r="C1094" s="1">
        <v>5659.9101559999999</v>
      </c>
      <c r="D1094" s="1">
        <v>5659.9101559999999</v>
      </c>
      <c r="E1094" s="1">
        <v>5691.6899409999996</v>
      </c>
      <c r="F1094" s="1">
        <v>5644.1499020000001</v>
      </c>
      <c r="G1094" s="1">
        <v>5679.6499020000001</v>
      </c>
      <c r="H1094" s="1">
        <v>4645090000</v>
      </c>
      <c r="I1094" s="1">
        <f t="shared" si="17"/>
        <v>-7.1148088468046843E-4</v>
      </c>
    </row>
    <row r="1095" spans="1:9" x14ac:dyDescent="0.35">
      <c r="A1095" s="1">
        <v>1093</v>
      </c>
      <c r="B1095" s="1" t="s">
        <v>1102</v>
      </c>
      <c r="C1095" s="1">
        <v>5844.1899409999996</v>
      </c>
      <c r="D1095" s="1">
        <v>5844.1899409999996</v>
      </c>
      <c r="E1095" s="1">
        <v>5845.3701170000004</v>
      </c>
      <c r="F1095" s="1">
        <v>5786.080078</v>
      </c>
      <c r="G1095" s="1">
        <v>5807.2001950000003</v>
      </c>
      <c r="H1095" s="1">
        <v>6014580000</v>
      </c>
      <c r="I1095" s="1">
        <f t="shared" si="17"/>
        <v>3.2558782722840046E-2</v>
      </c>
    </row>
    <row r="1096" spans="1:9" x14ac:dyDescent="0.35">
      <c r="A1096" s="1">
        <v>1094</v>
      </c>
      <c r="B1096" s="1" t="s">
        <v>1103</v>
      </c>
      <c r="C1096" s="1">
        <v>5886.5498049999997</v>
      </c>
      <c r="D1096" s="1">
        <v>5886.5498049999997</v>
      </c>
      <c r="E1096" s="1">
        <v>5906.6401370000003</v>
      </c>
      <c r="F1096" s="1">
        <v>5845.0200199999999</v>
      </c>
      <c r="G1096" s="1">
        <v>5854.1499020000001</v>
      </c>
      <c r="H1096" s="1">
        <v>5516290000</v>
      </c>
      <c r="I1096" s="1">
        <f t="shared" si="17"/>
        <v>7.2482011070214838E-3</v>
      </c>
    </row>
    <row r="1097" spans="1:9" x14ac:dyDescent="0.35">
      <c r="A1097" s="1">
        <v>1095</v>
      </c>
      <c r="B1097" s="1" t="s">
        <v>1104</v>
      </c>
      <c r="C1097" s="1">
        <v>5892.580078</v>
      </c>
      <c r="D1097" s="1">
        <v>5892.580078</v>
      </c>
      <c r="E1097" s="1">
        <v>5906.5498049999997</v>
      </c>
      <c r="F1097" s="1">
        <v>5872.1098629999997</v>
      </c>
      <c r="G1097" s="1">
        <v>5896.7402339999999</v>
      </c>
      <c r="H1097" s="1">
        <v>5233450000</v>
      </c>
      <c r="I1097" s="1">
        <f t="shared" si="17"/>
        <v>1.0244155234834214E-3</v>
      </c>
    </row>
    <row r="1098" spans="1:9" x14ac:dyDescent="0.35">
      <c r="A1098" s="1">
        <v>1096</v>
      </c>
      <c r="B1098" s="1" t="s">
        <v>1105</v>
      </c>
      <c r="C1098" s="1">
        <v>5916.9301759999998</v>
      </c>
      <c r="D1098" s="1">
        <v>5916.9301759999998</v>
      </c>
      <c r="E1098" s="1">
        <v>5924.2099609999996</v>
      </c>
      <c r="F1098" s="1">
        <v>5865.1601559999999</v>
      </c>
      <c r="G1098" s="1">
        <v>5869.8198240000002</v>
      </c>
      <c r="H1098" s="1">
        <v>4991290000</v>
      </c>
      <c r="I1098" s="1">
        <f t="shared" si="17"/>
        <v>4.132332132559589E-3</v>
      </c>
    </row>
    <row r="1099" spans="1:9" x14ac:dyDescent="0.35">
      <c r="A1099" s="1">
        <v>1097</v>
      </c>
      <c r="B1099" s="1" t="s">
        <v>1106</v>
      </c>
      <c r="C1099" s="1">
        <v>5958.3798829999996</v>
      </c>
      <c r="D1099" s="1">
        <v>5958.3798829999996</v>
      </c>
      <c r="E1099" s="1">
        <v>5958.6201170000004</v>
      </c>
      <c r="F1099" s="1">
        <v>5907.3598629999997</v>
      </c>
      <c r="G1099" s="1">
        <v>5929.0898440000001</v>
      </c>
      <c r="H1099" s="1">
        <v>4850850000</v>
      </c>
      <c r="I1099" s="1">
        <f t="shared" si="17"/>
        <v>7.0052722893581372E-3</v>
      </c>
    </row>
    <row r="1100" spans="1:9" x14ac:dyDescent="0.35">
      <c r="A1100" s="1">
        <v>1098</v>
      </c>
      <c r="B1100" s="1" t="s">
        <v>1107</v>
      </c>
      <c r="C1100" s="1">
        <v>5963.6000979999999</v>
      </c>
      <c r="D1100" s="1">
        <v>5963.6000979999999</v>
      </c>
      <c r="E1100" s="1">
        <v>5968.6098629999997</v>
      </c>
      <c r="F1100" s="1">
        <v>5895.6899409999996</v>
      </c>
      <c r="G1100" s="1">
        <v>5902.8798829999996</v>
      </c>
      <c r="H1100" s="1">
        <v>4144010000</v>
      </c>
      <c r="I1100" s="1">
        <f t="shared" si="17"/>
        <v>8.7611315533845107E-4</v>
      </c>
    </row>
    <row r="1101" spans="1:9" x14ac:dyDescent="0.35">
      <c r="A1101" s="1">
        <v>1099</v>
      </c>
      <c r="B1101" s="1" t="s">
        <v>1108</v>
      </c>
      <c r="C1101" s="1">
        <v>5940.4599609999996</v>
      </c>
      <c r="D1101" s="1">
        <v>5940.4599609999996</v>
      </c>
      <c r="E1101" s="1">
        <v>5953.0600590000004</v>
      </c>
      <c r="F1101" s="1">
        <v>5909.2597660000001</v>
      </c>
      <c r="G1101" s="1">
        <v>5944.6601559999999</v>
      </c>
      <c r="H1101" s="1">
        <v>4416850000</v>
      </c>
      <c r="I1101" s="1">
        <f t="shared" si="17"/>
        <v>-3.8802294955627191E-3</v>
      </c>
    </row>
    <row r="1102" spans="1:9" x14ac:dyDescent="0.35">
      <c r="A1102" s="1">
        <v>1100</v>
      </c>
      <c r="B1102" s="1" t="s">
        <v>1109</v>
      </c>
      <c r="C1102" s="1">
        <v>5844.6098629999997</v>
      </c>
      <c r="D1102" s="1">
        <v>5844.6098629999997</v>
      </c>
      <c r="E1102" s="1">
        <v>5938.3701170000004</v>
      </c>
      <c r="F1102" s="1">
        <v>5830.9101559999999</v>
      </c>
      <c r="G1102" s="1">
        <v>5910.1801759999998</v>
      </c>
      <c r="H1102" s="1">
        <v>5254250000</v>
      </c>
      <c r="I1102" s="1">
        <f t="shared" si="17"/>
        <v>-1.6135130718710335E-2</v>
      </c>
    </row>
    <row r="1103" spans="1:9" x14ac:dyDescent="0.35">
      <c r="A1103" s="1">
        <v>1101</v>
      </c>
      <c r="B1103" s="1" t="s">
        <v>1110</v>
      </c>
      <c r="C1103" s="1">
        <v>5842.0097660000001</v>
      </c>
      <c r="D1103" s="1">
        <v>5842.0097660000001</v>
      </c>
      <c r="E1103" s="1">
        <v>5878.080078</v>
      </c>
      <c r="F1103" s="1">
        <v>5825.8198240000002</v>
      </c>
      <c r="G1103" s="1">
        <v>5841.2597660000001</v>
      </c>
      <c r="H1103" s="1">
        <v>5157050000</v>
      </c>
      <c r="I1103" s="1">
        <f t="shared" si="17"/>
        <v>-4.4487092568141714E-4</v>
      </c>
    </row>
    <row r="1104" spans="1:9" x14ac:dyDescent="0.35">
      <c r="A1104" s="1">
        <v>1102</v>
      </c>
      <c r="B1104" s="1" t="s">
        <v>1111</v>
      </c>
      <c r="C1104" s="1">
        <v>5802.8198240000002</v>
      </c>
      <c r="D1104" s="1">
        <v>5802.8198240000002</v>
      </c>
      <c r="E1104" s="1">
        <v>5829.5097660000001</v>
      </c>
      <c r="F1104" s="1">
        <v>5767.4101559999999</v>
      </c>
      <c r="G1104" s="1">
        <v>5781.8901370000003</v>
      </c>
      <c r="H1104" s="1">
        <v>4662820000</v>
      </c>
      <c r="I1104" s="1">
        <f t="shared" si="17"/>
        <v>-6.708297926525577E-3</v>
      </c>
    </row>
    <row r="1105" spans="1:9" x14ac:dyDescent="0.35">
      <c r="A1105" s="1">
        <v>1103</v>
      </c>
      <c r="B1105" s="1" t="s">
        <v>1112</v>
      </c>
      <c r="C1105" s="1">
        <v>5921.5400390000004</v>
      </c>
      <c r="D1105" s="1">
        <v>5921.5400390000004</v>
      </c>
      <c r="E1105" s="1">
        <v>5924.330078</v>
      </c>
      <c r="F1105" s="1">
        <v>5854.0698240000002</v>
      </c>
      <c r="G1105" s="1">
        <v>5854.0698240000002</v>
      </c>
      <c r="H1105" s="1">
        <v>5366380000</v>
      </c>
      <c r="I1105" s="1">
        <f t="shared" si="17"/>
        <v>2.0459055872971092E-2</v>
      </c>
    </row>
    <row r="1106" spans="1:9" x14ac:dyDescent="0.35">
      <c r="A1106" s="1">
        <v>1104</v>
      </c>
      <c r="B1106" s="1" t="s">
        <v>1113</v>
      </c>
      <c r="C1106" s="1">
        <v>5888.5498049999997</v>
      </c>
      <c r="D1106" s="1">
        <v>5888.5498049999997</v>
      </c>
      <c r="E1106" s="1">
        <v>5939.919922</v>
      </c>
      <c r="F1106" s="1">
        <v>5881.8798829999996</v>
      </c>
      <c r="G1106" s="1">
        <v>5925.5400390000004</v>
      </c>
      <c r="H1106" s="1">
        <v>4665050000</v>
      </c>
      <c r="I1106" s="1">
        <f t="shared" si="17"/>
        <v>-5.5712253539996334E-3</v>
      </c>
    </row>
    <row r="1107" spans="1:9" x14ac:dyDescent="0.35">
      <c r="A1107" s="1">
        <v>1105</v>
      </c>
      <c r="B1107" s="1" t="s">
        <v>1114</v>
      </c>
      <c r="C1107" s="1">
        <v>5912.169922</v>
      </c>
      <c r="D1107" s="1">
        <v>5912.169922</v>
      </c>
      <c r="E1107" s="1">
        <v>5943.1298829999996</v>
      </c>
      <c r="F1107" s="1">
        <v>5873.7998049999997</v>
      </c>
      <c r="G1107" s="1">
        <v>5939.9599609999996</v>
      </c>
      <c r="H1107" s="1">
        <v>4569750000</v>
      </c>
      <c r="I1107" s="1">
        <f t="shared" si="17"/>
        <v>4.0111942298500089E-3</v>
      </c>
    </row>
    <row r="1108" spans="1:9" x14ac:dyDescent="0.35">
      <c r="A1108" s="1">
        <v>1106</v>
      </c>
      <c r="B1108" s="1" t="s">
        <v>1115</v>
      </c>
      <c r="C1108" s="1">
        <v>5911.6899409999996</v>
      </c>
      <c r="D1108" s="1">
        <v>5911.6899409999996</v>
      </c>
      <c r="E1108" s="1">
        <v>5922.1401370000003</v>
      </c>
      <c r="F1108" s="1">
        <v>5843.6601559999999</v>
      </c>
      <c r="G1108" s="1">
        <v>5903.669922</v>
      </c>
      <c r="H1108" s="1">
        <v>6378540000</v>
      </c>
      <c r="I1108" s="1">
        <f t="shared" si="17"/>
        <v>-8.118525115699596E-5</v>
      </c>
    </row>
    <row r="1109" spans="1:9" x14ac:dyDescent="0.35">
      <c r="A1109" s="1">
        <v>1107</v>
      </c>
      <c r="B1109" s="1" t="s">
        <v>1116</v>
      </c>
      <c r="C1109" s="1">
        <v>5935.9399409999996</v>
      </c>
      <c r="D1109" s="1">
        <v>5935.9399409999996</v>
      </c>
      <c r="E1109" s="1">
        <v>5937.3999020000001</v>
      </c>
      <c r="F1109" s="1">
        <v>5861.4301759999998</v>
      </c>
      <c r="G1109" s="1">
        <v>5896.6801759999998</v>
      </c>
      <c r="H1109" s="1">
        <v>4832240000</v>
      </c>
      <c r="I1109" s="1">
        <f t="shared" si="17"/>
        <v>4.1020419274387654E-3</v>
      </c>
    </row>
    <row r="1110" spans="1:9" x14ac:dyDescent="0.35">
      <c r="A1110" s="1">
        <v>1108</v>
      </c>
      <c r="B1110" s="1" t="s">
        <v>1117</v>
      </c>
      <c r="C1110" s="1">
        <v>5970.3701170000004</v>
      </c>
      <c r="D1110" s="1">
        <v>5970.3701170000004</v>
      </c>
      <c r="E1110" s="1">
        <v>5981.3500979999999</v>
      </c>
      <c r="F1110" s="1">
        <v>5929</v>
      </c>
      <c r="G1110" s="1">
        <v>5938.5600590000004</v>
      </c>
      <c r="H1110" s="1">
        <v>5026680000</v>
      </c>
      <c r="I1110" s="1">
        <f t="shared" si="17"/>
        <v>5.8002904918543477E-3</v>
      </c>
    </row>
    <row r="1111" spans="1:9" x14ac:dyDescent="0.35">
      <c r="A1111" s="1">
        <v>1109</v>
      </c>
      <c r="B1111" s="1" t="s">
        <v>1118</v>
      </c>
      <c r="C1111" s="1">
        <v>5970.8100590000004</v>
      </c>
      <c r="D1111" s="1">
        <v>5970.8100590000004</v>
      </c>
      <c r="E1111" s="1">
        <v>5990.4799800000001</v>
      </c>
      <c r="F1111" s="1">
        <v>5966.1098629999997</v>
      </c>
      <c r="G1111" s="1">
        <v>5978.9399409999996</v>
      </c>
      <c r="H1111" s="1">
        <v>4767050000</v>
      </c>
      <c r="I1111" s="1">
        <f t="shared" si="17"/>
        <v>7.368755895841116E-5</v>
      </c>
    </row>
    <row r="1112" spans="1:9" x14ac:dyDescent="0.35">
      <c r="A1112" s="1">
        <v>1110</v>
      </c>
      <c r="B1112" s="1" t="s">
        <v>1119</v>
      </c>
      <c r="C1112" s="1">
        <v>5939.2998049999997</v>
      </c>
      <c r="D1112" s="1">
        <v>5939.2998049999997</v>
      </c>
      <c r="E1112" s="1">
        <v>5999.7001950000003</v>
      </c>
      <c r="F1112" s="1">
        <v>5921.2001950000003</v>
      </c>
      <c r="G1112" s="1">
        <v>5985.669922</v>
      </c>
      <c r="H1112" s="1">
        <v>5091850000</v>
      </c>
      <c r="I1112" s="1">
        <f t="shared" si="17"/>
        <v>-5.2773834184365424E-3</v>
      </c>
    </row>
    <row r="1113" spans="1:9" x14ac:dyDescent="0.35">
      <c r="A1113" s="1">
        <v>1111</v>
      </c>
      <c r="B1113" s="1" t="s">
        <v>1120</v>
      </c>
      <c r="C1113" s="1">
        <v>6000.3598629999997</v>
      </c>
      <c r="D1113" s="1">
        <v>6000.3598629999997</v>
      </c>
      <c r="E1113" s="1">
        <v>6016.8701170000004</v>
      </c>
      <c r="F1113" s="1">
        <v>5978.6298829999996</v>
      </c>
      <c r="G1113" s="1">
        <v>5987.0600590000004</v>
      </c>
      <c r="H1113" s="1">
        <v>4355710000</v>
      </c>
      <c r="I1113" s="1">
        <f t="shared" si="17"/>
        <v>1.0280682909557221E-2</v>
      </c>
    </row>
    <row r="1114" spans="1:9" x14ac:dyDescent="0.35">
      <c r="A1114" s="1">
        <v>1112</v>
      </c>
      <c r="B1114" s="1" t="s">
        <v>1121</v>
      </c>
      <c r="C1114" s="1">
        <v>6005.8798829999996</v>
      </c>
      <c r="D1114" s="1">
        <v>6005.8798829999996</v>
      </c>
      <c r="E1114" s="1">
        <v>6021.3100590000004</v>
      </c>
      <c r="F1114" s="1">
        <v>5994.1801759999998</v>
      </c>
      <c r="G1114" s="1">
        <v>6004.6298829999996</v>
      </c>
      <c r="H1114" s="1">
        <v>4642360000</v>
      </c>
      <c r="I1114" s="1">
        <f t="shared" si="17"/>
        <v>9.1994815744935788E-4</v>
      </c>
    </row>
    <row r="1115" spans="1:9" x14ac:dyDescent="0.35">
      <c r="A1115" s="1">
        <v>1113</v>
      </c>
      <c r="B1115" s="1" t="s">
        <v>1122</v>
      </c>
      <c r="C1115" s="1">
        <v>6038.8100590000004</v>
      </c>
      <c r="D1115" s="1">
        <v>6038.8100590000004</v>
      </c>
      <c r="E1115" s="1">
        <v>6043.0097660000001</v>
      </c>
      <c r="F1115" s="1">
        <v>6000.2797849999997</v>
      </c>
      <c r="G1115" s="1">
        <v>6009.9101559999999</v>
      </c>
      <c r="H1115" s="1">
        <v>4882880000</v>
      </c>
      <c r="I1115" s="1">
        <f t="shared" si="17"/>
        <v>5.4829894439300357E-3</v>
      </c>
    </row>
    <row r="1116" spans="1:9" x14ac:dyDescent="0.35">
      <c r="A1116" s="1">
        <v>1114</v>
      </c>
      <c r="B1116" s="1" t="s">
        <v>1123</v>
      </c>
      <c r="C1116" s="1">
        <v>6022.2402339999999</v>
      </c>
      <c r="D1116" s="1">
        <v>6022.2402339999999</v>
      </c>
      <c r="E1116" s="1">
        <v>6059.3999020000001</v>
      </c>
      <c r="F1116" s="1">
        <v>6002.3198240000002</v>
      </c>
      <c r="G1116" s="1">
        <v>6049.3798829999996</v>
      </c>
      <c r="H1116" s="1">
        <v>5111550000</v>
      </c>
      <c r="I1116" s="1">
        <f t="shared" si="17"/>
        <v>-2.7438890837948263E-3</v>
      </c>
    </row>
    <row r="1117" spans="1:9" x14ac:dyDescent="0.35">
      <c r="A1117" s="1">
        <v>1115</v>
      </c>
      <c r="B1117" s="1" t="s">
        <v>1124</v>
      </c>
      <c r="C1117" s="1">
        <v>6045.2597660000001</v>
      </c>
      <c r="D1117" s="1">
        <v>6045.2597660000001</v>
      </c>
      <c r="E1117" s="1">
        <v>6045.4301759999998</v>
      </c>
      <c r="F1117" s="1">
        <v>6003.8798829999996</v>
      </c>
      <c r="G1117" s="1">
        <v>6009.8999020000001</v>
      </c>
      <c r="H1117" s="1">
        <v>4669500000</v>
      </c>
      <c r="I1117" s="1">
        <f t="shared" si="17"/>
        <v>3.8224200804939617E-3</v>
      </c>
    </row>
    <row r="1118" spans="1:9" x14ac:dyDescent="0.35">
      <c r="A1118" s="1">
        <v>1116</v>
      </c>
      <c r="B1118" s="1" t="s">
        <v>1125</v>
      </c>
      <c r="C1118" s="1">
        <v>5976.9702150000003</v>
      </c>
      <c r="D1118" s="1">
        <v>5976.9702150000003</v>
      </c>
      <c r="E1118" s="1">
        <v>6026.1601559999999</v>
      </c>
      <c r="F1118" s="1">
        <v>5963.2099609999996</v>
      </c>
      <c r="G1118" s="1">
        <v>6000.5600590000004</v>
      </c>
      <c r="H1118" s="1">
        <v>5258910000</v>
      </c>
      <c r="I1118" s="1">
        <f t="shared" si="17"/>
        <v>-1.1296379914735304E-2</v>
      </c>
    </row>
    <row r="1119" spans="1:9" x14ac:dyDescent="0.35">
      <c r="A1119" s="1">
        <v>1117</v>
      </c>
      <c r="B1119" s="1" t="s">
        <v>1126</v>
      </c>
      <c r="C1119" s="1">
        <v>6033.1098629999997</v>
      </c>
      <c r="D1119" s="1">
        <v>6033.1098629999997</v>
      </c>
      <c r="E1119" s="1">
        <v>6050.830078</v>
      </c>
      <c r="F1119" s="1">
        <v>6004</v>
      </c>
      <c r="G1119" s="1">
        <v>6004</v>
      </c>
      <c r="H1119" s="1">
        <v>5111710000</v>
      </c>
      <c r="I1119" s="1">
        <f t="shared" si="17"/>
        <v>9.3926598227157803E-3</v>
      </c>
    </row>
    <row r="1120" spans="1:9" x14ac:dyDescent="0.35">
      <c r="A1120" s="1">
        <v>1118</v>
      </c>
      <c r="B1120" s="1" t="s">
        <v>1127</v>
      </c>
      <c r="C1120" s="1">
        <v>5982.7202150000003</v>
      </c>
      <c r="D1120" s="1">
        <v>5982.7202150000003</v>
      </c>
      <c r="E1120" s="1">
        <v>6023.25</v>
      </c>
      <c r="F1120" s="1">
        <v>5974.7998049999997</v>
      </c>
      <c r="G1120" s="1">
        <v>6012.1499020000001</v>
      </c>
      <c r="H1120" s="1">
        <v>4955700000</v>
      </c>
      <c r="I1120" s="1">
        <f t="shared" si="17"/>
        <v>-8.3521847180390713E-3</v>
      </c>
    </row>
    <row r="1121" spans="1:9" x14ac:dyDescent="0.35">
      <c r="A1121" s="1">
        <v>1119</v>
      </c>
      <c r="B1121" s="1" t="s">
        <v>1128</v>
      </c>
      <c r="C1121" s="1">
        <v>5980.8701170000004</v>
      </c>
      <c r="D1121" s="1">
        <v>5980.8701170000004</v>
      </c>
      <c r="E1121" s="1">
        <v>6018.25</v>
      </c>
      <c r="F1121" s="1">
        <v>5971.8901370000003</v>
      </c>
      <c r="G1121" s="1">
        <v>5987.9301759999998</v>
      </c>
      <c r="H1121" s="1">
        <v>5106470000</v>
      </c>
      <c r="I1121" s="1">
        <f t="shared" si="17"/>
        <v>-3.0924026755610012E-4</v>
      </c>
    </row>
    <row r="1122" spans="1:9" x14ac:dyDescent="0.35">
      <c r="A1122" s="1">
        <v>1120</v>
      </c>
      <c r="B1122" s="1" t="s">
        <v>1129</v>
      </c>
      <c r="C1122" s="1">
        <v>5967.8398440000001</v>
      </c>
      <c r="D1122" s="1">
        <v>5967.8398440000001</v>
      </c>
      <c r="E1122" s="1">
        <v>6018.2001950000003</v>
      </c>
      <c r="F1122" s="1">
        <v>5952.5600590000004</v>
      </c>
      <c r="G1122" s="1">
        <v>5999.669922</v>
      </c>
      <c r="H1122" s="1">
        <v>7451500000</v>
      </c>
      <c r="I1122" s="1">
        <f t="shared" si="17"/>
        <v>-2.1786584134243464E-3</v>
      </c>
    </row>
    <row r="1123" spans="1:9" x14ac:dyDescent="0.35">
      <c r="A1123" s="1">
        <v>1121</v>
      </c>
      <c r="B1123" s="1" t="s">
        <v>1130</v>
      </c>
      <c r="C1123" s="1">
        <v>6025.169922</v>
      </c>
      <c r="D1123" s="1">
        <v>6025.169922</v>
      </c>
      <c r="E1123" s="1">
        <v>6028.7700199999999</v>
      </c>
      <c r="F1123" s="1">
        <v>5943.2299800000001</v>
      </c>
      <c r="G1123" s="1">
        <v>5969.669922</v>
      </c>
      <c r="H1123" s="1">
        <v>5597000000</v>
      </c>
      <c r="I1123" s="1">
        <f t="shared" si="17"/>
        <v>9.6065041118083925E-3</v>
      </c>
    </row>
    <row r="1124" spans="1:9" x14ac:dyDescent="0.35">
      <c r="A1124" s="1">
        <v>1122</v>
      </c>
      <c r="B1124" s="1" t="s">
        <v>1131</v>
      </c>
      <c r="C1124" s="1">
        <v>6092.1801759999998</v>
      </c>
      <c r="D1124" s="1">
        <v>6092.1801759999998</v>
      </c>
      <c r="E1124" s="1">
        <v>6101.7597660000001</v>
      </c>
      <c r="F1124" s="1">
        <v>6059.25</v>
      </c>
      <c r="G1124" s="1">
        <v>6061.2099609999996</v>
      </c>
      <c r="H1124" s="1">
        <v>5443690000</v>
      </c>
      <c r="I1124" s="1">
        <f t="shared" si="17"/>
        <v>1.1121720195030842E-2</v>
      </c>
    </row>
    <row r="1125" spans="1:9" x14ac:dyDescent="0.35">
      <c r="A1125" s="1">
        <v>1123</v>
      </c>
      <c r="B1125" s="1" t="s">
        <v>1132</v>
      </c>
      <c r="C1125" s="1">
        <v>6092.1601559999999</v>
      </c>
      <c r="D1125" s="1">
        <v>6092.1601559999999</v>
      </c>
      <c r="E1125" s="1">
        <v>6108.5097660000001</v>
      </c>
      <c r="F1125" s="1">
        <v>6080.0898440000001</v>
      </c>
      <c r="G1125" s="1">
        <v>6104.2299800000001</v>
      </c>
      <c r="H1125" s="1">
        <v>5171110000</v>
      </c>
      <c r="I1125" s="1">
        <f t="shared" si="17"/>
        <v>-3.2861798931685627E-6</v>
      </c>
    </row>
    <row r="1126" spans="1:9" x14ac:dyDescent="0.35">
      <c r="A1126" s="1">
        <v>1124</v>
      </c>
      <c r="B1126" s="1" t="s">
        <v>1133</v>
      </c>
      <c r="C1126" s="1">
        <v>6141.0200199999999</v>
      </c>
      <c r="D1126" s="1">
        <v>6141.0200199999999</v>
      </c>
      <c r="E1126" s="1">
        <v>6146.5200199999999</v>
      </c>
      <c r="F1126" s="1">
        <v>6107.2700199999999</v>
      </c>
      <c r="G1126" s="1">
        <v>6112.0898440000001</v>
      </c>
      <c r="H1126" s="1">
        <v>5308140000</v>
      </c>
      <c r="I1126" s="1">
        <f t="shared" si="17"/>
        <v>8.0201213935387587E-3</v>
      </c>
    </row>
    <row r="1127" spans="1:9" x14ac:dyDescent="0.35">
      <c r="A1127" s="1">
        <v>1125</v>
      </c>
      <c r="B1127" s="1" t="s">
        <v>1134</v>
      </c>
      <c r="C1127" s="1">
        <v>6173.0698240000002</v>
      </c>
      <c r="D1127" s="1">
        <v>6173.0698240000002</v>
      </c>
      <c r="E1127" s="1">
        <v>6187.6801759999998</v>
      </c>
      <c r="F1127" s="1">
        <v>6132.3500979999999</v>
      </c>
      <c r="G1127" s="1">
        <v>6150.7001950000003</v>
      </c>
      <c r="H1127" s="1">
        <v>7889350000</v>
      </c>
      <c r="I1127" s="1">
        <f t="shared" si="17"/>
        <v>5.2189707728717387E-3</v>
      </c>
    </row>
    <row r="1128" spans="1:9" x14ac:dyDescent="0.35">
      <c r="A1128" s="1">
        <v>1126</v>
      </c>
      <c r="B1128" s="1" t="s">
        <v>1135</v>
      </c>
      <c r="C1128" s="1">
        <v>6204.9501950000003</v>
      </c>
      <c r="D1128" s="1">
        <v>6204.9501950000003</v>
      </c>
      <c r="E1128" s="1">
        <v>6215.080078</v>
      </c>
      <c r="F1128" s="1">
        <v>6174.9702150000003</v>
      </c>
      <c r="G1128" s="1">
        <v>6193.3598629999997</v>
      </c>
      <c r="H1128" s="1">
        <v>5782900000</v>
      </c>
      <c r="I1128" s="1">
        <f t="shared" si="17"/>
        <v>5.164427409528714E-3</v>
      </c>
    </row>
    <row r="1129" spans="1:9" x14ac:dyDescent="0.35">
      <c r="A1129" s="1">
        <v>1127</v>
      </c>
      <c r="B1129" s="1" t="s">
        <v>1136</v>
      </c>
      <c r="C1129" s="1">
        <v>6198.0097660000001</v>
      </c>
      <c r="D1129" s="1">
        <v>6198.0097660000001</v>
      </c>
      <c r="E1129" s="1">
        <v>6210.7797849999997</v>
      </c>
      <c r="F1129" s="1">
        <v>6177.9702150000003</v>
      </c>
      <c r="G1129" s="1">
        <v>6187.25</v>
      </c>
      <c r="H1129" s="1">
        <v>6275310000</v>
      </c>
      <c r="I1129" s="1">
        <f t="shared" si="17"/>
        <v>-1.1185309763796132E-3</v>
      </c>
    </row>
    <row r="1130" spans="1:9" x14ac:dyDescent="0.35">
      <c r="A1130" s="1">
        <v>1128</v>
      </c>
      <c r="B1130" s="1" t="s">
        <v>1137</v>
      </c>
      <c r="C1130" s="1">
        <v>6227.419922</v>
      </c>
      <c r="D1130" s="1">
        <v>6227.419922</v>
      </c>
      <c r="E1130" s="1">
        <v>6227.6000979999999</v>
      </c>
      <c r="F1130" s="1">
        <v>6188.2900390000004</v>
      </c>
      <c r="G1130" s="1">
        <v>6193.8798829999996</v>
      </c>
      <c r="H1130" s="1">
        <v>5645710000</v>
      </c>
      <c r="I1130" s="1">
        <f t="shared" si="17"/>
        <v>4.7450967504654804E-3</v>
      </c>
    </row>
    <row r="1131" spans="1:9" x14ac:dyDescent="0.35">
      <c r="A1131" s="1">
        <v>1129</v>
      </c>
      <c r="B1131" s="1" t="s">
        <v>1138</v>
      </c>
      <c r="C1131" s="1">
        <v>6279.3500979999999</v>
      </c>
      <c r="D1131" s="1">
        <v>6279.3500979999999</v>
      </c>
      <c r="E1131" s="1">
        <v>6284.6499020000001</v>
      </c>
      <c r="F1131" s="1">
        <v>6246.4599609999996</v>
      </c>
      <c r="G1131" s="1">
        <v>6246.4599609999996</v>
      </c>
      <c r="H1131" s="1">
        <v>3378110000</v>
      </c>
      <c r="I1131" s="1">
        <f t="shared" si="17"/>
        <v>8.3389552415668693E-3</v>
      </c>
    </row>
    <row r="1132" spans="1:9" x14ac:dyDescent="0.35">
      <c r="A1132" s="1">
        <v>1130</v>
      </c>
      <c r="B1132" s="1" t="s">
        <v>1139</v>
      </c>
      <c r="C1132" s="1">
        <v>6229.9799800000001</v>
      </c>
      <c r="D1132" s="1">
        <v>6229.9799800000001</v>
      </c>
      <c r="E1132" s="1">
        <v>6262.0698240000002</v>
      </c>
      <c r="F1132" s="1">
        <v>6201</v>
      </c>
      <c r="G1132" s="1">
        <v>6259.0400390000004</v>
      </c>
      <c r="H1132" s="1">
        <v>5236740000</v>
      </c>
      <c r="I1132" s="1">
        <f t="shared" si="17"/>
        <v>-7.8622974080907546E-3</v>
      </c>
    </row>
    <row r="1133" spans="1:9" x14ac:dyDescent="0.35">
      <c r="A1133" s="1">
        <v>1131</v>
      </c>
      <c r="B1133" s="1" t="s">
        <v>1140</v>
      </c>
      <c r="C1133" s="1">
        <v>6225.5200199999999</v>
      </c>
      <c r="D1133" s="1">
        <v>6225.5200199999999</v>
      </c>
      <c r="E1133" s="1">
        <v>6242.7001950000003</v>
      </c>
      <c r="F1133" s="1">
        <v>6217.75</v>
      </c>
      <c r="G1133" s="1">
        <v>6234.0297849999997</v>
      </c>
      <c r="H1133" s="1">
        <v>5739030000</v>
      </c>
      <c r="I1133" s="1">
        <f t="shared" si="17"/>
        <v>-7.1588673066653053E-4</v>
      </c>
    </row>
    <row r="1134" spans="1:9" x14ac:dyDescent="0.35">
      <c r="A1134" s="1">
        <v>1132</v>
      </c>
      <c r="B1134" s="1" t="s">
        <v>1141</v>
      </c>
      <c r="C1134" s="1">
        <v>6263.2597660000001</v>
      </c>
      <c r="D1134" s="1">
        <v>6263.2597660000001</v>
      </c>
      <c r="E1134" s="1">
        <v>6269.1601559999999</v>
      </c>
      <c r="F1134" s="1">
        <v>6231.4301759999998</v>
      </c>
      <c r="G1134" s="1">
        <v>6243.330078</v>
      </c>
      <c r="H1134" s="1">
        <v>4813340000</v>
      </c>
      <c r="I1134" s="1">
        <f t="shared" si="17"/>
        <v>6.0621033871480819E-3</v>
      </c>
    </row>
    <row r="1135" spans="1:9" x14ac:dyDescent="0.35">
      <c r="A1135" s="1">
        <v>1133</v>
      </c>
      <c r="B1135" s="1" t="s">
        <v>1142</v>
      </c>
      <c r="C1135" s="1">
        <v>6280.4599609999996</v>
      </c>
      <c r="D1135" s="1">
        <v>6280.4599609999996</v>
      </c>
      <c r="E1135" s="1">
        <v>6290.2202150000003</v>
      </c>
      <c r="F1135" s="1">
        <v>6251.4399409999996</v>
      </c>
      <c r="G1135" s="1">
        <v>6266.7998049999997</v>
      </c>
      <c r="H1135" s="1">
        <v>5367350000</v>
      </c>
      <c r="I1135" s="1">
        <f t="shared" si="17"/>
        <v>2.746204954386597E-3</v>
      </c>
    </row>
    <row r="1136" spans="1:9" x14ac:dyDescent="0.35">
      <c r="A1136" s="1">
        <v>1134</v>
      </c>
      <c r="B1136" s="1" t="s">
        <v>1143</v>
      </c>
      <c r="C1136" s="1">
        <v>6259.75</v>
      </c>
      <c r="D1136" s="1">
        <v>6259.75</v>
      </c>
      <c r="E1136" s="1">
        <v>6269.4399409999996</v>
      </c>
      <c r="F1136" s="1">
        <v>6237.6000979999999</v>
      </c>
      <c r="G1136" s="1">
        <v>6255.6801759999998</v>
      </c>
      <c r="H1136" s="1">
        <v>4656210000</v>
      </c>
      <c r="I1136" s="1">
        <f t="shared" si="17"/>
        <v>-3.2975229726171272E-3</v>
      </c>
    </row>
    <row r="1137" spans="1:9" x14ac:dyDescent="0.35">
      <c r="A1137" s="1">
        <v>1135</v>
      </c>
      <c r="B1137" s="1" t="s">
        <v>1144</v>
      </c>
      <c r="C1137" s="1">
        <v>6268.5600590000004</v>
      </c>
      <c r="D1137" s="1">
        <v>6268.5600590000004</v>
      </c>
      <c r="E1137" s="1">
        <v>6273.3100590000004</v>
      </c>
      <c r="F1137" s="1">
        <v>6239.2202150000003</v>
      </c>
      <c r="G1137" s="1">
        <v>6255.1499020000001</v>
      </c>
      <c r="H1137" s="1">
        <v>4722250000</v>
      </c>
      <c r="I1137" s="1">
        <f t="shared" si="17"/>
        <v>1.407413874356063E-3</v>
      </c>
    </row>
    <row r="1138" spans="1:9" x14ac:dyDescent="0.35">
      <c r="A1138" s="1">
        <v>1136</v>
      </c>
      <c r="B1138" s="1" t="s">
        <v>1145</v>
      </c>
      <c r="C1138" s="1">
        <v>6243.7597660000001</v>
      </c>
      <c r="D1138" s="1">
        <v>6243.7597660000001</v>
      </c>
      <c r="E1138" s="1">
        <v>6302.0400390000004</v>
      </c>
      <c r="F1138" s="1">
        <v>6241.6801759999998</v>
      </c>
      <c r="G1138" s="1">
        <v>6295.2900390000004</v>
      </c>
      <c r="H1138" s="1">
        <v>5133670000</v>
      </c>
      <c r="I1138" s="1">
        <f t="shared" si="17"/>
        <v>-3.9562982194600738E-3</v>
      </c>
    </row>
    <row r="1139" spans="1:9" x14ac:dyDescent="0.35">
      <c r="A1139" s="1">
        <v>1137</v>
      </c>
      <c r="B1139" s="1" t="s">
        <v>1146</v>
      </c>
      <c r="C1139" s="1">
        <v>6263.7001950000003</v>
      </c>
      <c r="D1139" s="1">
        <v>6263.7001950000003</v>
      </c>
      <c r="E1139" s="1">
        <v>6268.1201170000004</v>
      </c>
      <c r="F1139" s="1">
        <v>6201.5898440000001</v>
      </c>
      <c r="G1139" s="1">
        <v>6254.5</v>
      </c>
      <c r="H1139" s="1">
        <v>5177460000</v>
      </c>
      <c r="I1139" s="1">
        <f t="shared" si="17"/>
        <v>3.1936573070258998E-3</v>
      </c>
    </row>
    <row r="1140" spans="1:9" x14ac:dyDescent="0.35">
      <c r="A1140" s="1">
        <v>1138</v>
      </c>
      <c r="B1140" s="1" t="s">
        <v>1147</v>
      </c>
      <c r="C1140" s="1">
        <v>6297.3598629999997</v>
      </c>
      <c r="D1140" s="1">
        <v>6297.3598629999997</v>
      </c>
      <c r="E1140" s="1">
        <v>6304.6899409999996</v>
      </c>
      <c r="F1140" s="1">
        <v>6262.2700199999999</v>
      </c>
      <c r="G1140" s="1">
        <v>6263.3999020000001</v>
      </c>
      <c r="H1140" s="1">
        <v>5512290000</v>
      </c>
      <c r="I1140" s="1">
        <f t="shared" si="17"/>
        <v>5.373767414166496E-3</v>
      </c>
    </row>
    <row r="1141" spans="1:9" x14ac:dyDescent="0.35">
      <c r="A1141" s="1">
        <v>1139</v>
      </c>
      <c r="B1141" s="1" t="s">
        <v>1148</v>
      </c>
      <c r="C1141" s="1">
        <v>6296.7900390000004</v>
      </c>
      <c r="D1141" s="1">
        <v>6296.7900390000004</v>
      </c>
      <c r="E1141" s="1">
        <v>6315.6098629999997</v>
      </c>
      <c r="F1141" s="1">
        <v>6285.2700199999999</v>
      </c>
      <c r="G1141" s="1">
        <v>6312.9501950000003</v>
      </c>
      <c r="H1141" s="1">
        <v>5184700000</v>
      </c>
      <c r="I1141" s="1">
        <f t="shared" si="17"/>
        <v>-9.0486173951600304E-5</v>
      </c>
    </row>
    <row r="1142" spans="1:9" x14ac:dyDescent="0.35">
      <c r="A1142" s="1">
        <v>1140</v>
      </c>
      <c r="B1142" s="1" t="s">
        <v>1149</v>
      </c>
      <c r="C1142" s="1">
        <v>6305.6000979999999</v>
      </c>
      <c r="D1142" s="1">
        <v>6305.6000979999999</v>
      </c>
      <c r="E1142" s="1">
        <v>6336.080078</v>
      </c>
      <c r="F1142" s="1">
        <v>6303.7900390000004</v>
      </c>
      <c r="G1142" s="1">
        <v>6304.7402339999999</v>
      </c>
      <c r="H1142" s="1">
        <v>5010840000</v>
      </c>
      <c r="I1142" s="1">
        <f t="shared" si="17"/>
        <v>1.3991349473991021E-3</v>
      </c>
    </row>
    <row r="1143" spans="1:9" x14ac:dyDescent="0.35">
      <c r="A1143" s="1">
        <v>1141</v>
      </c>
      <c r="B1143" s="1" t="s">
        <v>1150</v>
      </c>
      <c r="C1143" s="1">
        <v>6309.6201170000004</v>
      </c>
      <c r="D1143" s="1">
        <v>6309.6201170000004</v>
      </c>
      <c r="E1143" s="1">
        <v>6316.1201170000004</v>
      </c>
      <c r="F1143" s="1">
        <v>6281.7099609999996</v>
      </c>
      <c r="G1143" s="1">
        <v>6306.6000979999999</v>
      </c>
      <c r="H1143" s="1">
        <v>5662040000</v>
      </c>
      <c r="I1143" s="1">
        <f t="shared" si="17"/>
        <v>6.375315493406513E-4</v>
      </c>
    </row>
    <row r="1144" spans="1:9" x14ac:dyDescent="0.35">
      <c r="A1144" s="1">
        <v>1142</v>
      </c>
      <c r="B1144" s="1" t="s">
        <v>1151</v>
      </c>
      <c r="C1144" s="1">
        <v>6358.9101559999999</v>
      </c>
      <c r="D1144" s="1">
        <v>6358.9101559999999</v>
      </c>
      <c r="E1144" s="1">
        <v>6360.6401370000003</v>
      </c>
      <c r="F1144" s="1">
        <v>6317.4902339999999</v>
      </c>
      <c r="G1144" s="1">
        <v>6326.8999020000001</v>
      </c>
      <c r="H1144" s="1">
        <v>5642510000</v>
      </c>
      <c r="I1144" s="1">
        <f t="shared" si="17"/>
        <v>7.8118869418457451E-3</v>
      </c>
    </row>
    <row r="1145" spans="1:9" x14ac:dyDescent="0.35">
      <c r="A1145" s="1">
        <v>1143</v>
      </c>
      <c r="B1145" s="1" t="s">
        <v>1152</v>
      </c>
      <c r="C1145" s="1">
        <v>6363.3500979999999</v>
      </c>
      <c r="D1145" s="1">
        <v>6363.3500979999999</v>
      </c>
      <c r="E1145" s="1">
        <v>6381.3100590000004</v>
      </c>
      <c r="F1145" s="1">
        <v>6360.5698240000002</v>
      </c>
      <c r="G1145" s="1">
        <v>6368.6000979999999</v>
      </c>
      <c r="H1145" s="1">
        <v>5282720000</v>
      </c>
      <c r="I1145" s="1">
        <f t="shared" si="17"/>
        <v>6.9822373505476108E-4</v>
      </c>
    </row>
    <row r="1146" spans="1:9" x14ac:dyDescent="0.35">
      <c r="A1146" s="1">
        <v>1144</v>
      </c>
      <c r="B1146" s="1" t="s">
        <v>1153</v>
      </c>
      <c r="C1146" s="1">
        <v>6388.6401370000003</v>
      </c>
      <c r="D1146" s="1">
        <v>6388.6401370000003</v>
      </c>
      <c r="E1146" s="1">
        <v>6395.8198240000002</v>
      </c>
      <c r="F1146" s="1">
        <v>6368.5297849999997</v>
      </c>
      <c r="G1146" s="1">
        <v>6370.0097660000001</v>
      </c>
      <c r="H1146" s="1">
        <v>4470720000</v>
      </c>
      <c r="I1146" s="1">
        <f t="shared" si="17"/>
        <v>3.9743277692593226E-3</v>
      </c>
    </row>
    <row r="1147" spans="1:9" x14ac:dyDescent="0.35">
      <c r="A1147" s="1">
        <v>1145</v>
      </c>
      <c r="B1147" s="1" t="s">
        <v>1154</v>
      </c>
      <c r="C1147" s="1">
        <v>6389.7700199999999</v>
      </c>
      <c r="D1147" s="1">
        <v>6389.7700199999999</v>
      </c>
      <c r="E1147" s="1">
        <v>6401.0698240000002</v>
      </c>
      <c r="F1147" s="1">
        <v>6375.7900390000004</v>
      </c>
      <c r="G1147" s="1">
        <v>6397.6899409999996</v>
      </c>
      <c r="H1147" s="1">
        <v>4565620000</v>
      </c>
      <c r="I1147" s="1">
        <f t="shared" si="17"/>
        <v>1.7685813815930209E-4</v>
      </c>
    </row>
    <row r="1148" spans="1:9" x14ac:dyDescent="0.35">
      <c r="A1148" s="1">
        <v>1146</v>
      </c>
      <c r="B1148" s="1" t="s">
        <v>1155</v>
      </c>
      <c r="C1148" s="1">
        <v>6370.8598629999997</v>
      </c>
      <c r="D1148" s="1">
        <v>6370.8598629999997</v>
      </c>
      <c r="E1148" s="1">
        <v>6409.2597660000001</v>
      </c>
      <c r="F1148" s="1">
        <v>6363.919922</v>
      </c>
      <c r="G1148" s="1">
        <v>6405.6201170000004</v>
      </c>
      <c r="H1148" s="1">
        <v>5076120000</v>
      </c>
      <c r="I1148" s="1">
        <f t="shared" si="17"/>
        <v>-2.959442505882278E-3</v>
      </c>
    </row>
    <row r="1149" spans="1:9" x14ac:dyDescent="0.35">
      <c r="A1149" s="1">
        <v>1147</v>
      </c>
      <c r="B1149" s="1" t="s">
        <v>1156</v>
      </c>
      <c r="C1149" s="1">
        <v>6362.8999020000001</v>
      </c>
      <c r="D1149" s="1">
        <v>6362.8999020000001</v>
      </c>
      <c r="E1149" s="1">
        <v>6396.5400390000004</v>
      </c>
      <c r="F1149" s="1">
        <v>6336.3798829999996</v>
      </c>
      <c r="G1149" s="1">
        <v>6381.2299800000001</v>
      </c>
      <c r="H1149" s="1">
        <v>5375070000</v>
      </c>
      <c r="I1149" s="1">
        <f t="shared" si="17"/>
        <v>-1.2494327565151101E-3</v>
      </c>
    </row>
    <row r="1150" spans="1:9" x14ac:dyDescent="0.35">
      <c r="A1150" s="1">
        <v>1148</v>
      </c>
      <c r="B1150" s="1" t="s">
        <v>1157</v>
      </c>
      <c r="C1150" s="1">
        <v>6339.3901370000003</v>
      </c>
      <c r="D1150" s="1">
        <v>6339.3901370000003</v>
      </c>
      <c r="E1150" s="1">
        <v>6427.0200199999999</v>
      </c>
      <c r="F1150" s="1">
        <v>6327.6401370000003</v>
      </c>
      <c r="G1150" s="1">
        <v>6427.0200199999999</v>
      </c>
      <c r="H1150" s="1">
        <v>6077080000</v>
      </c>
      <c r="I1150" s="1">
        <f t="shared" si="17"/>
        <v>-3.6948192431268878E-3</v>
      </c>
    </row>
    <row r="1151" spans="1:9" x14ac:dyDescent="0.35">
      <c r="A1151" s="1">
        <v>1149</v>
      </c>
      <c r="B1151" s="1" t="s">
        <v>1158</v>
      </c>
      <c r="C1151" s="1">
        <v>6238.0097660000001</v>
      </c>
      <c r="D1151" s="1">
        <v>6238.0097660000001</v>
      </c>
      <c r="E1151" s="1">
        <v>6287.2797849999997</v>
      </c>
      <c r="F1151" s="1">
        <v>6212.6899409999996</v>
      </c>
      <c r="G1151" s="1">
        <v>6287.2797849999997</v>
      </c>
      <c r="H1151" s="1">
        <v>5827150000</v>
      </c>
      <c r="I1151" s="1">
        <f t="shared" si="17"/>
        <v>-1.5992133124650473E-2</v>
      </c>
    </row>
    <row r="1152" spans="1:9" x14ac:dyDescent="0.35">
      <c r="A1152" s="1">
        <v>1150</v>
      </c>
      <c r="B1152" s="1" t="s">
        <v>1159</v>
      </c>
      <c r="C1152" s="1">
        <v>6329.9399409999996</v>
      </c>
      <c r="D1152" s="1">
        <v>6329.9399409999996</v>
      </c>
      <c r="E1152" s="1">
        <v>6330.6899409999996</v>
      </c>
      <c r="F1152" s="1">
        <v>6271.7099609999996</v>
      </c>
      <c r="G1152" s="1">
        <v>6271.7099609999996</v>
      </c>
      <c r="H1152" s="1">
        <v>4842580000</v>
      </c>
      <c r="I1152" s="1">
        <f t="shared" si="17"/>
        <v>1.4737100204789822E-2</v>
      </c>
    </row>
    <row r="1153" spans="1:9" x14ac:dyDescent="0.35">
      <c r="A1153" s="1">
        <v>1151</v>
      </c>
      <c r="B1153" s="1" t="s">
        <v>1160</v>
      </c>
      <c r="C1153" s="1">
        <v>6299.1899409999996</v>
      </c>
      <c r="D1153" s="1">
        <v>6299.1899409999996</v>
      </c>
      <c r="E1153" s="1">
        <v>6346</v>
      </c>
      <c r="F1153" s="1">
        <v>6289.3701170000004</v>
      </c>
      <c r="G1153" s="1">
        <v>6336.6298829999996</v>
      </c>
      <c r="H1153" s="1">
        <v>5517410000</v>
      </c>
      <c r="I1153" s="1">
        <f t="shared" si="17"/>
        <v>-4.8578659966151492E-3</v>
      </c>
    </row>
    <row r="1154" spans="1:9" x14ac:dyDescent="0.35">
      <c r="A1154" s="1">
        <v>1152</v>
      </c>
      <c r="B1154" s="1" t="s">
        <v>1161</v>
      </c>
      <c r="C1154" s="1">
        <v>6345.0600590000004</v>
      </c>
      <c r="D1154" s="1">
        <v>6345.0600590000004</v>
      </c>
      <c r="E1154" s="1">
        <v>6352.830078</v>
      </c>
      <c r="F1154" s="1">
        <v>6301.1098629999997</v>
      </c>
      <c r="G1154" s="1">
        <v>6309.2998049999997</v>
      </c>
      <c r="H1154" s="1">
        <v>5408560000</v>
      </c>
      <c r="I1154" s="1">
        <f t="shared" si="17"/>
        <v>7.2819074245471672E-3</v>
      </c>
    </row>
    <row r="1155" spans="1:9" x14ac:dyDescent="0.35">
      <c r="A1155" s="1">
        <v>1153</v>
      </c>
      <c r="B1155" s="1" t="s">
        <v>1162</v>
      </c>
      <c r="C1155" s="1">
        <v>6340</v>
      </c>
      <c r="D1155" s="1">
        <v>6340</v>
      </c>
      <c r="E1155" s="1">
        <v>6389.7099609999996</v>
      </c>
      <c r="F1155" s="1">
        <v>6310.3198240000002</v>
      </c>
      <c r="G1155" s="1">
        <v>6374.3198240000002</v>
      </c>
      <c r="H1155" s="1">
        <v>5306090000</v>
      </c>
      <c r="I1155" s="1">
        <f t="shared" si="17"/>
        <v>-7.9748007945536215E-4</v>
      </c>
    </row>
    <row r="1156" spans="1:9" x14ac:dyDescent="0.35">
      <c r="A1156" s="1">
        <v>1154</v>
      </c>
      <c r="B1156" s="1" t="s">
        <v>1163</v>
      </c>
      <c r="C1156" s="1">
        <v>6389.4501950000003</v>
      </c>
      <c r="D1156" s="1">
        <v>6389.4501950000003</v>
      </c>
      <c r="E1156" s="1">
        <v>6395.1601559999999</v>
      </c>
      <c r="F1156" s="1">
        <v>6355.2202150000003</v>
      </c>
      <c r="G1156" s="1">
        <v>6355.2202150000003</v>
      </c>
      <c r="H1156" s="1">
        <v>4769910000</v>
      </c>
      <c r="I1156" s="1">
        <f t="shared" ref="I1156:I1219" si="18">(C1156-C1155)/C1155</f>
        <v>7.7997152996845979E-3</v>
      </c>
    </row>
    <row r="1157" spans="1:9" x14ac:dyDescent="0.35">
      <c r="A1157" s="1">
        <v>1155</v>
      </c>
      <c r="B1157" s="1" t="s">
        <v>1164</v>
      </c>
      <c r="C1157" s="1">
        <v>6373.4501950000003</v>
      </c>
      <c r="D1157" s="1">
        <v>6373.4501950000003</v>
      </c>
      <c r="E1157" s="1">
        <v>6407.25</v>
      </c>
      <c r="F1157" s="1">
        <v>6364.0600590000004</v>
      </c>
      <c r="G1157" s="1">
        <v>6389.669922</v>
      </c>
      <c r="H1157" s="1">
        <v>4652400000</v>
      </c>
      <c r="I1157" s="1">
        <f t="shared" si="18"/>
        <v>-2.5041278219087829E-3</v>
      </c>
    </row>
    <row r="1158" spans="1:9" x14ac:dyDescent="0.35">
      <c r="A1158" s="1">
        <v>1156</v>
      </c>
      <c r="B1158" s="1" t="s">
        <v>1165</v>
      </c>
      <c r="C1158" s="1">
        <v>6445.7597660000001</v>
      </c>
      <c r="D1158" s="1">
        <v>6445.7597660000001</v>
      </c>
      <c r="E1158" s="1">
        <v>6446.5498049999997</v>
      </c>
      <c r="F1158" s="1">
        <v>6385.7597660000001</v>
      </c>
      <c r="G1158" s="1">
        <v>6395.169922</v>
      </c>
      <c r="H1158" s="1">
        <v>5135300000</v>
      </c>
      <c r="I1158" s="1">
        <f t="shared" si="18"/>
        <v>1.1345435955038443E-2</v>
      </c>
    </row>
    <row r="1159" spans="1:9" x14ac:dyDescent="0.35">
      <c r="A1159" s="1">
        <v>1157</v>
      </c>
      <c r="B1159" s="1" t="s">
        <v>1166</v>
      </c>
      <c r="C1159" s="1">
        <v>6466.580078</v>
      </c>
      <c r="D1159" s="1">
        <v>6466.580078</v>
      </c>
      <c r="E1159" s="1">
        <v>6480.2797849999997</v>
      </c>
      <c r="F1159" s="1">
        <v>6445.0200199999999</v>
      </c>
      <c r="G1159" s="1">
        <v>6462.669922</v>
      </c>
      <c r="H1159" s="1">
        <v>5195950000</v>
      </c>
      <c r="I1159" s="1">
        <f t="shared" si="18"/>
        <v>3.2300788046465074E-3</v>
      </c>
    </row>
    <row r="1160" spans="1:9" x14ac:dyDescent="0.35">
      <c r="A1160" s="1">
        <v>1158</v>
      </c>
      <c r="B1160" s="1" t="s">
        <v>1167</v>
      </c>
      <c r="C1160" s="1">
        <v>6468.5400390000004</v>
      </c>
      <c r="D1160" s="1">
        <v>6468.5400390000004</v>
      </c>
      <c r="E1160" s="1">
        <v>6473.919922</v>
      </c>
      <c r="F1160" s="1">
        <v>6441.0698240000002</v>
      </c>
      <c r="G1160" s="1">
        <v>6453.4599609999996</v>
      </c>
      <c r="H1160" s="1">
        <v>4462050000</v>
      </c>
      <c r="I1160" s="1">
        <f t="shared" si="18"/>
        <v>3.0309081096335197E-4</v>
      </c>
    </row>
    <row r="1161" spans="1:9" x14ac:dyDescent="0.35">
      <c r="A1161" s="1">
        <v>1159</v>
      </c>
      <c r="B1161" s="1" t="s">
        <v>1168</v>
      </c>
      <c r="C1161" s="1">
        <v>6449.7998049999997</v>
      </c>
      <c r="D1161" s="1">
        <v>6449.7998049999997</v>
      </c>
      <c r="E1161" s="1">
        <v>6481.3398440000001</v>
      </c>
      <c r="F1161" s="1">
        <v>6441.8500979999999</v>
      </c>
      <c r="G1161" s="1">
        <v>6477.3798829999996</v>
      </c>
      <c r="H1161" s="1">
        <v>4575060000</v>
      </c>
      <c r="I1161" s="1">
        <f t="shared" si="18"/>
        <v>-2.8971350392843695E-3</v>
      </c>
    </row>
    <row r="1162" spans="1:9" x14ac:dyDescent="0.35">
      <c r="A1162" s="1">
        <v>1160</v>
      </c>
      <c r="B1162" s="1" t="s">
        <v>1169</v>
      </c>
      <c r="C1162" s="1">
        <v>6449.1499020000001</v>
      </c>
      <c r="D1162" s="1">
        <v>6449.1499020000001</v>
      </c>
      <c r="E1162" s="1">
        <v>6455.3500979999999</v>
      </c>
      <c r="F1162" s="1">
        <v>6437.7001950000003</v>
      </c>
      <c r="G1162" s="1">
        <v>6445.0200199999999</v>
      </c>
      <c r="H1162" s="1">
        <v>4162290000</v>
      </c>
      <c r="I1162" s="1">
        <f t="shared" si="18"/>
        <v>-1.0076328252788926E-4</v>
      </c>
    </row>
    <row r="1163" spans="1:9" x14ac:dyDescent="0.35">
      <c r="A1163" s="1">
        <v>1161</v>
      </c>
      <c r="B1163" s="1" t="s">
        <v>1170</v>
      </c>
      <c r="C1163" s="1">
        <v>6411.3701170000004</v>
      </c>
      <c r="D1163" s="1">
        <v>6411.3701170000004</v>
      </c>
      <c r="E1163" s="1">
        <v>6456.4799800000001</v>
      </c>
      <c r="F1163" s="1">
        <v>6400.2202150000003</v>
      </c>
      <c r="G1163" s="1">
        <v>6446.2402339999999</v>
      </c>
      <c r="H1163" s="1">
        <v>4377440000</v>
      </c>
      <c r="I1163" s="1">
        <f t="shared" si="18"/>
        <v>-5.8581030948409978E-3</v>
      </c>
    </row>
    <row r="1164" spans="1:9" x14ac:dyDescent="0.35">
      <c r="A1164" s="1">
        <v>1162</v>
      </c>
      <c r="B1164" s="1" t="s">
        <v>1171</v>
      </c>
      <c r="C1164" s="1">
        <v>6395.7797849999997</v>
      </c>
      <c r="D1164" s="1">
        <v>6395.7797849999997</v>
      </c>
      <c r="E1164" s="1">
        <v>6408.3999020000001</v>
      </c>
      <c r="F1164" s="1">
        <v>6343.8598629999997</v>
      </c>
      <c r="G1164" s="1">
        <v>6406.6201170000004</v>
      </c>
      <c r="H1164" s="1">
        <v>4470390000</v>
      </c>
      <c r="I1164" s="1">
        <f t="shared" si="18"/>
        <v>-2.431669318023349E-3</v>
      </c>
    </row>
    <row r="1165" spans="1:9" x14ac:dyDescent="0.35">
      <c r="A1165" s="1">
        <v>1163</v>
      </c>
      <c r="B1165" s="1" t="s">
        <v>1172</v>
      </c>
      <c r="C1165" s="1">
        <v>6370.169922</v>
      </c>
      <c r="D1165" s="1">
        <v>6370.169922</v>
      </c>
      <c r="E1165" s="1">
        <v>6393.6499020000001</v>
      </c>
      <c r="F1165" s="1">
        <v>6352.7099609999996</v>
      </c>
      <c r="G1165" s="1">
        <v>6380.830078</v>
      </c>
      <c r="H1165" s="1">
        <v>4013560000</v>
      </c>
      <c r="I1165" s="1">
        <f t="shared" si="18"/>
        <v>-4.0041814854323782E-3</v>
      </c>
    </row>
    <row r="1166" spans="1:9" x14ac:dyDescent="0.35">
      <c r="A1166" s="1">
        <v>1164</v>
      </c>
      <c r="B1166" s="1" t="s">
        <v>1173</v>
      </c>
      <c r="C1166" s="1">
        <v>6466.9101559999999</v>
      </c>
      <c r="D1166" s="1">
        <v>6466.9101559999999</v>
      </c>
      <c r="E1166" s="1">
        <v>6478.8901370000003</v>
      </c>
      <c r="F1166" s="1">
        <v>6384.5898440000001</v>
      </c>
      <c r="G1166" s="1">
        <v>6384.5898440000001</v>
      </c>
      <c r="H1166" s="1">
        <v>5046860000</v>
      </c>
      <c r="I1166" s="1">
        <f t="shared" si="18"/>
        <v>1.5186444817727402E-2</v>
      </c>
    </row>
    <row r="1167" spans="1:9" x14ac:dyDescent="0.35">
      <c r="A1167" s="1">
        <v>1165</v>
      </c>
      <c r="B1167" s="1" t="s">
        <v>1174</v>
      </c>
      <c r="C1167" s="1">
        <v>6439.3198240000002</v>
      </c>
      <c r="D1167" s="1">
        <v>6439.3198240000002</v>
      </c>
      <c r="E1167" s="1">
        <v>6466.8901370000003</v>
      </c>
      <c r="F1167" s="1">
        <v>6438.0600590000004</v>
      </c>
      <c r="G1167" s="1">
        <v>6457.669922</v>
      </c>
      <c r="H1167" s="1">
        <v>4059070000</v>
      </c>
      <c r="I1167" s="1">
        <f t="shared" si="18"/>
        <v>-4.2663855433960913E-3</v>
      </c>
    </row>
    <row r="1168" spans="1:9" x14ac:dyDescent="0.35">
      <c r="A1168" s="1">
        <v>1166</v>
      </c>
      <c r="B1168" s="1" t="s">
        <v>1175</v>
      </c>
      <c r="C1168" s="1">
        <v>6465.9399409999996</v>
      </c>
      <c r="D1168" s="1">
        <v>6465.9399409999996</v>
      </c>
      <c r="E1168" s="1">
        <v>6468.3701170000004</v>
      </c>
      <c r="F1168" s="1">
        <v>6429.2099609999996</v>
      </c>
      <c r="G1168" s="1">
        <v>6435.4902339999999</v>
      </c>
      <c r="H1168" s="1">
        <v>4867680000</v>
      </c>
      <c r="I1168" s="1">
        <f t="shared" si="18"/>
        <v>4.1339951621572821E-3</v>
      </c>
    </row>
    <row r="1169" spans="1:9" x14ac:dyDescent="0.35">
      <c r="A1169" s="1">
        <v>1167</v>
      </c>
      <c r="B1169" s="1" t="s">
        <v>1176</v>
      </c>
      <c r="C1169" s="1">
        <v>6481.3999020000001</v>
      </c>
      <c r="D1169" s="1">
        <v>6481.3999020000001</v>
      </c>
      <c r="E1169" s="1">
        <v>6487.0600590000004</v>
      </c>
      <c r="F1169" s="1">
        <v>6457.8398440000001</v>
      </c>
      <c r="G1169" s="1">
        <v>6462.2597660000001</v>
      </c>
      <c r="H1169" s="1">
        <v>4143680000</v>
      </c>
      <c r="I1169" s="1">
        <f t="shared" si="18"/>
        <v>2.3909843179906638E-3</v>
      </c>
    </row>
    <row r="1170" spans="1:9" x14ac:dyDescent="0.35">
      <c r="A1170" s="1">
        <v>1168</v>
      </c>
      <c r="B1170" s="1" t="s">
        <v>1177</v>
      </c>
      <c r="C1170" s="1">
        <v>6501.8598629999997</v>
      </c>
      <c r="D1170" s="1">
        <v>6501.8598629999997</v>
      </c>
      <c r="E1170" s="1">
        <v>6508.2299800000001</v>
      </c>
      <c r="F1170" s="1">
        <v>6466.9599609999996</v>
      </c>
      <c r="G1170" s="1">
        <v>6483.8398440000001</v>
      </c>
      <c r="H1170" s="1">
        <v>4283760000</v>
      </c>
      <c r="I1170" s="1">
        <f t="shared" si="18"/>
        <v>3.156719429345214E-3</v>
      </c>
    </row>
    <row r="1171" spans="1:9" x14ac:dyDescent="0.35">
      <c r="A1171" s="1">
        <v>1169</v>
      </c>
      <c r="B1171" s="1" t="s">
        <v>1178</v>
      </c>
      <c r="C1171" s="1">
        <v>6460.2597660000001</v>
      </c>
      <c r="D1171" s="1">
        <v>6460.2597660000001</v>
      </c>
      <c r="E1171" s="1">
        <v>6491.7597660000001</v>
      </c>
      <c r="F1171" s="1">
        <v>6444.5698240000002</v>
      </c>
      <c r="G1171" s="1">
        <v>6489.2797849999997</v>
      </c>
      <c r="H1171" s="1">
        <v>4234840000</v>
      </c>
      <c r="I1171" s="1">
        <f t="shared" si="18"/>
        <v>-6.3981841929156864E-3</v>
      </c>
    </row>
    <row r="1172" spans="1:9" x14ac:dyDescent="0.35">
      <c r="A1172" s="1">
        <v>1170</v>
      </c>
      <c r="B1172" s="1" t="s">
        <v>1179</v>
      </c>
      <c r="C1172" s="1">
        <v>6415.5400390000004</v>
      </c>
      <c r="D1172" s="1">
        <v>6415.5400390000004</v>
      </c>
      <c r="E1172" s="1">
        <v>6416.5400390000004</v>
      </c>
      <c r="F1172" s="1">
        <v>6360.580078</v>
      </c>
      <c r="G1172" s="1">
        <v>6401.5097660000001</v>
      </c>
      <c r="H1172" s="1">
        <v>4784000000</v>
      </c>
      <c r="I1172" s="1">
        <f t="shared" si="18"/>
        <v>-6.9222800041814437E-3</v>
      </c>
    </row>
    <row r="1173" spans="1:9" x14ac:dyDescent="0.35">
      <c r="A1173" s="1">
        <v>1171</v>
      </c>
      <c r="B1173" s="1" t="s">
        <v>1180</v>
      </c>
      <c r="C1173" s="1">
        <v>6448.2597660000001</v>
      </c>
      <c r="D1173" s="1">
        <v>6448.2597660000001</v>
      </c>
      <c r="E1173" s="1">
        <v>6453.669922</v>
      </c>
      <c r="F1173" s="1">
        <v>6416.169922</v>
      </c>
      <c r="G1173" s="1">
        <v>6445.8198240000002</v>
      </c>
      <c r="H1173" s="1">
        <v>4465360000</v>
      </c>
      <c r="I1173" s="1">
        <f t="shared" si="18"/>
        <v>5.1000736962277249E-3</v>
      </c>
    </row>
    <row r="1174" spans="1:9" x14ac:dyDescent="0.35">
      <c r="A1174" s="1">
        <v>1172</v>
      </c>
      <c r="B1174" s="1" t="s">
        <v>1181</v>
      </c>
      <c r="C1174" s="1">
        <v>6502.080078</v>
      </c>
      <c r="D1174" s="1">
        <v>6502.080078</v>
      </c>
      <c r="E1174" s="1">
        <v>6502.5400390000004</v>
      </c>
      <c r="F1174" s="1">
        <v>6445.9799800000001</v>
      </c>
      <c r="G1174" s="1">
        <v>6456.6000979999999</v>
      </c>
      <c r="H1174" s="1">
        <v>4670770000</v>
      </c>
      <c r="I1174" s="1">
        <f t="shared" si="18"/>
        <v>8.3464863316736037E-3</v>
      </c>
    </row>
    <row r="1175" spans="1:9" x14ac:dyDescent="0.35">
      <c r="A1175" s="1">
        <v>1173</v>
      </c>
      <c r="B1175" s="1" t="s">
        <v>1182</v>
      </c>
      <c r="C1175" s="1">
        <v>6481.5</v>
      </c>
      <c r="D1175" s="1">
        <v>6481.5</v>
      </c>
      <c r="E1175" s="1">
        <v>6532.6499020000001</v>
      </c>
      <c r="F1175" s="1">
        <v>6443.9799800000001</v>
      </c>
      <c r="G1175" s="1">
        <v>6529.080078</v>
      </c>
      <c r="H1175" s="1">
        <v>5066120000</v>
      </c>
      <c r="I1175" s="1">
        <f t="shared" si="18"/>
        <v>-3.1651529592250523E-3</v>
      </c>
    </row>
    <row r="1176" spans="1:9" x14ac:dyDescent="0.35">
      <c r="A1176" s="1">
        <v>1174</v>
      </c>
      <c r="B1176" s="1" t="s">
        <v>1183</v>
      </c>
      <c r="C1176" s="1">
        <v>6495.1499020000001</v>
      </c>
      <c r="D1176" s="1">
        <v>6495.1499020000001</v>
      </c>
      <c r="E1176" s="1">
        <v>6508.669922</v>
      </c>
      <c r="F1176" s="1">
        <v>6483.2900390000004</v>
      </c>
      <c r="G1176" s="1">
        <v>6498.0898440000001</v>
      </c>
      <c r="H1176" s="1">
        <v>5211500000</v>
      </c>
      <c r="I1176" s="1">
        <f t="shared" si="18"/>
        <v>2.1059788629175518E-3</v>
      </c>
    </row>
    <row r="1177" spans="1:9" x14ac:dyDescent="0.35">
      <c r="A1177" s="1">
        <v>1175</v>
      </c>
      <c r="B1177" s="1" t="s">
        <v>1184</v>
      </c>
      <c r="C1177" s="1">
        <v>6512.6098629999997</v>
      </c>
      <c r="D1177" s="1">
        <v>6512.6098629999997</v>
      </c>
      <c r="E1177" s="1">
        <v>6518.2299800000001</v>
      </c>
      <c r="F1177" s="1">
        <v>6483.080078</v>
      </c>
      <c r="G1177" s="1">
        <v>6503.330078</v>
      </c>
      <c r="H1177" s="1">
        <v>4798350000</v>
      </c>
      <c r="I1177" s="1">
        <f t="shared" si="18"/>
        <v>2.6881536628774738E-3</v>
      </c>
    </row>
    <row r="1178" spans="1:9" x14ac:dyDescent="0.35">
      <c r="A1178" s="1">
        <v>1176</v>
      </c>
      <c r="B1178" s="1" t="s">
        <v>1185</v>
      </c>
      <c r="C1178" s="1">
        <v>6532.0400390000004</v>
      </c>
      <c r="D1178" s="1">
        <v>6532.0400390000004</v>
      </c>
      <c r="E1178" s="1">
        <v>6555.9702150000003</v>
      </c>
      <c r="F1178" s="1">
        <v>6516.3398440000001</v>
      </c>
      <c r="G1178" s="1">
        <v>6550.2900390000004</v>
      </c>
      <c r="H1178" s="1">
        <v>5253010000</v>
      </c>
      <c r="I1178" s="1">
        <f t="shared" si="18"/>
        <v>2.9834699772804058E-3</v>
      </c>
    </row>
    <row r="1179" spans="1:9" x14ac:dyDescent="0.35">
      <c r="A1179" s="1">
        <v>1177</v>
      </c>
      <c r="B1179" s="1" t="s">
        <v>1186</v>
      </c>
      <c r="C1179" s="1">
        <v>6587.4702150000003</v>
      </c>
      <c r="D1179" s="1">
        <v>6587.4702150000003</v>
      </c>
      <c r="E1179" s="1">
        <v>6592.8901370000003</v>
      </c>
      <c r="F1179" s="1">
        <v>6545.7998049999997</v>
      </c>
      <c r="G1179" s="1">
        <v>6554.4101559999999</v>
      </c>
      <c r="H1179" s="1">
        <v>5426460000</v>
      </c>
      <c r="I1179" s="1">
        <f t="shared" si="18"/>
        <v>8.485890421529892E-3</v>
      </c>
    </row>
    <row r="1180" spans="1:9" x14ac:dyDescent="0.35">
      <c r="A1180" s="1">
        <v>1178</v>
      </c>
      <c r="B1180" s="1" t="s">
        <v>1187</v>
      </c>
      <c r="C1180" s="1">
        <v>6584.2900390000004</v>
      </c>
      <c r="D1180" s="1">
        <v>6584.2900390000004</v>
      </c>
      <c r="E1180" s="1">
        <v>6600.2099609999996</v>
      </c>
      <c r="F1180" s="1">
        <v>6579.4902339999999</v>
      </c>
      <c r="G1180" s="1">
        <v>6590.6601559999999</v>
      </c>
      <c r="H1180" s="1">
        <v>4641640000</v>
      </c>
      <c r="I1180" s="1">
        <f t="shared" si="18"/>
        <v>-4.8276134786286038E-4</v>
      </c>
    </row>
    <row r="1181" spans="1:9" x14ac:dyDescent="0.35">
      <c r="A1181" s="1">
        <v>1179</v>
      </c>
      <c r="B1181" s="1" t="s">
        <v>1188</v>
      </c>
      <c r="C1181" s="1">
        <v>6615.2797849999997</v>
      </c>
      <c r="D1181" s="1">
        <v>6615.2797849999997</v>
      </c>
      <c r="E1181" s="1">
        <v>6619.6201170000004</v>
      </c>
      <c r="F1181" s="1">
        <v>6602.0698240000002</v>
      </c>
      <c r="G1181" s="1">
        <v>6603.4902339999999</v>
      </c>
      <c r="H1181" s="1">
        <v>5045020000</v>
      </c>
      <c r="I1181" s="1">
        <f t="shared" si="18"/>
        <v>4.7066192127687475E-3</v>
      </c>
    </row>
    <row r="1182" spans="1:9" x14ac:dyDescent="0.35">
      <c r="A1182" s="1">
        <v>1180</v>
      </c>
      <c r="B1182" s="1" t="s">
        <v>1189</v>
      </c>
      <c r="C1182" s="1">
        <v>6606.7597660000001</v>
      </c>
      <c r="D1182" s="1">
        <v>6606.7597660000001</v>
      </c>
      <c r="E1182" s="1">
        <v>6626.9902339999999</v>
      </c>
      <c r="F1182" s="1">
        <v>6600.1098629999997</v>
      </c>
      <c r="G1182" s="1">
        <v>6624.1298829999996</v>
      </c>
      <c r="H1182" s="1">
        <v>5359510000</v>
      </c>
      <c r="I1182" s="1">
        <f t="shared" si="18"/>
        <v>-1.2879302579640768E-3</v>
      </c>
    </row>
    <row r="1183" spans="1:9" x14ac:dyDescent="0.35">
      <c r="A1183" s="1">
        <v>1181</v>
      </c>
      <c r="B1183" s="1" t="s">
        <v>1190</v>
      </c>
      <c r="C1183" s="1">
        <v>6600.3500979999999</v>
      </c>
      <c r="D1183" s="1">
        <v>6600.3500979999999</v>
      </c>
      <c r="E1183" s="1">
        <v>6624.3901370000003</v>
      </c>
      <c r="F1183" s="1">
        <v>6551.1499020000001</v>
      </c>
      <c r="G1183" s="1">
        <v>6604.8701170000004</v>
      </c>
      <c r="H1183" s="1">
        <v>5805340000</v>
      </c>
      <c r="I1183" s="1">
        <f t="shared" si="18"/>
        <v>-9.7016816518529327E-4</v>
      </c>
    </row>
    <row r="1184" spans="1:9" x14ac:dyDescent="0.35">
      <c r="A1184" s="1">
        <v>1182</v>
      </c>
      <c r="B1184" s="1" t="s">
        <v>1191</v>
      </c>
      <c r="C1184" s="1">
        <v>6631.9599609999996</v>
      </c>
      <c r="D1184" s="1">
        <v>6631.9599609999996</v>
      </c>
      <c r="E1184" s="1">
        <v>6656.7998049999997</v>
      </c>
      <c r="F1184" s="1">
        <v>6611.8901370000003</v>
      </c>
      <c r="G1184" s="1">
        <v>6626.8500979999999</v>
      </c>
      <c r="H1184" s="1">
        <v>5292400000</v>
      </c>
      <c r="I1184" s="1">
        <f t="shared" si="18"/>
        <v>4.7891191422676071E-3</v>
      </c>
    </row>
    <row r="1185" spans="1:9" x14ac:dyDescent="0.35">
      <c r="A1185" s="1">
        <v>1183</v>
      </c>
      <c r="B1185" s="1" t="s">
        <v>1192</v>
      </c>
      <c r="C1185" s="1">
        <v>6664.3598629999997</v>
      </c>
      <c r="D1185" s="1">
        <v>6664.3598629999997</v>
      </c>
      <c r="E1185" s="1">
        <v>6671.8198240000002</v>
      </c>
      <c r="F1185" s="1">
        <v>6630.3100590000004</v>
      </c>
      <c r="G1185" s="1">
        <v>6647.1098629999997</v>
      </c>
      <c r="H1185" s="1">
        <v>9125960000</v>
      </c>
      <c r="I1185" s="1">
        <f t="shared" si="18"/>
        <v>4.8854188189511767E-3</v>
      </c>
    </row>
    <row r="1186" spans="1:9" x14ac:dyDescent="0.35">
      <c r="A1186" s="1">
        <v>1184</v>
      </c>
      <c r="B1186" s="1" t="s">
        <v>1193</v>
      </c>
      <c r="C1186" s="1">
        <v>6693.75</v>
      </c>
      <c r="D1186" s="1">
        <v>6693.75</v>
      </c>
      <c r="E1186" s="1">
        <v>6698.8798829999996</v>
      </c>
      <c r="F1186" s="1">
        <v>6648.0698240000002</v>
      </c>
      <c r="G1186" s="1">
        <v>6654.2797849999997</v>
      </c>
      <c r="H1186" s="1">
        <v>5642620000</v>
      </c>
      <c r="I1186" s="1">
        <f t="shared" si="18"/>
        <v>4.4100465167212898E-3</v>
      </c>
    </row>
    <row r="1187" spans="1:9" x14ac:dyDescent="0.35">
      <c r="A1187" s="1">
        <v>1185</v>
      </c>
      <c r="B1187" s="1" t="s">
        <v>1194</v>
      </c>
      <c r="C1187" s="1">
        <v>6656.919922</v>
      </c>
      <c r="D1187" s="1">
        <v>6656.919922</v>
      </c>
      <c r="E1187" s="1">
        <v>6699.5200199999999</v>
      </c>
      <c r="F1187" s="1">
        <v>6645.580078</v>
      </c>
      <c r="G1187" s="1">
        <v>6692.4399409999996</v>
      </c>
      <c r="H1187" s="1">
        <v>5633620000</v>
      </c>
      <c r="I1187" s="1">
        <f t="shared" si="18"/>
        <v>-5.5021591783379958E-3</v>
      </c>
    </row>
    <row r="1188" spans="1:9" x14ac:dyDescent="0.35">
      <c r="A1188" s="1">
        <v>1186</v>
      </c>
      <c r="B1188" s="1" t="s">
        <v>1195</v>
      </c>
      <c r="C1188" s="1">
        <v>6637.9702150000003</v>
      </c>
      <c r="D1188" s="1">
        <v>6637.9702150000003</v>
      </c>
      <c r="E1188" s="1">
        <v>6672.6601559999999</v>
      </c>
      <c r="F1188" s="1">
        <v>6621.7597660000001</v>
      </c>
      <c r="G1188" s="1">
        <v>6669.7900390000004</v>
      </c>
      <c r="H1188" s="1">
        <v>5459180000</v>
      </c>
      <c r="I1188" s="1">
        <f t="shared" si="18"/>
        <v>-2.8466178385854047E-3</v>
      </c>
    </row>
    <row r="1189" spans="1:9" x14ac:dyDescent="0.35">
      <c r="A1189" s="1">
        <v>1187</v>
      </c>
      <c r="B1189" s="1" t="s">
        <v>1196</v>
      </c>
      <c r="C1189" s="1">
        <v>6604.7202150000003</v>
      </c>
      <c r="D1189" s="1">
        <v>6604.7202150000003</v>
      </c>
      <c r="E1189" s="1">
        <v>6619</v>
      </c>
      <c r="F1189" s="1">
        <v>6569.2202150000003</v>
      </c>
      <c r="G1189" s="1">
        <v>6608.1899409999996</v>
      </c>
      <c r="H1189" s="1">
        <v>5874670000</v>
      </c>
      <c r="I1189" s="1">
        <f t="shared" si="18"/>
        <v>-5.0090613430087529E-3</v>
      </c>
    </row>
    <row r="1190" spans="1:9" x14ac:dyDescent="0.35">
      <c r="A1190" s="1">
        <v>1188</v>
      </c>
      <c r="B1190" s="1" t="s">
        <v>1197</v>
      </c>
      <c r="C1190" s="1">
        <v>6643.7001950000003</v>
      </c>
      <c r="D1190" s="1">
        <v>6643.7001950000003</v>
      </c>
      <c r="E1190" s="1">
        <v>6648.9702150000003</v>
      </c>
      <c r="F1190" s="1">
        <v>6604.4301759999998</v>
      </c>
      <c r="G1190" s="1">
        <v>6615.3798829999996</v>
      </c>
      <c r="H1190" s="1">
        <v>5103110000</v>
      </c>
      <c r="I1190" s="1">
        <f t="shared" si="18"/>
        <v>5.9018366760597244E-3</v>
      </c>
    </row>
    <row r="1191" spans="1:9" x14ac:dyDescent="0.35">
      <c r="A1191" s="1">
        <v>1189</v>
      </c>
      <c r="B1191" s="1" t="s">
        <v>1198</v>
      </c>
      <c r="C1191" s="1">
        <v>6661.2099609999996</v>
      </c>
      <c r="D1191" s="1">
        <v>6661.2099609999996</v>
      </c>
      <c r="E1191" s="1">
        <v>6677.3100590000004</v>
      </c>
      <c r="F1191" s="1">
        <v>6644.4902339999999</v>
      </c>
      <c r="G1191" s="1">
        <v>6661.580078</v>
      </c>
      <c r="H1191" s="1">
        <v>5358760000</v>
      </c>
      <c r="I1191" s="1">
        <f t="shared" si="18"/>
        <v>2.6355442729304578E-3</v>
      </c>
    </row>
    <row r="1192" spans="1:9" x14ac:dyDescent="0.35">
      <c r="A1192" s="1">
        <v>1190</v>
      </c>
      <c r="B1192" s="1" t="s">
        <v>1199</v>
      </c>
      <c r="C1192" s="1">
        <v>6688.4599609999996</v>
      </c>
      <c r="D1192" s="1">
        <v>6688.4599609999996</v>
      </c>
      <c r="E1192" s="1">
        <v>6691.25</v>
      </c>
      <c r="F1192" s="1">
        <v>6641</v>
      </c>
      <c r="G1192" s="1">
        <v>6656.1899409999996</v>
      </c>
      <c r="H1192" s="1">
        <v>6057210000</v>
      </c>
      <c r="I1192" s="1">
        <f t="shared" si="18"/>
        <v>4.0908483833332213E-3</v>
      </c>
    </row>
    <row r="1193" spans="1:9" x14ac:dyDescent="0.35">
      <c r="A1193" s="1">
        <v>1191</v>
      </c>
      <c r="B1193" s="1" t="s">
        <v>1200</v>
      </c>
      <c r="C1193" s="1">
        <v>6711.2001950000003</v>
      </c>
      <c r="D1193" s="1">
        <v>6711.2001950000003</v>
      </c>
      <c r="E1193" s="1">
        <v>6718.4799800000001</v>
      </c>
      <c r="F1193" s="1">
        <v>6656.2001950000003</v>
      </c>
      <c r="G1193" s="1">
        <v>6664.919922</v>
      </c>
      <c r="H1193" s="1">
        <v>6037950000</v>
      </c>
      <c r="I1193" s="1">
        <f t="shared" si="18"/>
        <v>3.399920778863549E-3</v>
      </c>
    </row>
    <row r="1194" spans="1:9" x14ac:dyDescent="0.35">
      <c r="A1194" s="1">
        <v>1192</v>
      </c>
      <c r="B1194" s="1" t="s">
        <v>1201</v>
      </c>
      <c r="C1194" s="1">
        <v>6715.3500979999999</v>
      </c>
      <c r="D1194" s="1">
        <v>6715.3500979999999</v>
      </c>
      <c r="E1194" s="1">
        <v>6731.9399409999996</v>
      </c>
      <c r="F1194" s="1">
        <v>6693.2299800000001</v>
      </c>
      <c r="G1194" s="1">
        <v>6731.3100590000004</v>
      </c>
      <c r="H1194" s="1">
        <v>5416130000</v>
      </c>
      <c r="I1194" s="1">
        <f t="shared" si="18"/>
        <v>6.1835482170406926E-4</v>
      </c>
    </row>
    <row r="1195" spans="1:9" x14ac:dyDescent="0.35">
      <c r="A1195" s="1">
        <v>1193</v>
      </c>
      <c r="B1195" s="1" t="s">
        <v>1202</v>
      </c>
      <c r="C1195" s="1">
        <v>6715.7900390000004</v>
      </c>
      <c r="D1195" s="1">
        <v>6715.7900390000004</v>
      </c>
      <c r="E1195" s="1">
        <v>6750.8701170000004</v>
      </c>
      <c r="F1195" s="1">
        <v>6705.669922</v>
      </c>
      <c r="G1195" s="1">
        <v>6722.1401370000003</v>
      </c>
      <c r="H1195" s="1">
        <v>5713110000</v>
      </c>
      <c r="I1195" s="1">
        <f t="shared" si="18"/>
        <v>6.5512742236859708E-5</v>
      </c>
    </row>
    <row r="1196" spans="1:9" x14ac:dyDescent="0.35">
      <c r="A1196" s="1">
        <v>1194</v>
      </c>
      <c r="B1196" s="1" t="s">
        <v>1203</v>
      </c>
      <c r="C1196" s="1">
        <v>6740.2797849999997</v>
      </c>
      <c r="D1196" s="1">
        <v>6740.2797849999997</v>
      </c>
      <c r="E1196" s="1">
        <v>6749.5200199999999</v>
      </c>
      <c r="F1196" s="1">
        <v>6717.7797849999997</v>
      </c>
      <c r="G1196" s="1">
        <v>6733.8598629999997</v>
      </c>
      <c r="H1196" s="1">
        <v>5604460000</v>
      </c>
      <c r="I1196" s="1">
        <f t="shared" si="18"/>
        <v>3.6465919657675712E-3</v>
      </c>
    </row>
    <row r="1197" spans="1:9" x14ac:dyDescent="0.35">
      <c r="A1197" s="1">
        <v>1195</v>
      </c>
      <c r="B1197" s="1" t="s">
        <v>1204</v>
      </c>
      <c r="C1197" s="1">
        <v>6714.5898440000001</v>
      </c>
      <c r="D1197" s="1">
        <v>6714.5898440000001</v>
      </c>
      <c r="E1197" s="1">
        <v>6754.4902339999999</v>
      </c>
      <c r="F1197" s="1">
        <v>6699.9599609999996</v>
      </c>
      <c r="G1197" s="1">
        <v>6746.1401370000003</v>
      </c>
      <c r="H1197" s="1">
        <v>5546150000</v>
      </c>
      <c r="I1197" s="1">
        <f t="shared" si="18"/>
        <v>-3.8114057308378684E-3</v>
      </c>
    </row>
    <row r="1198" spans="1:9" x14ac:dyDescent="0.35">
      <c r="A1198" s="1">
        <v>1196</v>
      </c>
      <c r="B1198" s="1" t="s">
        <v>1205</v>
      </c>
      <c r="C1198" s="1">
        <v>6753.7202150000003</v>
      </c>
      <c r="D1198" s="1">
        <v>6753.7202150000003</v>
      </c>
      <c r="E1198" s="1">
        <v>6755.6401370000003</v>
      </c>
      <c r="F1198" s="1">
        <v>6718.0898440000001</v>
      </c>
      <c r="G1198" s="1">
        <v>6723.8701170000004</v>
      </c>
      <c r="H1198" s="1">
        <v>5383130000</v>
      </c>
      <c r="I1198" s="1">
        <f t="shared" si="18"/>
        <v>5.8276636263890607E-3</v>
      </c>
    </row>
    <row r="1199" spans="1:9" x14ac:dyDescent="0.35">
      <c r="A1199" s="1">
        <v>1197</v>
      </c>
      <c r="B1199" s="1" t="s">
        <v>1206</v>
      </c>
      <c r="C1199" s="1">
        <v>6735.1098629999997</v>
      </c>
      <c r="D1199" s="1">
        <v>6735.1098629999997</v>
      </c>
      <c r="E1199" s="1">
        <v>6764.580078</v>
      </c>
      <c r="F1199" s="1">
        <v>6716.169922</v>
      </c>
      <c r="G1199" s="1">
        <v>6760.5</v>
      </c>
      <c r="H1199" s="1">
        <v>5385020000</v>
      </c>
      <c r="I1199" s="1">
        <f t="shared" si="18"/>
        <v>-2.7555704719107324E-3</v>
      </c>
    </row>
    <row r="1200" spans="1:9" x14ac:dyDescent="0.35">
      <c r="A1200" s="1">
        <v>1198</v>
      </c>
      <c r="B1200" s="1" t="s">
        <v>1207</v>
      </c>
      <c r="C1200" s="1">
        <v>6552.5097660000001</v>
      </c>
      <c r="D1200" s="1">
        <v>6552.5097660000001</v>
      </c>
      <c r="E1200" s="1">
        <v>6762.3999020000001</v>
      </c>
      <c r="F1200" s="1">
        <v>6550.7797849999997</v>
      </c>
      <c r="G1200" s="1">
        <v>6740.4902339999999</v>
      </c>
      <c r="H1200" s="1">
        <v>6596610000</v>
      </c>
      <c r="I1200" s="1">
        <f t="shared" si="18"/>
        <v>-2.7111673115108554E-2</v>
      </c>
    </row>
    <row r="1201" spans="1:9" x14ac:dyDescent="0.35">
      <c r="A1201" s="1">
        <v>1199</v>
      </c>
      <c r="B1201" s="1" t="s">
        <v>1208</v>
      </c>
      <c r="C1201" s="1">
        <v>6654.7202150000003</v>
      </c>
      <c r="D1201" s="1">
        <v>6654.7202150000003</v>
      </c>
      <c r="E1201" s="1">
        <v>6668.6801759999998</v>
      </c>
      <c r="F1201" s="1">
        <v>6620.7099609999996</v>
      </c>
      <c r="G1201" s="1">
        <v>6622.5297849999997</v>
      </c>
      <c r="H1201" s="1">
        <v>5303960000</v>
      </c>
      <c r="I1201" s="1">
        <f t="shared" si="18"/>
        <v>1.5598671753280703E-2</v>
      </c>
    </row>
    <row r="1202" spans="1:9" x14ac:dyDescent="0.35">
      <c r="A1202" s="1">
        <v>1200</v>
      </c>
      <c r="B1202" s="1" t="s">
        <v>1209</v>
      </c>
      <c r="C1202" s="1">
        <v>6644.3100590000004</v>
      </c>
      <c r="D1202" s="1">
        <v>6644.3100590000004</v>
      </c>
      <c r="E1202" s="1">
        <v>6680.7001950000003</v>
      </c>
      <c r="F1202" s="1">
        <v>6555.0698240000002</v>
      </c>
      <c r="G1202" s="1">
        <v>6602.4902339999999</v>
      </c>
      <c r="H1202" s="1">
        <v>5666920000</v>
      </c>
      <c r="I1202" s="1">
        <f t="shared" si="18"/>
        <v>-1.5643266228586162E-3</v>
      </c>
    </row>
    <row r="1203" spans="1:9" x14ac:dyDescent="0.35">
      <c r="A1203" s="1">
        <v>1201</v>
      </c>
      <c r="B1203" s="1" t="s">
        <v>1210</v>
      </c>
      <c r="C1203" s="1">
        <v>6671.0600590000004</v>
      </c>
      <c r="D1203" s="1">
        <v>6671.0600590000004</v>
      </c>
      <c r="E1203" s="1">
        <v>6724.1201170000004</v>
      </c>
      <c r="F1203" s="1">
        <v>6612.1098629999997</v>
      </c>
      <c r="G1203" s="1">
        <v>6688.2700199999999</v>
      </c>
      <c r="H1203" s="1">
        <v>5633060000</v>
      </c>
      <c r="I1203" s="1">
        <f t="shared" si="18"/>
        <v>4.0260011592574592E-3</v>
      </c>
    </row>
    <row r="1204" spans="1:9" x14ac:dyDescent="0.35">
      <c r="A1204" s="1">
        <v>1202</v>
      </c>
      <c r="B1204" s="1" t="s">
        <v>1211</v>
      </c>
      <c r="C1204" s="1">
        <v>6629.0698240000002</v>
      </c>
      <c r="D1204" s="1">
        <v>6629.0698240000002</v>
      </c>
      <c r="E1204" s="1">
        <v>6709.3398440000001</v>
      </c>
      <c r="F1204" s="1">
        <v>6593.9902339999999</v>
      </c>
      <c r="G1204" s="1">
        <v>6689.0200199999999</v>
      </c>
      <c r="H1204" s="1">
        <v>6048180000</v>
      </c>
      <c r="I1204" s="1">
        <f t="shared" si="18"/>
        <v>-6.2943871931344288E-3</v>
      </c>
    </row>
    <row r="1205" spans="1:9" x14ac:dyDescent="0.35">
      <c r="A1205" s="1">
        <v>1203</v>
      </c>
      <c r="B1205" s="1" t="s">
        <v>1212</v>
      </c>
      <c r="C1205" s="1">
        <v>6664.0097660000001</v>
      </c>
      <c r="D1205" s="1">
        <v>6664.0097660000001</v>
      </c>
      <c r="E1205" s="1">
        <v>6678.8798829999996</v>
      </c>
      <c r="F1205" s="1">
        <v>6603.7597660000001</v>
      </c>
      <c r="G1205" s="1">
        <v>6613.2700199999999</v>
      </c>
      <c r="H1205" s="1">
        <v>5358120000</v>
      </c>
      <c r="I1205" s="1">
        <f t="shared" si="18"/>
        <v>5.2707156399986613E-3</v>
      </c>
    </row>
    <row r="1206" spans="1:9" x14ac:dyDescent="0.35">
      <c r="A1206" s="1">
        <v>1204</v>
      </c>
      <c r="B1206" s="1" t="s">
        <v>1213</v>
      </c>
      <c r="C1206" s="1">
        <v>6735.1298829999996</v>
      </c>
      <c r="D1206" s="1">
        <v>6735.1298829999996</v>
      </c>
      <c r="E1206" s="1">
        <v>6744.3500979999999</v>
      </c>
      <c r="F1206" s="1">
        <v>6690.0498049999997</v>
      </c>
      <c r="G1206" s="1">
        <v>6690.0498049999997</v>
      </c>
      <c r="H1206" s="1">
        <v>4672170000</v>
      </c>
      <c r="I1206" s="1">
        <f t="shared" si="18"/>
        <v>1.06722708245202E-2</v>
      </c>
    </row>
    <row r="1207" spans="1:9" x14ac:dyDescent="0.35">
      <c r="A1207" s="1">
        <v>1205</v>
      </c>
      <c r="B1207" s="1" t="s">
        <v>1214</v>
      </c>
      <c r="C1207" s="1">
        <v>6735.3500979999999</v>
      </c>
      <c r="D1207" s="1">
        <v>6735.3500979999999</v>
      </c>
      <c r="E1207" s="1">
        <v>6752.1601559999999</v>
      </c>
      <c r="F1207" s="1">
        <v>6722.0297849999997</v>
      </c>
      <c r="G1207" s="1">
        <v>6736.75</v>
      </c>
      <c r="H1207" s="1">
        <v>5245020000</v>
      </c>
      <c r="I1207" s="1">
        <f t="shared" si="18"/>
        <v>3.2696474132758798E-5</v>
      </c>
    </row>
    <row r="1208" spans="1:9" x14ac:dyDescent="0.35">
      <c r="A1208" s="1">
        <v>1206</v>
      </c>
      <c r="B1208" s="1" t="s">
        <v>1215</v>
      </c>
      <c r="C1208" s="1">
        <v>6699.3999020000001</v>
      </c>
      <c r="D1208" s="1">
        <v>6699.3999020000001</v>
      </c>
      <c r="E1208" s="1">
        <v>6741.75</v>
      </c>
      <c r="F1208" s="1">
        <v>6655.6899409999996</v>
      </c>
      <c r="G1208" s="1">
        <v>6741.3398440000001</v>
      </c>
      <c r="H1208" s="1">
        <v>5710010000</v>
      </c>
      <c r="I1208" s="1">
        <f t="shared" si="18"/>
        <v>-5.3375393226663681E-3</v>
      </c>
    </row>
    <row r="1209" spans="1:9" x14ac:dyDescent="0.35">
      <c r="A1209" s="1">
        <v>1207</v>
      </c>
      <c r="B1209" s="1" t="s">
        <v>1216</v>
      </c>
      <c r="C1209" s="1">
        <v>6738.4399409999996</v>
      </c>
      <c r="D1209" s="1">
        <v>6738.4399409999996</v>
      </c>
      <c r="E1209" s="1">
        <v>6749.5297849999997</v>
      </c>
      <c r="F1209" s="1">
        <v>6700.1401370000003</v>
      </c>
      <c r="G1209" s="1">
        <v>6703.6499020000001</v>
      </c>
      <c r="H1209" s="1">
        <v>5565750000</v>
      </c>
      <c r="I1209" s="1">
        <f t="shared" si="18"/>
        <v>5.8273934339021522E-3</v>
      </c>
    </row>
    <row r="1210" spans="1:9" x14ac:dyDescent="0.35">
      <c r="A1210" s="1">
        <v>1208</v>
      </c>
      <c r="B1210" s="1" t="s">
        <v>1217</v>
      </c>
      <c r="C1210" s="1">
        <v>6791.6899409999996</v>
      </c>
      <c r="D1210" s="1">
        <v>6791.6899409999996</v>
      </c>
      <c r="E1210" s="1">
        <v>6807.1098629999997</v>
      </c>
      <c r="F1210" s="1">
        <v>6772.0698240000002</v>
      </c>
      <c r="G1210" s="1">
        <v>6772.0698240000002</v>
      </c>
      <c r="H1210" s="1">
        <v>5058220000</v>
      </c>
      <c r="I1210" s="1">
        <f t="shared" si="18"/>
        <v>7.9024225883502618E-3</v>
      </c>
    </row>
    <row r="1211" spans="1:9" x14ac:dyDescent="0.35">
      <c r="A1211" s="1">
        <v>1209</v>
      </c>
      <c r="B1211" s="1" t="s">
        <v>1218</v>
      </c>
      <c r="C1211" s="1">
        <v>6875.1601559999999</v>
      </c>
      <c r="D1211" s="1">
        <v>6875.1601559999999</v>
      </c>
      <c r="E1211" s="1">
        <v>6877.2797849999997</v>
      </c>
      <c r="F1211" s="1">
        <v>6843.9399409999996</v>
      </c>
      <c r="G1211" s="1">
        <v>6845.4599609999996</v>
      </c>
      <c r="H1211" s="1">
        <v>5290650000</v>
      </c>
      <c r="I1211" s="1">
        <f t="shared" si="18"/>
        <v>1.2290050889412398E-2</v>
      </c>
    </row>
    <row r="1212" spans="1:9" x14ac:dyDescent="0.35">
      <c r="A1212" s="1">
        <v>1210</v>
      </c>
      <c r="B1212" s="1" t="s">
        <v>1219</v>
      </c>
      <c r="C1212" s="1">
        <v>6890.8901370000003</v>
      </c>
      <c r="D1212" s="1">
        <v>6890.8901370000003</v>
      </c>
      <c r="E1212" s="1">
        <v>6911.2998049999997</v>
      </c>
      <c r="F1212" s="1">
        <v>6870.7299800000001</v>
      </c>
      <c r="G1212" s="1">
        <v>6897.7402339999999</v>
      </c>
      <c r="H1212" s="1">
        <v>5695930000</v>
      </c>
      <c r="I1212" s="1">
        <f t="shared" si="18"/>
        <v>2.287943937752889E-3</v>
      </c>
    </row>
    <row r="1213" spans="1:9" x14ac:dyDescent="0.35">
      <c r="A1213" s="1">
        <v>1211</v>
      </c>
      <c r="B1213" s="1" t="s">
        <v>1220</v>
      </c>
      <c r="C1213" s="1">
        <v>6890.5898440000001</v>
      </c>
      <c r="D1213" s="1">
        <v>6890.5898440000001</v>
      </c>
      <c r="E1213" s="1">
        <v>6920.3398440000001</v>
      </c>
      <c r="F1213" s="1">
        <v>6851.9101559999999</v>
      </c>
      <c r="G1213" s="1">
        <v>6910.9501950000003</v>
      </c>
      <c r="H1213" s="1">
        <v>6280130000</v>
      </c>
      <c r="I1213" s="1">
        <f t="shared" si="18"/>
        <v>-4.3578259706658551E-5</v>
      </c>
    </row>
    <row r="1214" spans="1:9" x14ac:dyDescent="0.35">
      <c r="A1214" s="1">
        <v>1212</v>
      </c>
      <c r="B1214" s="1" t="s">
        <v>1221</v>
      </c>
      <c r="C1214" s="1">
        <v>6822.3398440000001</v>
      </c>
      <c r="D1214" s="1">
        <v>6822.3398440000001</v>
      </c>
      <c r="E1214" s="1">
        <v>6880.75</v>
      </c>
      <c r="F1214" s="1">
        <v>6820.6899409999996</v>
      </c>
      <c r="G1214" s="1">
        <v>6860.5</v>
      </c>
      <c r="H1214" s="1">
        <v>6052700000</v>
      </c>
      <c r="I1214" s="1">
        <f t="shared" si="18"/>
        <v>-9.9048124391598897E-3</v>
      </c>
    </row>
    <row r="1215" spans="1:9" x14ac:dyDescent="0.35">
      <c r="A1215" s="1">
        <v>1213</v>
      </c>
      <c r="B1215" s="1" t="s">
        <v>1222</v>
      </c>
      <c r="C1215" s="1">
        <v>6840.2001950000003</v>
      </c>
      <c r="D1215" s="1">
        <v>6840.2001950000003</v>
      </c>
      <c r="E1215" s="1">
        <v>6879.169922</v>
      </c>
      <c r="F1215" s="1">
        <v>6814.2597660000001</v>
      </c>
      <c r="G1215" s="1">
        <v>6879.169922</v>
      </c>
      <c r="H1215" s="1">
        <v>6398280000</v>
      </c>
      <c r="I1215" s="1">
        <f t="shared" si="18"/>
        <v>2.6179216234306761E-3</v>
      </c>
    </row>
    <row r="1216" spans="1:9" x14ac:dyDescent="0.35">
      <c r="A1216" s="1">
        <v>1214</v>
      </c>
      <c r="B1216" s="1" t="s">
        <v>1223</v>
      </c>
      <c r="C1216" s="1">
        <v>6851.9702150000003</v>
      </c>
      <c r="D1216" s="1">
        <v>6851.9702150000003</v>
      </c>
      <c r="E1216" s="1">
        <v>6882.3198240000002</v>
      </c>
      <c r="F1216" s="1">
        <v>6820.6201170000004</v>
      </c>
      <c r="G1216" s="1">
        <v>6882.3198240000002</v>
      </c>
      <c r="H1216" s="1">
        <v>6065720000</v>
      </c>
      <c r="I1216" s="1">
        <f t="shared" si="18"/>
        <v>1.7207127955996806E-3</v>
      </c>
    </row>
    <row r="1217" spans="1:9" x14ac:dyDescent="0.35">
      <c r="A1217" s="1">
        <v>1215</v>
      </c>
      <c r="B1217" s="1" t="s">
        <v>1224</v>
      </c>
      <c r="C1217" s="1">
        <v>6771.5498049999997</v>
      </c>
      <c r="D1217" s="1">
        <v>6771.5498049999997</v>
      </c>
      <c r="E1217" s="1">
        <v>6820.2099609999996</v>
      </c>
      <c r="F1217" s="1">
        <v>6766.7099609999996</v>
      </c>
      <c r="G1217" s="1">
        <v>6788.5200199999999</v>
      </c>
      <c r="H1217" s="1">
        <v>5739510000</v>
      </c>
      <c r="I1217" s="1">
        <f t="shared" si="18"/>
        <v>-1.1736830061512552E-2</v>
      </c>
    </row>
    <row r="1218" spans="1:9" x14ac:dyDescent="0.35">
      <c r="A1218" s="1">
        <v>1216</v>
      </c>
      <c r="B1218" s="1" t="s">
        <v>1225</v>
      </c>
      <c r="C1218" s="1">
        <v>6796.2900390000004</v>
      </c>
      <c r="D1218" s="1">
        <v>6796.2900390000004</v>
      </c>
      <c r="E1218" s="1">
        <v>6829.7797849999997</v>
      </c>
      <c r="F1218" s="1">
        <v>6763.1098629999997</v>
      </c>
      <c r="G1218" s="1">
        <v>6769.7700199999999</v>
      </c>
      <c r="H1218" s="1">
        <v>5939600000</v>
      </c>
      <c r="I1218" s="1">
        <f t="shared" si="18"/>
        <v>3.653555642717566E-3</v>
      </c>
    </row>
    <row r="1219" spans="1:9" x14ac:dyDescent="0.35">
      <c r="A1219" s="1">
        <v>1217</v>
      </c>
      <c r="B1219" s="1" t="s">
        <v>1226</v>
      </c>
      <c r="C1219" s="1">
        <v>6720.3198240000002</v>
      </c>
      <c r="D1219" s="1">
        <v>6720.3198240000002</v>
      </c>
      <c r="E1219" s="1">
        <v>6796.6801759999998</v>
      </c>
      <c r="F1219" s="1">
        <v>6707.5097660000001</v>
      </c>
      <c r="G1219" s="1">
        <v>6787.5898440000001</v>
      </c>
      <c r="H1219" s="1">
        <v>6051900000</v>
      </c>
      <c r="I1219" s="1">
        <f t="shared" si="18"/>
        <v>-1.1178189065512345E-2</v>
      </c>
    </row>
    <row r="1220" spans="1:9" x14ac:dyDescent="0.35">
      <c r="A1220" s="1">
        <v>1218</v>
      </c>
      <c r="B1220" s="1" t="s">
        <v>1227</v>
      </c>
      <c r="C1220" s="1">
        <v>6728.7998049999997</v>
      </c>
      <c r="D1220" s="1">
        <v>6728.7998049999997</v>
      </c>
      <c r="E1220" s="1">
        <v>6730.1098629999997</v>
      </c>
      <c r="F1220" s="1">
        <v>6631.4399409999996</v>
      </c>
      <c r="G1220" s="1">
        <v>6696.1801759999998</v>
      </c>
      <c r="H1220" s="1">
        <v>5926070000</v>
      </c>
      <c r="I1220" s="1">
        <f t="shared" ref="I1220:I1256" si="19">(C1220-C1219)/C1219</f>
        <v>1.2618418798634094E-3</v>
      </c>
    </row>
    <row r="1221" spans="1:9" x14ac:dyDescent="0.35">
      <c r="A1221" s="1">
        <v>1219</v>
      </c>
      <c r="B1221" s="1" t="s">
        <v>1228</v>
      </c>
      <c r="C1221" s="1">
        <v>6832.4301759999998</v>
      </c>
      <c r="D1221" s="1">
        <v>6832.4301759999998</v>
      </c>
      <c r="E1221" s="1">
        <v>6841.3198240000002</v>
      </c>
      <c r="F1221" s="1">
        <v>6770.5600590000004</v>
      </c>
      <c r="G1221" s="1">
        <v>6785.3598629999997</v>
      </c>
      <c r="H1221" s="1">
        <v>5366050000</v>
      </c>
      <c r="I1221" s="1">
        <f t="shared" si="19"/>
        <v>1.5401018607062007E-2</v>
      </c>
    </row>
    <row r="1222" spans="1:9" x14ac:dyDescent="0.35">
      <c r="A1222" s="1">
        <v>1220</v>
      </c>
      <c r="B1222" s="1" t="s">
        <v>1229</v>
      </c>
      <c r="C1222" s="1">
        <v>6846.6098629999997</v>
      </c>
      <c r="D1222" s="1">
        <v>6846.6098629999997</v>
      </c>
      <c r="E1222" s="1">
        <v>6855.1298829999996</v>
      </c>
      <c r="F1222" s="1">
        <v>6806.8701170000004</v>
      </c>
      <c r="G1222" s="1">
        <v>6815.6401370000003</v>
      </c>
      <c r="H1222" s="1">
        <v>4983490000</v>
      </c>
      <c r="I1222" s="1">
        <f t="shared" si="19"/>
        <v>2.0753504440935585E-3</v>
      </c>
    </row>
    <row r="1223" spans="1:9" x14ac:dyDescent="0.35">
      <c r="A1223" s="1">
        <v>1221</v>
      </c>
      <c r="B1223" s="1" t="s">
        <v>1230</v>
      </c>
      <c r="C1223" s="1">
        <v>6850.919922</v>
      </c>
      <c r="D1223" s="1">
        <v>6850.919922</v>
      </c>
      <c r="E1223" s="1">
        <v>6869.9101559999999</v>
      </c>
      <c r="F1223" s="1">
        <v>6829.6201170000004</v>
      </c>
      <c r="G1223" s="1">
        <v>6867.7700199999999</v>
      </c>
      <c r="H1223" s="1">
        <v>5293610000</v>
      </c>
      <c r="I1223" s="1">
        <f t="shared" si="19"/>
        <v>6.2951724813363518E-4</v>
      </c>
    </row>
    <row r="1224" spans="1:9" x14ac:dyDescent="0.35">
      <c r="A1224" s="1">
        <v>1222</v>
      </c>
      <c r="B1224" s="1" t="s">
        <v>1231</v>
      </c>
      <c r="C1224" s="1">
        <v>6737.4902339999999</v>
      </c>
      <c r="D1224" s="1">
        <v>6737.4902339999999</v>
      </c>
      <c r="E1224" s="1">
        <v>6828.0498049999997</v>
      </c>
      <c r="F1224" s="1">
        <v>6724.7202150000003</v>
      </c>
      <c r="G1224" s="1">
        <v>6826.4702150000003</v>
      </c>
      <c r="H1224" s="1">
        <v>5473720000</v>
      </c>
      <c r="I1224" s="1">
        <f t="shared" si="19"/>
        <v>-1.6556855034277857E-2</v>
      </c>
    </row>
    <row r="1225" spans="1:9" x14ac:dyDescent="0.35">
      <c r="A1225" s="1">
        <v>1223</v>
      </c>
      <c r="B1225" s="1" t="s">
        <v>1232</v>
      </c>
      <c r="C1225" s="1">
        <v>6734.1098629999997</v>
      </c>
      <c r="D1225" s="1">
        <v>6734.1098629999997</v>
      </c>
      <c r="E1225" s="1">
        <v>6774.3100590000004</v>
      </c>
      <c r="F1225" s="1">
        <v>6646.8701170000004</v>
      </c>
      <c r="G1225" s="1">
        <v>6672.1401370000003</v>
      </c>
      <c r="H1225" s="1">
        <v>5042660000</v>
      </c>
      <c r="I1225" s="1">
        <f t="shared" si="19"/>
        <v>-5.0172555099843065E-4</v>
      </c>
    </row>
    <row r="1226" spans="1:9" x14ac:dyDescent="0.35">
      <c r="A1226" s="1">
        <v>1224</v>
      </c>
      <c r="B1226" s="1" t="s">
        <v>1233</v>
      </c>
      <c r="C1226" s="1">
        <v>6672.4101559999999</v>
      </c>
      <c r="D1226" s="1">
        <v>6672.4101559999999</v>
      </c>
      <c r="E1226" s="1">
        <v>6754.5</v>
      </c>
      <c r="F1226" s="1">
        <v>6638.8999020000001</v>
      </c>
      <c r="G1226" s="1">
        <v>6713.6098629999997</v>
      </c>
      <c r="H1226" s="1">
        <v>5204220000</v>
      </c>
      <c r="I1226" s="1">
        <f t="shared" si="19"/>
        <v>-9.1622661725499332E-3</v>
      </c>
    </row>
    <row r="1227" spans="1:9" x14ac:dyDescent="0.35">
      <c r="A1227" s="1">
        <v>1225</v>
      </c>
      <c r="B1227" s="1" t="s">
        <v>1234</v>
      </c>
      <c r="C1227" s="1">
        <v>6617.3198240000002</v>
      </c>
      <c r="D1227" s="1">
        <v>6617.3198240000002</v>
      </c>
      <c r="E1227" s="1">
        <v>6666.6298829999996</v>
      </c>
      <c r="F1227" s="1">
        <v>6574.3198240000002</v>
      </c>
      <c r="G1227" s="1">
        <v>6641.1899409999996</v>
      </c>
      <c r="H1227" s="1">
        <v>5159390000</v>
      </c>
      <c r="I1227" s="1">
        <f t="shared" si="19"/>
        <v>-8.256436686593845E-3</v>
      </c>
    </row>
    <row r="1228" spans="1:9" x14ac:dyDescent="0.35">
      <c r="A1228" s="1">
        <v>1226</v>
      </c>
      <c r="B1228" s="1" t="s">
        <v>1235</v>
      </c>
      <c r="C1228" s="1">
        <v>6642.1601559999999</v>
      </c>
      <c r="D1228" s="1">
        <v>6642.1601559999999</v>
      </c>
      <c r="E1228" s="1">
        <v>6689.75</v>
      </c>
      <c r="F1228" s="1">
        <v>6603.5</v>
      </c>
      <c r="G1228" s="1">
        <v>6625.8398440000001</v>
      </c>
      <c r="H1228" s="1">
        <v>5021610000</v>
      </c>
      <c r="I1228" s="1">
        <f t="shared" si="19"/>
        <v>3.7538357916308807E-3</v>
      </c>
    </row>
    <row r="1229" spans="1:9" x14ac:dyDescent="0.35">
      <c r="A1229" s="1">
        <v>1227</v>
      </c>
      <c r="B1229" s="1" t="s">
        <v>1236</v>
      </c>
      <c r="C1229" s="1">
        <v>6538.7597660000001</v>
      </c>
      <c r="D1229" s="1">
        <v>6538.7597660000001</v>
      </c>
      <c r="E1229" s="1">
        <v>6770.3500979999999</v>
      </c>
      <c r="F1229" s="1">
        <v>6534.0498049999997</v>
      </c>
      <c r="G1229" s="1">
        <v>6737.9301759999998</v>
      </c>
      <c r="H1229" s="1">
        <v>5596080000</v>
      </c>
      <c r="I1229" s="1">
        <f t="shared" si="19"/>
        <v>-1.5567283469760374E-2</v>
      </c>
    </row>
    <row r="1230" spans="1:9" x14ac:dyDescent="0.35">
      <c r="A1230" s="1">
        <v>1228</v>
      </c>
      <c r="B1230" s="1" t="s">
        <v>1237</v>
      </c>
      <c r="C1230" s="1">
        <v>6602.9902339999999</v>
      </c>
      <c r="D1230" s="1">
        <v>6602.9902339999999</v>
      </c>
      <c r="E1230" s="1">
        <v>6660.0498049999997</v>
      </c>
      <c r="F1230" s="1">
        <v>6521.919922</v>
      </c>
      <c r="G1230" s="1">
        <v>6555.7700199999999</v>
      </c>
      <c r="H1230" s="1">
        <v>5929930000</v>
      </c>
      <c r="I1230" s="1">
        <f t="shared" si="19"/>
        <v>9.8230353000553633E-3</v>
      </c>
    </row>
    <row r="1231" spans="1:9" x14ac:dyDescent="0.35">
      <c r="A1231" s="1">
        <v>1229</v>
      </c>
      <c r="B1231" s="1" t="s">
        <v>1238</v>
      </c>
      <c r="C1231" s="1">
        <v>6705.1201170000004</v>
      </c>
      <c r="D1231" s="1">
        <v>6705.1201170000004</v>
      </c>
      <c r="E1231" s="1">
        <v>6715.75</v>
      </c>
      <c r="F1231" s="1">
        <v>6630.7001950000003</v>
      </c>
      <c r="G1231" s="1">
        <v>6636.5400390000004</v>
      </c>
      <c r="H1231" s="1">
        <v>6039740000</v>
      </c>
      <c r="I1231" s="1">
        <f t="shared" si="19"/>
        <v>1.5467217030568232E-2</v>
      </c>
    </row>
    <row r="1232" spans="1:9" x14ac:dyDescent="0.35">
      <c r="A1232" s="1">
        <v>1230</v>
      </c>
      <c r="B1232" s="1" t="s">
        <v>1239</v>
      </c>
      <c r="C1232" s="1">
        <v>6765.8798829999996</v>
      </c>
      <c r="D1232" s="1">
        <v>6765.8798829999996</v>
      </c>
      <c r="E1232" s="1">
        <v>6776.3999020000001</v>
      </c>
      <c r="F1232" s="1">
        <v>6659.9799800000001</v>
      </c>
      <c r="G1232" s="1">
        <v>6697.0297849999997</v>
      </c>
      <c r="H1232" s="1">
        <v>5003330000</v>
      </c>
      <c r="I1232" s="1">
        <f t="shared" si="19"/>
        <v>9.0616968734013228E-3</v>
      </c>
    </row>
    <row r="1233" spans="1:9" x14ac:dyDescent="0.35">
      <c r="A1233" s="1">
        <v>1231</v>
      </c>
      <c r="B1233" s="1" t="s">
        <v>1240</v>
      </c>
      <c r="C1233" s="1">
        <v>6812.6098629999997</v>
      </c>
      <c r="D1233" s="1">
        <v>6812.6098629999997</v>
      </c>
      <c r="E1233" s="1">
        <v>6831.4399409999996</v>
      </c>
      <c r="F1233" s="1">
        <v>6783.8701170000004</v>
      </c>
      <c r="G1233" s="1">
        <v>6793.5498049999997</v>
      </c>
      <c r="H1233" s="1">
        <v>4485000000</v>
      </c>
      <c r="I1233" s="1">
        <f t="shared" si="19"/>
        <v>6.9067114415398015E-3</v>
      </c>
    </row>
    <row r="1234" spans="1:9" x14ac:dyDescent="0.35">
      <c r="A1234" s="1">
        <v>1232</v>
      </c>
      <c r="B1234" s="1" t="s">
        <v>1241</v>
      </c>
      <c r="C1234" s="1">
        <v>6849.0898440000001</v>
      </c>
      <c r="D1234" s="1">
        <v>6849.0898440000001</v>
      </c>
      <c r="E1234" s="1">
        <v>6850.8598629999997</v>
      </c>
      <c r="F1234" s="1">
        <v>6819.75</v>
      </c>
      <c r="G1234" s="1">
        <v>6822.5200199999999</v>
      </c>
      <c r="H1234" s="1">
        <v>2558540000</v>
      </c>
      <c r="I1234" s="1">
        <f t="shared" si="19"/>
        <v>5.3547732416216898E-3</v>
      </c>
    </row>
    <row r="1235" spans="1:9" x14ac:dyDescent="0.35">
      <c r="A1235" s="1">
        <v>1233</v>
      </c>
      <c r="B1235" s="1" t="s">
        <v>1242</v>
      </c>
      <c r="C1235" s="1">
        <v>6812.6298829999996</v>
      </c>
      <c r="D1235" s="1">
        <v>6812.6298829999996</v>
      </c>
      <c r="E1235" s="1">
        <v>6843.6499020000001</v>
      </c>
      <c r="F1235" s="1">
        <v>6799.9399409999996</v>
      </c>
      <c r="G1235" s="1">
        <v>6812.2998049999997</v>
      </c>
      <c r="H1235" s="1">
        <v>4549370000</v>
      </c>
      <c r="I1235" s="1">
        <f t="shared" si="19"/>
        <v>-5.3233293518467201E-3</v>
      </c>
    </row>
    <row r="1236" spans="1:9" x14ac:dyDescent="0.35">
      <c r="A1236" s="1">
        <v>1234</v>
      </c>
      <c r="B1236" s="1" t="s">
        <v>1243</v>
      </c>
      <c r="C1236" s="1">
        <v>6829.3701170000004</v>
      </c>
      <c r="D1236" s="1">
        <v>6829.3701170000004</v>
      </c>
      <c r="E1236" s="1">
        <v>6851.5498049999997</v>
      </c>
      <c r="F1236" s="1">
        <v>6806.7099609999996</v>
      </c>
      <c r="G1236" s="1">
        <v>6830.9599609999996</v>
      </c>
      <c r="H1236" s="1">
        <v>4582290000</v>
      </c>
      <c r="I1236" s="1">
        <f t="shared" si="19"/>
        <v>2.457235206887399E-3</v>
      </c>
    </row>
    <row r="1237" spans="1:9" x14ac:dyDescent="0.35">
      <c r="A1237" s="1">
        <v>1235</v>
      </c>
      <c r="B1237" s="1" t="s">
        <v>1244</v>
      </c>
      <c r="C1237" s="1">
        <v>6849.7202150000003</v>
      </c>
      <c r="D1237" s="1">
        <v>6849.7202150000003</v>
      </c>
      <c r="E1237" s="1">
        <v>6862.419922</v>
      </c>
      <c r="F1237" s="1">
        <v>6810.4301759999998</v>
      </c>
      <c r="G1237" s="1">
        <v>6815.2900390000004</v>
      </c>
      <c r="H1237" s="1">
        <v>4736780000</v>
      </c>
      <c r="I1237" s="1">
        <f t="shared" si="19"/>
        <v>2.9797913499143114E-3</v>
      </c>
    </row>
    <row r="1238" spans="1:9" x14ac:dyDescent="0.35">
      <c r="A1238" s="1">
        <v>1236</v>
      </c>
      <c r="B1238" s="1" t="s">
        <v>1245</v>
      </c>
      <c r="C1238" s="1">
        <v>6857.1201170000004</v>
      </c>
      <c r="D1238" s="1">
        <v>6857.1201170000004</v>
      </c>
      <c r="E1238" s="1">
        <v>6866.4702150000003</v>
      </c>
      <c r="F1238" s="1">
        <v>6827.1201170000004</v>
      </c>
      <c r="G1238" s="1">
        <v>6866.4702150000003</v>
      </c>
      <c r="H1238" s="1">
        <v>4872440000</v>
      </c>
      <c r="I1238" s="1">
        <f t="shared" si="19"/>
        <v>1.0803217894645222E-3</v>
      </c>
    </row>
    <row r="1239" spans="1:9" x14ac:dyDescent="0.35">
      <c r="A1239" s="1">
        <v>1237</v>
      </c>
      <c r="B1239" s="1" t="s">
        <v>1246</v>
      </c>
      <c r="C1239" s="1">
        <v>6870.3999020000001</v>
      </c>
      <c r="D1239" s="1">
        <v>6870.3999020000001</v>
      </c>
      <c r="E1239" s="1">
        <v>6895.7797849999997</v>
      </c>
      <c r="F1239" s="1">
        <v>6858.2900390000004</v>
      </c>
      <c r="G1239" s="1">
        <v>6866.3198240000002</v>
      </c>
      <c r="H1239" s="1">
        <v>4944560000</v>
      </c>
      <c r="I1239" s="1">
        <f t="shared" si="19"/>
        <v>1.9366417349284592E-3</v>
      </c>
    </row>
    <row r="1240" spans="1:9" x14ac:dyDescent="0.35">
      <c r="A1240" s="1">
        <v>1238</v>
      </c>
      <c r="B1240" s="1" t="s">
        <v>1247</v>
      </c>
      <c r="C1240" s="1">
        <v>6846.5097660000001</v>
      </c>
      <c r="D1240" s="1">
        <v>6846.5097660000001</v>
      </c>
      <c r="E1240" s="1">
        <v>6878.2700199999999</v>
      </c>
      <c r="F1240" s="1">
        <v>6827.1899409999996</v>
      </c>
      <c r="G1240" s="1">
        <v>6875.2001950000003</v>
      </c>
      <c r="H1240" s="1">
        <v>4757130000</v>
      </c>
      <c r="I1240" s="1">
        <f t="shared" si="19"/>
        <v>-3.4772555223525595E-3</v>
      </c>
    </row>
    <row r="1241" spans="1:9" x14ac:dyDescent="0.35">
      <c r="A1241" s="1">
        <v>1239</v>
      </c>
      <c r="B1241" s="1" t="s">
        <v>1248</v>
      </c>
      <c r="C1241" s="1">
        <v>6840.5097660000001</v>
      </c>
      <c r="D1241" s="1">
        <v>6840.5097660000001</v>
      </c>
      <c r="E1241" s="1">
        <v>6864.919922</v>
      </c>
      <c r="F1241" s="1">
        <v>6837.4301759999998</v>
      </c>
      <c r="G1241" s="1">
        <v>6840.6098629999997</v>
      </c>
      <c r="H1241" s="1">
        <v>4508050000</v>
      </c>
      <c r="I1241" s="1">
        <f t="shared" si="19"/>
        <v>-8.7635893397774783E-4</v>
      </c>
    </row>
    <row r="1242" spans="1:9" x14ac:dyDescent="0.35">
      <c r="A1242" s="1">
        <v>1240</v>
      </c>
      <c r="B1242" s="1" t="s">
        <v>1249</v>
      </c>
      <c r="C1242" s="1">
        <v>6886.6801759999998</v>
      </c>
      <c r="D1242" s="1">
        <v>6886.6801759999998</v>
      </c>
      <c r="E1242" s="1">
        <v>6900.669922</v>
      </c>
      <c r="F1242" s="1">
        <v>6824.6899409999996</v>
      </c>
      <c r="G1242" s="1">
        <v>6833.4902339999999</v>
      </c>
      <c r="H1242" s="1">
        <v>5526570000</v>
      </c>
      <c r="I1242" s="1">
        <f t="shared" si="19"/>
        <v>6.749556915989603E-3</v>
      </c>
    </row>
    <row r="1243" spans="1:9" x14ac:dyDescent="0.35">
      <c r="A1243" s="1">
        <v>1241</v>
      </c>
      <c r="B1243" s="1" t="s">
        <v>1250</v>
      </c>
      <c r="C1243" s="1">
        <v>6901</v>
      </c>
      <c r="D1243" s="1">
        <v>6901</v>
      </c>
      <c r="E1243" s="1">
        <v>6903.4599609999996</v>
      </c>
      <c r="F1243" s="1">
        <v>6833.4501950000003</v>
      </c>
      <c r="G1243" s="1">
        <v>6861.2998049999997</v>
      </c>
      <c r="H1243" s="1">
        <v>5021060000</v>
      </c>
      <c r="I1243" s="1">
        <f t="shared" si="19"/>
        <v>2.0793508096839711E-3</v>
      </c>
    </row>
    <row r="1244" spans="1:9" x14ac:dyDescent="0.35">
      <c r="A1244" s="1">
        <v>1242</v>
      </c>
      <c r="B1244" s="1" t="s">
        <v>1251</v>
      </c>
      <c r="C1244" s="1">
        <v>6827.4101559999999</v>
      </c>
      <c r="D1244" s="1">
        <v>6827.4101559999999</v>
      </c>
      <c r="E1244" s="1">
        <v>6899.8500979999999</v>
      </c>
      <c r="F1244" s="1">
        <v>6801.7900390000004</v>
      </c>
      <c r="G1244" s="1">
        <v>6886.8500979999999</v>
      </c>
      <c r="H1244" s="1">
        <v>4910160000</v>
      </c>
      <c r="I1244" s="1">
        <f t="shared" si="19"/>
        <v>-1.0663649326184623E-2</v>
      </c>
    </row>
    <row r="1245" spans="1:9" x14ac:dyDescent="0.35">
      <c r="A1245" s="1">
        <v>1243</v>
      </c>
      <c r="B1245" s="1" t="s">
        <v>1252</v>
      </c>
      <c r="C1245" s="1">
        <v>6816.5097660000001</v>
      </c>
      <c r="D1245" s="1">
        <v>6816.5097660000001</v>
      </c>
      <c r="E1245" s="1">
        <v>6861.5898440000001</v>
      </c>
      <c r="F1245" s="1">
        <v>6801.4902339999999</v>
      </c>
      <c r="G1245" s="1">
        <v>6860.1899409999996</v>
      </c>
      <c r="H1245" s="1">
        <v>4975600000</v>
      </c>
      <c r="I1245" s="1">
        <f t="shared" si="19"/>
        <v>-1.5965629354229452E-3</v>
      </c>
    </row>
    <row r="1246" spans="1:9" x14ac:dyDescent="0.35">
      <c r="A1246" s="1">
        <v>1244</v>
      </c>
      <c r="B1246" s="1" t="s">
        <v>1253</v>
      </c>
      <c r="C1246" s="1">
        <v>6800.2597660000001</v>
      </c>
      <c r="D1246" s="1">
        <v>6800.2597660000001</v>
      </c>
      <c r="E1246" s="1">
        <v>6819.2700199999999</v>
      </c>
      <c r="F1246" s="1">
        <v>6759.7402339999999</v>
      </c>
      <c r="G1246" s="1">
        <v>6800.1201170000004</v>
      </c>
      <c r="H1246" s="1">
        <v>4983180000</v>
      </c>
      <c r="I1246" s="1">
        <f t="shared" si="19"/>
        <v>-2.3839179518311865E-3</v>
      </c>
    </row>
    <row r="1247" spans="1:9" x14ac:dyDescent="0.35">
      <c r="A1247" s="1">
        <v>1245</v>
      </c>
      <c r="B1247" s="1" t="s">
        <v>1254</v>
      </c>
      <c r="C1247" s="1">
        <v>6721.4301759999998</v>
      </c>
      <c r="D1247" s="1">
        <v>6721.4301759999998</v>
      </c>
      <c r="E1247" s="1">
        <v>6812.2597660000001</v>
      </c>
      <c r="F1247" s="1">
        <v>6720.4301759999998</v>
      </c>
      <c r="G1247" s="1">
        <v>6802.8798829999996</v>
      </c>
      <c r="H1247" s="1">
        <v>5122120000</v>
      </c>
      <c r="I1247" s="1">
        <f t="shared" si="19"/>
        <v>-1.159214393457926E-2</v>
      </c>
    </row>
    <row r="1248" spans="1:9" x14ac:dyDescent="0.35">
      <c r="A1248" s="1">
        <v>1246</v>
      </c>
      <c r="B1248" s="1" t="s">
        <v>1255</v>
      </c>
      <c r="C1248" s="1">
        <v>6774.7597660000001</v>
      </c>
      <c r="D1248" s="1">
        <v>6774.7597660000001</v>
      </c>
      <c r="E1248" s="1">
        <v>6816.1298829999996</v>
      </c>
      <c r="F1248" s="1">
        <v>6758.5</v>
      </c>
      <c r="G1248" s="1">
        <v>6778.0600590000004</v>
      </c>
      <c r="H1248" s="1">
        <v>5101190000</v>
      </c>
      <c r="I1248" s="1">
        <f t="shared" si="19"/>
        <v>7.9342622929302418E-3</v>
      </c>
    </row>
    <row r="1249" spans="1:9" x14ac:dyDescent="0.35">
      <c r="A1249" s="1">
        <v>1247</v>
      </c>
      <c r="B1249" s="1" t="s">
        <v>1256</v>
      </c>
      <c r="C1249" s="1">
        <v>6834.5</v>
      </c>
      <c r="D1249" s="1">
        <v>6834.5</v>
      </c>
      <c r="E1249" s="1">
        <v>6840.0200199999999</v>
      </c>
      <c r="F1249" s="1">
        <v>6792.6201170000004</v>
      </c>
      <c r="G1249" s="1">
        <v>6792.6201170000004</v>
      </c>
      <c r="H1249" s="1">
        <v>8554470000</v>
      </c>
      <c r="I1249" s="1">
        <f t="shared" si="19"/>
        <v>8.8180593944915796E-3</v>
      </c>
    </row>
    <row r="1250" spans="1:9" x14ac:dyDescent="0.35">
      <c r="A1250" s="1">
        <v>1248</v>
      </c>
      <c r="B1250" s="1" t="s">
        <v>1257</v>
      </c>
      <c r="C1250" s="1">
        <v>6878.4902339999999</v>
      </c>
      <c r="D1250" s="1">
        <v>6878.4902339999999</v>
      </c>
      <c r="E1250" s="1">
        <v>6882.0297849999997</v>
      </c>
      <c r="F1250" s="1">
        <v>6855.7402339999999</v>
      </c>
      <c r="G1250" s="1">
        <v>6865.2099609999996</v>
      </c>
      <c r="H1250" s="1">
        <v>4465030000</v>
      </c>
      <c r="I1250" s="1">
        <f t="shared" si="19"/>
        <v>6.436496305508797E-3</v>
      </c>
    </row>
    <row r="1251" spans="1:9" x14ac:dyDescent="0.35">
      <c r="A1251" s="1">
        <v>1249</v>
      </c>
      <c r="B1251" s="1" t="s">
        <v>1258</v>
      </c>
      <c r="C1251" s="1">
        <v>6909.7900390000004</v>
      </c>
      <c r="D1251" s="1">
        <v>6909.7900390000004</v>
      </c>
      <c r="E1251" s="1">
        <v>6910.8798829999996</v>
      </c>
      <c r="F1251" s="1">
        <v>6868.8100590000004</v>
      </c>
      <c r="G1251" s="1">
        <v>6872.4101559999999</v>
      </c>
      <c r="H1251" s="1">
        <v>3820560000</v>
      </c>
      <c r="I1251" s="1">
        <f t="shared" si="19"/>
        <v>4.5503888113829606E-3</v>
      </c>
    </row>
    <row r="1252" spans="1:9" x14ac:dyDescent="0.35">
      <c r="A1252" s="1">
        <v>1250</v>
      </c>
      <c r="B1252" s="1" t="s">
        <v>1259</v>
      </c>
      <c r="C1252" s="1">
        <v>6932.0498049999997</v>
      </c>
      <c r="D1252" s="1">
        <v>6932.0498049999997</v>
      </c>
      <c r="E1252" s="1">
        <v>6937.3198240000002</v>
      </c>
      <c r="F1252" s="1">
        <v>6904.9101559999999</v>
      </c>
      <c r="G1252" s="1">
        <v>6904.9101559999999</v>
      </c>
      <c r="H1252" s="1">
        <v>1798270000</v>
      </c>
      <c r="I1252" s="1">
        <f t="shared" si="19"/>
        <v>3.221482255518823E-3</v>
      </c>
    </row>
    <row r="1253" spans="1:9" x14ac:dyDescent="0.35">
      <c r="A1253" s="1">
        <v>1251</v>
      </c>
      <c r="B1253" s="1" t="s">
        <v>1260</v>
      </c>
      <c r="C1253" s="1">
        <v>6929.9399409999996</v>
      </c>
      <c r="D1253" s="1">
        <v>6929.9399409999996</v>
      </c>
      <c r="E1253" s="1">
        <v>6945.7700199999999</v>
      </c>
      <c r="F1253" s="1">
        <v>6921.6000979999999</v>
      </c>
      <c r="G1253" s="1">
        <v>6936.0200199999999</v>
      </c>
      <c r="H1253" s="1">
        <v>2586550000</v>
      </c>
      <c r="I1253" s="1">
        <f t="shared" si="19"/>
        <v>-3.0436365279404049E-4</v>
      </c>
    </row>
    <row r="1254" spans="1:9" x14ac:dyDescent="0.35">
      <c r="A1254" s="1">
        <v>1252</v>
      </c>
      <c r="B1254" s="1" t="s">
        <v>1261</v>
      </c>
      <c r="C1254" s="1">
        <v>6905.7402339999999</v>
      </c>
      <c r="D1254" s="1">
        <v>6905.7402339999999</v>
      </c>
      <c r="E1254" s="1">
        <v>6920.2099609999996</v>
      </c>
      <c r="F1254" s="1">
        <v>6888.7597660000001</v>
      </c>
      <c r="G1254" s="1">
        <v>6903.6000979999999</v>
      </c>
      <c r="H1254" s="1">
        <v>3541750000</v>
      </c>
      <c r="I1254" s="1">
        <f t="shared" si="19"/>
        <v>-3.4920514760634004E-3</v>
      </c>
    </row>
    <row r="1255" spans="1:9" x14ac:dyDescent="0.35">
      <c r="A1255" s="1">
        <v>1253</v>
      </c>
      <c r="B1255" s="1" t="s">
        <v>1262</v>
      </c>
      <c r="C1255" s="1">
        <v>6896.2402339999999</v>
      </c>
      <c r="D1255" s="1">
        <v>6896.2402339999999</v>
      </c>
      <c r="E1255" s="1">
        <v>6913.25</v>
      </c>
      <c r="F1255" s="1">
        <v>6893.4702150000003</v>
      </c>
      <c r="G1255" s="1">
        <v>6900.4399409999996</v>
      </c>
      <c r="H1255" s="1">
        <v>3309930000</v>
      </c>
      <c r="I1255" s="1">
        <f t="shared" si="19"/>
        <v>-1.3756671519770346E-3</v>
      </c>
    </row>
    <row r="1256" spans="1:9" x14ac:dyDescent="0.35">
      <c r="A1256" s="1">
        <v>1254</v>
      </c>
      <c r="B1256" s="1" t="s">
        <v>1263</v>
      </c>
      <c r="C1256" s="1">
        <v>6845.5</v>
      </c>
      <c r="D1256" s="1">
        <v>6845.5</v>
      </c>
      <c r="E1256" s="1">
        <v>6901.419922</v>
      </c>
      <c r="F1256" s="1">
        <v>6844.5498049999997</v>
      </c>
      <c r="G1256" s="1">
        <v>6898.8198240000002</v>
      </c>
      <c r="H1256" s="1">
        <v>3261830000</v>
      </c>
      <c r="I1256" s="1">
        <f t="shared" si="19"/>
        <v>-7.3576662468687248E-3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F9BBF-9B3C-4E6B-B819-EC448339E3FC}">
  <dimension ref="A1"/>
  <sheetViews>
    <sheetView tabSelected="1" workbookViewId="0">
      <selection activeCell="Q25" sqref="Q2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09FB6-BC38-4EF8-9B7B-ED34CAFBB33C}">
  <dimension ref="A1:I1278"/>
  <sheetViews>
    <sheetView topLeftCell="A3" workbookViewId="0">
      <selection activeCell="K13" sqref="K13"/>
    </sheetView>
  </sheetViews>
  <sheetFormatPr defaultRowHeight="18" x14ac:dyDescent="0.35"/>
  <cols>
    <col min="1" max="1" width="17" style="1" customWidth="1"/>
    <col min="2" max="5" width="9" style="1" bestFit="1" customWidth="1"/>
    <col min="6" max="6" width="9.21875" style="1" bestFit="1" customWidth="1"/>
    <col min="7" max="7" width="9" style="1" bestFit="1" customWidth="1"/>
    <col min="8" max="8" width="9.21875" style="1" bestFit="1" customWidth="1"/>
    <col min="9" max="9" width="9" style="1" bestFit="1" customWidth="1"/>
    <col min="10" max="16384" width="8.88671875" style="1"/>
  </cols>
  <sheetData>
    <row r="1" spans="1:9" x14ac:dyDescent="0.35">
      <c r="A1" s="1" t="s">
        <v>1295</v>
      </c>
    </row>
    <row r="2" spans="1:9" ht="18.600000000000001" thickBot="1" x14ac:dyDescent="0.4"/>
    <row r="3" spans="1:9" x14ac:dyDescent="0.35">
      <c r="A3" s="9" t="s">
        <v>1296</v>
      </c>
      <c r="B3" s="9"/>
    </row>
    <row r="4" spans="1:9" x14ac:dyDescent="0.35">
      <c r="A4" s="1" t="s">
        <v>1297</v>
      </c>
      <c r="B4" s="1">
        <v>0.34457185109809579</v>
      </c>
    </row>
    <row r="5" spans="1:9" x14ac:dyDescent="0.35">
      <c r="A5" s="1" t="s">
        <v>1298</v>
      </c>
      <c r="B5" s="1">
        <v>0.11872976056916831</v>
      </c>
    </row>
    <row r="6" spans="1:9" x14ac:dyDescent="0.35">
      <c r="A6" s="1" t="s">
        <v>1299</v>
      </c>
      <c r="B6" s="1">
        <v>0.1180258706015718</v>
      </c>
    </row>
    <row r="7" spans="1:9" x14ac:dyDescent="0.35">
      <c r="A7" s="1" t="s">
        <v>1300</v>
      </c>
      <c r="B7" s="1">
        <v>9.3679397424330218E-3</v>
      </c>
    </row>
    <row r="8" spans="1:9" ht="18.600000000000001" thickBot="1" x14ac:dyDescent="0.4">
      <c r="A8" s="10" t="s">
        <v>1301</v>
      </c>
      <c r="B8" s="10">
        <v>1254</v>
      </c>
    </row>
    <row r="10" spans="1:9" ht="18.600000000000001" thickBot="1" x14ac:dyDescent="0.4">
      <c r="A10" s="1" t="s">
        <v>1302</v>
      </c>
    </row>
    <row r="11" spans="1:9" x14ac:dyDescent="0.35">
      <c r="A11" s="11"/>
      <c r="B11" s="11" t="s">
        <v>1307</v>
      </c>
      <c r="C11" s="11" t="s">
        <v>1308</v>
      </c>
      <c r="D11" s="11" t="s">
        <v>1309</v>
      </c>
      <c r="E11" s="11" t="s">
        <v>1310</v>
      </c>
      <c r="F11" s="11" t="s">
        <v>1311</v>
      </c>
    </row>
    <row r="12" spans="1:9" x14ac:dyDescent="0.35">
      <c r="A12" s="1" t="s">
        <v>1303</v>
      </c>
      <c r="B12" s="1">
        <v>1</v>
      </c>
      <c r="C12" s="1">
        <v>1.4802770084942088E-2</v>
      </c>
      <c r="D12" s="1">
        <v>1.4802770084942088E-2</v>
      </c>
      <c r="E12" s="1">
        <v>168.67659156242937</v>
      </c>
      <c r="F12" s="1">
        <v>2.828374485612202E-36</v>
      </c>
    </row>
    <row r="13" spans="1:9" x14ac:dyDescent="0.35">
      <c r="A13" s="1" t="s">
        <v>1304</v>
      </c>
      <c r="B13" s="1">
        <v>1252</v>
      </c>
      <c r="C13" s="1">
        <v>0.1098733853623558</v>
      </c>
      <c r="D13" s="1">
        <v>8.7758295017856074E-5</v>
      </c>
    </row>
    <row r="14" spans="1:9" ht="18.600000000000001" thickBot="1" x14ac:dyDescent="0.4">
      <c r="A14" s="10" t="s">
        <v>1305</v>
      </c>
      <c r="B14" s="10">
        <v>1253</v>
      </c>
      <c r="C14" s="10">
        <v>0.12467615544729789</v>
      </c>
      <c r="D14" s="10"/>
      <c r="E14" s="10"/>
      <c r="F14" s="10"/>
    </row>
    <row r="15" spans="1:9" ht="18.600000000000001" thickBot="1" x14ac:dyDescent="0.4"/>
    <row r="16" spans="1:9" x14ac:dyDescent="0.35">
      <c r="A16" s="11"/>
      <c r="B16" s="11" t="s">
        <v>1312</v>
      </c>
      <c r="C16" s="11" t="s">
        <v>1300</v>
      </c>
      <c r="D16" s="11" t="s">
        <v>1313</v>
      </c>
      <c r="E16" s="11" t="s">
        <v>1314</v>
      </c>
      <c r="F16" s="11" t="s">
        <v>1315</v>
      </c>
      <c r="G16" s="11" t="s">
        <v>1316</v>
      </c>
      <c r="H16" s="11" t="s">
        <v>1317</v>
      </c>
      <c r="I16" s="11" t="s">
        <v>1318</v>
      </c>
    </row>
    <row r="17" spans="1:9" x14ac:dyDescent="0.35">
      <c r="A17" s="1" t="s">
        <v>1306</v>
      </c>
      <c r="B17" s="1">
        <v>2.1806971856415448E-4</v>
      </c>
      <c r="C17" s="1">
        <v>2.6489001569598433E-4</v>
      </c>
      <c r="D17" s="1">
        <v>0.8232462744629615</v>
      </c>
      <c r="E17" s="1">
        <v>0.41052473710724202</v>
      </c>
      <c r="F17" s="1">
        <v>-3.0160755909414193E-4</v>
      </c>
      <c r="G17" s="1">
        <v>7.3774699622245084E-4</v>
      </c>
      <c r="H17" s="1">
        <v>-3.0160755909414193E-4</v>
      </c>
      <c r="I17" s="1">
        <v>7.3774699622245084E-4</v>
      </c>
    </row>
    <row r="18" spans="1:9" ht="18.600000000000001" thickBot="1" x14ac:dyDescent="0.4">
      <c r="A18" s="10" t="s">
        <v>1319</v>
      </c>
      <c r="B18" s="10">
        <v>0.32175838081195596</v>
      </c>
      <c r="C18" s="10">
        <v>2.4774360873663356E-2</v>
      </c>
      <c r="D18" s="10">
        <v>12.987555257338832</v>
      </c>
      <c r="E18" s="10">
        <v>2.8283744856117594E-36</v>
      </c>
      <c r="F18" s="10">
        <v>0.27315453902229064</v>
      </c>
      <c r="G18" s="10">
        <v>0.37036222260162127</v>
      </c>
      <c r="H18" s="10">
        <v>0.27315453902229064</v>
      </c>
      <c r="I18" s="10">
        <v>0.37036222260162127</v>
      </c>
    </row>
    <row r="22" spans="1:9" x14ac:dyDescent="0.35">
      <c r="A22" s="1" t="s">
        <v>1320</v>
      </c>
    </row>
    <row r="23" spans="1:9" ht="18.600000000000001" thickBot="1" x14ac:dyDescent="0.4"/>
    <row r="24" spans="1:9" x14ac:dyDescent="0.35">
      <c r="A24" s="11" t="s">
        <v>1321</v>
      </c>
      <c r="B24" s="11" t="s">
        <v>1322</v>
      </c>
      <c r="C24" s="11" t="s">
        <v>1323</v>
      </c>
    </row>
    <row r="25" spans="1:9" x14ac:dyDescent="0.35">
      <c r="A25" s="1">
        <v>1</v>
      </c>
      <c r="B25" s="1">
        <v>2.4969540618227852E-3</v>
      </c>
      <c r="C25" s="1">
        <v>-1.3490019242769952E-2</v>
      </c>
    </row>
    <row r="26" spans="1:9" x14ac:dyDescent="0.35">
      <c r="A26" s="1">
        <v>2</v>
      </c>
      <c r="B26" s="1">
        <v>2.0552595488249198E-3</v>
      </c>
      <c r="C26" s="1">
        <v>-3.3868281177897142E-2</v>
      </c>
    </row>
    <row r="27" spans="1:9" x14ac:dyDescent="0.35">
      <c r="A27" s="1">
        <v>3</v>
      </c>
      <c r="B27" s="1">
        <v>4.9953462824271705E-3</v>
      </c>
      <c r="C27" s="1">
        <v>-1.6080097587737024E-2</v>
      </c>
    </row>
    <row r="28" spans="1:9" x14ac:dyDescent="0.35">
      <c r="A28" s="1">
        <v>4</v>
      </c>
      <c r="B28" s="1">
        <v>1.9851225995328619E-3</v>
      </c>
      <c r="C28" s="1">
        <v>2.0432877972188963E-2</v>
      </c>
    </row>
    <row r="29" spans="1:9" x14ac:dyDescent="0.35">
      <c r="A29" s="1">
        <v>5</v>
      </c>
      <c r="B29" s="1">
        <v>-1.8909763827186299E-3</v>
      </c>
      <c r="C29" s="1">
        <v>-1.5336740425072631E-2</v>
      </c>
    </row>
    <row r="30" spans="1:9" x14ac:dyDescent="0.35">
      <c r="A30" s="1">
        <v>6</v>
      </c>
      <c r="B30" s="1">
        <v>3.518531372510429E-4</v>
      </c>
      <c r="C30" s="1">
        <v>-2.1449327561323724E-3</v>
      </c>
    </row>
    <row r="31" spans="1:9" x14ac:dyDescent="0.35">
      <c r="A31" s="1">
        <v>7</v>
      </c>
      <c r="B31" s="1">
        <v>9.5027656318532531E-4</v>
      </c>
      <c r="C31" s="1">
        <v>4.7461713854787726E-5</v>
      </c>
    </row>
    <row r="32" spans="1:9" x14ac:dyDescent="0.35">
      <c r="A32" s="1">
        <v>8</v>
      </c>
      <c r="B32" s="1">
        <v>-9.8963467466328431E-4</v>
      </c>
      <c r="C32" s="1">
        <v>-1.7551072665148687E-2</v>
      </c>
    </row>
    <row r="33" spans="1:3" x14ac:dyDescent="0.35">
      <c r="A33" s="1">
        <v>9</v>
      </c>
      <c r="B33" s="1">
        <v>-2.095382035523671E-3</v>
      </c>
      <c r="C33" s="1">
        <v>-8.6701805930403733E-3</v>
      </c>
    </row>
    <row r="34" spans="1:3" x14ac:dyDescent="0.35">
      <c r="A34" s="1">
        <v>10</v>
      </c>
      <c r="B34" s="1">
        <v>2.8360180078117053E-3</v>
      </c>
      <c r="C34" s="1">
        <v>-6.7374860020612305E-3</v>
      </c>
    </row>
    <row r="35" spans="1:3" x14ac:dyDescent="0.35">
      <c r="A35" s="1">
        <v>11</v>
      </c>
      <c r="B35" s="1">
        <v>4.7019740284391714E-3</v>
      </c>
      <c r="C35" s="1">
        <v>-1.1975383914709014E-3</v>
      </c>
    </row>
    <row r="36" spans="1:3" x14ac:dyDescent="0.35">
      <c r="A36" s="1">
        <v>12</v>
      </c>
      <c r="B36" s="1">
        <v>3.1997803842400877E-4</v>
      </c>
      <c r="C36" s="1">
        <v>5.2263139120520405E-3</v>
      </c>
    </row>
    <row r="37" spans="1:3" x14ac:dyDescent="0.35">
      <c r="A37" s="1">
        <v>13</v>
      </c>
      <c r="B37" s="1">
        <v>-7.5061975816758026E-4</v>
      </c>
      <c r="C37" s="1">
        <v>-8.6466233427897974E-3</v>
      </c>
    </row>
    <row r="38" spans="1:3" x14ac:dyDescent="0.35">
      <c r="A38" s="1">
        <v>14</v>
      </c>
      <c r="B38" s="1">
        <v>1.3814961418753401E-3</v>
      </c>
      <c r="C38" s="1">
        <v>4.5991945828221656E-3</v>
      </c>
    </row>
    <row r="39" spans="1:3" x14ac:dyDescent="0.35">
      <c r="A39" s="1">
        <v>15</v>
      </c>
      <c r="B39" s="1">
        <v>-2.6097499762811952E-4</v>
      </c>
      <c r="C39" s="1">
        <v>1.0716089666847981E-2</v>
      </c>
    </row>
    <row r="40" spans="1:3" x14ac:dyDescent="0.35">
      <c r="A40" s="1">
        <v>16</v>
      </c>
      <c r="B40" s="1">
        <v>-8.0440045088042891E-3</v>
      </c>
      <c r="C40" s="1">
        <v>-7.3751551209534933E-3</v>
      </c>
    </row>
    <row r="41" spans="1:3" x14ac:dyDescent="0.35">
      <c r="A41" s="1">
        <v>17</v>
      </c>
      <c r="B41" s="1">
        <v>3.3586329036744958E-3</v>
      </c>
      <c r="C41" s="1">
        <v>9.4171782612956084E-3</v>
      </c>
    </row>
    <row r="42" spans="1:3" x14ac:dyDescent="0.35">
      <c r="A42" s="1">
        <v>18</v>
      </c>
      <c r="B42" s="1">
        <v>-5.9955592997636385E-3</v>
      </c>
      <c r="C42" s="1">
        <v>-1.4350403988265148E-2</v>
      </c>
    </row>
    <row r="43" spans="1:3" x14ac:dyDescent="0.35">
      <c r="A43" s="1">
        <v>19</v>
      </c>
      <c r="B43" s="1">
        <v>5.3828604594390733E-3</v>
      </c>
      <c r="C43" s="1">
        <v>1.4705776275166461E-3</v>
      </c>
    </row>
    <row r="44" spans="1:3" x14ac:dyDescent="0.35">
      <c r="A44" s="1">
        <v>20</v>
      </c>
      <c r="B44" s="1">
        <v>4.6899396741784879E-3</v>
      </c>
      <c r="C44" s="1">
        <v>5.2110676298694827E-3</v>
      </c>
    </row>
    <row r="45" spans="1:3" x14ac:dyDescent="0.35">
      <c r="A45" s="1">
        <v>21</v>
      </c>
      <c r="B45" s="1">
        <v>5.4264960097979997E-4</v>
      </c>
      <c r="C45" s="1">
        <v>-4.4233091980979498E-3</v>
      </c>
    </row>
    <row r="46" spans="1:3" x14ac:dyDescent="0.35">
      <c r="A46" s="1">
        <v>22</v>
      </c>
      <c r="B46" s="1">
        <v>3.7102170755510234E-3</v>
      </c>
      <c r="C46" s="1">
        <v>1.2108945834712185E-3</v>
      </c>
    </row>
    <row r="47" spans="1:3" x14ac:dyDescent="0.35">
      <c r="A47" s="1">
        <v>23</v>
      </c>
      <c r="B47" s="1">
        <v>1.4721214611218727E-3</v>
      </c>
      <c r="C47" s="1">
        <v>1.1586308228805067E-2</v>
      </c>
    </row>
    <row r="48" spans="1:3" x14ac:dyDescent="0.35">
      <c r="A48" s="1">
        <v>24</v>
      </c>
      <c r="B48" s="1">
        <v>2.5988720855400875E-3</v>
      </c>
      <c r="C48" s="1">
        <v>2.8392428893997306E-3</v>
      </c>
    </row>
    <row r="49" spans="1:3" x14ac:dyDescent="0.35">
      <c r="A49" s="1">
        <v>25</v>
      </c>
      <c r="B49" s="1">
        <v>-1.402163273998093E-4</v>
      </c>
      <c r="C49" s="1">
        <v>-4.2665944357173314E-3</v>
      </c>
    </row>
    <row r="50" spans="1:3" x14ac:dyDescent="0.35">
      <c r="A50" s="1">
        <v>26</v>
      </c>
      <c r="B50" s="1">
        <v>1.0700362762079325E-4</v>
      </c>
      <c r="C50" s="1">
        <v>-2.1193875009293808E-3</v>
      </c>
    </row>
    <row r="51" spans="1:3" x14ac:dyDescent="0.35">
      <c r="A51" s="1">
        <v>27</v>
      </c>
      <c r="B51" s="1">
        <v>7.5297860013137717E-4</v>
      </c>
      <c r="C51" s="1">
        <v>1.3359968060664118E-2</v>
      </c>
    </row>
    <row r="52" spans="1:3" x14ac:dyDescent="0.35">
      <c r="A52" s="1">
        <v>28</v>
      </c>
      <c r="B52" s="1">
        <v>1.7338840793297318E-3</v>
      </c>
      <c r="C52" s="1">
        <v>6.0197130220454352E-3</v>
      </c>
    </row>
    <row r="53" spans="1:3" x14ac:dyDescent="0.35">
      <c r="A53" s="1">
        <v>29</v>
      </c>
      <c r="B53" s="1">
        <v>3.4901566154045679E-5</v>
      </c>
      <c r="C53" s="1">
        <v>-8.3205836625745138E-3</v>
      </c>
    </row>
    <row r="54" spans="1:3" x14ac:dyDescent="0.35">
      <c r="A54" s="1">
        <v>30</v>
      </c>
      <c r="B54" s="1">
        <v>1.1497766769316078E-4</v>
      </c>
      <c r="C54" s="1">
        <v>-2.8997706675086931E-3</v>
      </c>
    </row>
    <row r="55" spans="1:3" x14ac:dyDescent="0.35">
      <c r="A55" s="1">
        <v>31</v>
      </c>
      <c r="B55" s="1">
        <v>-1.2027623683421571E-3</v>
      </c>
      <c r="C55" s="1">
        <v>1.3969439819770436E-2</v>
      </c>
    </row>
    <row r="56" spans="1:3" x14ac:dyDescent="0.35">
      <c r="A56" s="1">
        <v>32</v>
      </c>
      <c r="B56" s="1">
        <v>-3.7875884159001782E-4</v>
      </c>
      <c r="C56" s="1">
        <v>-1.2621119328763556E-2</v>
      </c>
    </row>
    <row r="57" spans="1:3" x14ac:dyDescent="0.35">
      <c r="A57" s="1">
        <v>33</v>
      </c>
      <c r="B57" s="1">
        <v>-2.2700361896779409E-3</v>
      </c>
      <c r="C57" s="1">
        <v>1.2647275227717979E-2</v>
      </c>
    </row>
    <row r="58" spans="1:3" x14ac:dyDescent="0.35">
      <c r="A58" s="1">
        <v>34</v>
      </c>
      <c r="B58" s="1">
        <v>6.2230058668868949E-4</v>
      </c>
      <c r="C58" s="1">
        <v>-2.3998892033945136E-3</v>
      </c>
    </row>
    <row r="59" spans="1:3" x14ac:dyDescent="0.35">
      <c r="A59" s="1">
        <v>35</v>
      </c>
      <c r="B59" s="1">
        <v>3.8705466290196258E-3</v>
      </c>
      <c r="C59" s="1">
        <v>-5.0695854907175904E-4</v>
      </c>
    </row>
    <row r="60" spans="1:3" x14ac:dyDescent="0.35">
      <c r="A60" s="1">
        <v>36</v>
      </c>
      <c r="B60" s="1">
        <v>-7.6581917746988129E-3</v>
      </c>
      <c r="C60" s="1">
        <v>-2.9906896249679371E-3</v>
      </c>
    </row>
    <row r="61" spans="1:3" x14ac:dyDescent="0.35">
      <c r="A61" s="1">
        <v>37</v>
      </c>
      <c r="B61" s="1">
        <v>-1.3103515392837196E-3</v>
      </c>
      <c r="C61" s="1">
        <v>-2.2209651656449302E-2</v>
      </c>
    </row>
    <row r="62" spans="1:3" x14ac:dyDescent="0.35">
      <c r="A62" s="1">
        <v>38</v>
      </c>
      <c r="B62" s="1">
        <v>7.8729472621636501E-3</v>
      </c>
      <c r="C62" s="1">
        <v>1.0702283476727175E-2</v>
      </c>
    </row>
    <row r="63" spans="1:3" x14ac:dyDescent="0.35">
      <c r="A63" s="1">
        <v>39</v>
      </c>
      <c r="B63" s="1">
        <v>-2.3820120128300311E-3</v>
      </c>
      <c r="C63" s="1">
        <v>6.3902052221556215E-3</v>
      </c>
    </row>
    <row r="64" spans="1:3" x14ac:dyDescent="0.35">
      <c r="A64" s="1">
        <v>40</v>
      </c>
      <c r="B64" s="1">
        <v>-3.9860966444908146E-3</v>
      </c>
      <c r="C64" s="1">
        <v>1.590817004773537E-3</v>
      </c>
    </row>
    <row r="65" spans="1:3" x14ac:dyDescent="0.35">
      <c r="A65" s="1">
        <v>41</v>
      </c>
      <c r="B65" s="1">
        <v>-4.0990313102569819E-3</v>
      </c>
      <c r="C65" s="1">
        <v>3.2986581458072433E-3</v>
      </c>
    </row>
    <row r="66" spans="1:3" x14ac:dyDescent="0.35">
      <c r="A66" s="1">
        <v>42</v>
      </c>
      <c r="B66" s="1">
        <v>6.4910608177157353E-3</v>
      </c>
      <c r="C66" s="1">
        <v>1.0529471498975068E-2</v>
      </c>
    </row>
    <row r="67" spans="1:3" x14ac:dyDescent="0.35">
      <c r="A67" s="1">
        <v>43</v>
      </c>
      <c r="B67" s="1">
        <v>-1.5063077174683494E-3</v>
      </c>
      <c r="C67" s="1">
        <v>1.8241815218781016E-2</v>
      </c>
    </row>
    <row r="68" spans="1:3" x14ac:dyDescent="0.35">
      <c r="A68" s="1">
        <v>44</v>
      </c>
      <c r="B68" s="1">
        <v>4.7724444436545686E-3</v>
      </c>
      <c r="C68" s="1">
        <v>-1.9877071275621983E-2</v>
      </c>
    </row>
    <row r="69" spans="1:3" x14ac:dyDescent="0.35">
      <c r="A69" s="1">
        <v>45</v>
      </c>
      <c r="B69" s="1">
        <v>2.1583736431616761E-3</v>
      </c>
      <c r="C69" s="1">
        <v>9.2454520304321008E-3</v>
      </c>
    </row>
    <row r="70" spans="1:3" x14ac:dyDescent="0.35">
      <c r="A70" s="1">
        <v>46</v>
      </c>
      <c r="B70" s="1">
        <v>3.5629047600143292E-3</v>
      </c>
      <c r="C70" s="1">
        <v>-1.4449235019095874E-2</v>
      </c>
    </row>
    <row r="71" spans="1:3" x14ac:dyDescent="0.35">
      <c r="A71" s="1">
        <v>47</v>
      </c>
      <c r="B71" s="1">
        <v>5.4478269446800692E-4</v>
      </c>
      <c r="C71" s="1">
        <v>-2.5265305017421443E-3</v>
      </c>
    </row>
    <row r="72" spans="1:3" x14ac:dyDescent="0.35">
      <c r="A72" s="1">
        <v>48</v>
      </c>
      <c r="B72" s="1">
        <v>2.3068997627619923E-3</v>
      </c>
      <c r="C72" s="1">
        <v>1.0997289381198866E-2</v>
      </c>
    </row>
    <row r="73" spans="1:3" x14ac:dyDescent="0.35">
      <c r="A73" s="1">
        <v>49</v>
      </c>
      <c r="B73" s="1">
        <v>-2.8698914024685403E-4</v>
      </c>
      <c r="C73" s="1">
        <v>4.0103465057758558E-3</v>
      </c>
    </row>
    <row r="74" spans="1:3" x14ac:dyDescent="0.35">
      <c r="A74" s="1">
        <v>50</v>
      </c>
      <c r="B74" s="1">
        <v>1.1445350303088807E-3</v>
      </c>
      <c r="C74" s="1">
        <v>-7.5399782659710756E-4</v>
      </c>
    </row>
    <row r="75" spans="1:3" x14ac:dyDescent="0.35">
      <c r="A75" s="1">
        <v>51</v>
      </c>
      <c r="B75" s="1">
        <v>-4.5312574927594673E-3</v>
      </c>
      <c r="C75" s="1">
        <v>-8.5446147133497029E-3</v>
      </c>
    </row>
    <row r="76" spans="1:3" x14ac:dyDescent="0.35">
      <c r="A76" s="1">
        <v>52</v>
      </c>
      <c r="B76" s="1">
        <v>2.4144686669775895E-5</v>
      </c>
      <c r="C76" s="1">
        <v>4.7217566811204939E-3</v>
      </c>
    </row>
    <row r="77" spans="1:3" x14ac:dyDescent="0.35">
      <c r="A77" s="1">
        <v>53</v>
      </c>
      <c r="B77" s="1">
        <v>2.4784603166624892E-3</v>
      </c>
      <c r="C77" s="1">
        <v>1.2608456594232669E-3</v>
      </c>
    </row>
    <row r="78" spans="1:3" x14ac:dyDescent="0.35">
      <c r="A78" s="1">
        <v>54</v>
      </c>
      <c r="B78" s="1">
        <v>-2.2372215384607523E-3</v>
      </c>
      <c r="C78" s="1">
        <v>9.8844718246091073E-3</v>
      </c>
    </row>
    <row r="79" spans="1:3" x14ac:dyDescent="0.35">
      <c r="A79" s="1">
        <v>55</v>
      </c>
      <c r="B79" s="1">
        <v>-1.5410914696897672E-3</v>
      </c>
      <c r="C79" s="1">
        <v>4.0707152699737733E-3</v>
      </c>
    </row>
    <row r="80" spans="1:3" x14ac:dyDescent="0.35">
      <c r="A80" s="1">
        <v>56</v>
      </c>
      <c r="B80" s="1">
        <v>1.9041691762012249E-3</v>
      </c>
      <c r="C80" s="1">
        <v>7.8006168390876308E-3</v>
      </c>
    </row>
    <row r="81" spans="1:3" x14ac:dyDescent="0.35">
      <c r="A81" s="1">
        <v>57</v>
      </c>
      <c r="B81" s="1">
        <v>5.5692984951858501E-3</v>
      </c>
      <c r="C81" s="1">
        <v>1.4038756798206979E-2</v>
      </c>
    </row>
    <row r="82" spans="1:3" x14ac:dyDescent="0.35">
      <c r="A82" s="1">
        <v>58</v>
      </c>
      <c r="B82" s="1">
        <v>-6.1220623651116413E-5</v>
      </c>
      <c r="C82" s="1">
        <v>1.5332634494776622E-2</v>
      </c>
    </row>
    <row r="83" spans="1:3" x14ac:dyDescent="0.35">
      <c r="A83" s="1">
        <v>59</v>
      </c>
      <c r="B83" s="1">
        <v>-7.9798948798758885E-4</v>
      </c>
      <c r="C83" s="1">
        <v>-1.2201115291955578E-2</v>
      </c>
    </row>
    <row r="84" spans="1:3" x14ac:dyDescent="0.35">
      <c r="A84" s="1">
        <v>60</v>
      </c>
      <c r="B84" s="1">
        <v>1.3836391643013983E-3</v>
      </c>
      <c r="C84" s="1">
        <v>-9.6619807359875545E-3</v>
      </c>
    </row>
    <row r="85" spans="1:3" x14ac:dyDescent="0.35">
      <c r="A85" s="1">
        <v>61</v>
      </c>
      <c r="B85" s="1">
        <v>4.0229274446886487E-3</v>
      </c>
      <c r="C85" s="1">
        <v>-7.8174024474878517E-3</v>
      </c>
    </row>
    <row r="86" spans="1:3" x14ac:dyDescent="0.35">
      <c r="A86" s="1">
        <v>62</v>
      </c>
      <c r="B86" s="1">
        <v>4.8636900790037518E-3</v>
      </c>
      <c r="C86" s="1">
        <v>8.4961800551430072E-4</v>
      </c>
    </row>
    <row r="87" spans="1:3" x14ac:dyDescent="0.35">
      <c r="A87" s="1">
        <v>63</v>
      </c>
      <c r="B87" s="1">
        <v>-9.5171983286962202E-5</v>
      </c>
      <c r="C87" s="1">
        <v>7.2905565588313355E-3</v>
      </c>
    </row>
    <row r="88" spans="1:3" x14ac:dyDescent="0.35">
      <c r="A88" s="1">
        <v>64</v>
      </c>
      <c r="B88" s="1">
        <v>6.9273824934003617E-4</v>
      </c>
      <c r="C88" s="1">
        <v>9.9938340650187639E-4</v>
      </c>
    </row>
    <row r="89" spans="1:3" x14ac:dyDescent="0.35">
      <c r="A89" s="1">
        <v>65</v>
      </c>
      <c r="B89" s="1">
        <v>1.5760937269789662E-3</v>
      </c>
      <c r="C89" s="1">
        <v>-4.5790174200352968E-3</v>
      </c>
    </row>
    <row r="90" spans="1:3" x14ac:dyDescent="0.35">
      <c r="A90" s="1">
        <v>66</v>
      </c>
      <c r="B90" s="1">
        <v>2.7020233092376841E-3</v>
      </c>
      <c r="C90" s="1">
        <v>-1.5724834197983894E-3</v>
      </c>
    </row>
    <row r="91" spans="1:3" x14ac:dyDescent="0.35">
      <c r="A91" s="1">
        <v>67</v>
      </c>
      <c r="B91" s="1">
        <v>1.5497965210057972E-4</v>
      </c>
      <c r="C91" s="1">
        <v>3.0417862900748919E-3</v>
      </c>
    </row>
    <row r="92" spans="1:3" x14ac:dyDescent="0.35">
      <c r="A92" s="1">
        <v>68</v>
      </c>
      <c r="B92" s="1">
        <v>1.2780985086599192E-3</v>
      </c>
      <c r="C92" s="1">
        <v>-6.1516417331676301E-3</v>
      </c>
    </row>
    <row r="93" spans="1:3" x14ac:dyDescent="0.35">
      <c r="A93" s="1">
        <v>69</v>
      </c>
      <c r="B93" s="1">
        <v>-1.0971906533491138E-3</v>
      </c>
      <c r="C93" s="1">
        <v>9.0875860840705311E-4</v>
      </c>
    </row>
    <row r="94" spans="1:3" x14ac:dyDescent="0.35">
      <c r="A94" s="1">
        <v>70</v>
      </c>
      <c r="B94" s="1">
        <v>3.787718527830572E-3</v>
      </c>
      <c r="C94" s="1">
        <v>9.2223072841752683E-4</v>
      </c>
    </row>
    <row r="95" spans="1:3" x14ac:dyDescent="0.35">
      <c r="A95" s="1">
        <v>71</v>
      </c>
      <c r="B95" s="1">
        <v>1.3792376577637293E-3</v>
      </c>
      <c r="C95" s="1">
        <v>5.1837303489726807E-3</v>
      </c>
    </row>
    <row r="96" spans="1:3" x14ac:dyDescent="0.35">
      <c r="A96" s="1">
        <v>72</v>
      </c>
      <c r="B96" s="1">
        <v>-1.4893604482388782E-3</v>
      </c>
      <c r="C96" s="1">
        <v>7.4504538489138603E-3</v>
      </c>
    </row>
    <row r="97" spans="1:3" x14ac:dyDescent="0.35">
      <c r="A97" s="1">
        <v>73</v>
      </c>
      <c r="B97" s="1">
        <v>-1.9706337371495695E-3</v>
      </c>
      <c r="C97" s="1">
        <v>5.1188564705097125E-3</v>
      </c>
    </row>
    <row r="98" spans="1:3" x14ac:dyDescent="0.35">
      <c r="A98" s="1">
        <v>74</v>
      </c>
      <c r="B98" s="1">
        <v>3.2123711006637116E-3</v>
      </c>
      <c r="C98" s="1">
        <v>4.9101733782650203E-3</v>
      </c>
    </row>
    <row r="99" spans="1:3" x14ac:dyDescent="0.35">
      <c r="A99" s="1">
        <v>75</v>
      </c>
      <c r="B99" s="1">
        <v>-2.7455365629955211E-3</v>
      </c>
      <c r="C99" s="1">
        <v>-3.6743950654521875E-4</v>
      </c>
    </row>
    <row r="100" spans="1:3" x14ac:dyDescent="0.35">
      <c r="A100" s="1">
        <v>76</v>
      </c>
      <c r="B100" s="1">
        <v>3.7344694683172823E-3</v>
      </c>
      <c r="C100" s="1">
        <v>-3.1835145821614307E-3</v>
      </c>
    </row>
    <row r="101" spans="1:3" x14ac:dyDescent="0.35">
      <c r="A101" s="1">
        <v>77</v>
      </c>
      <c r="B101" s="1">
        <v>7.915303014264227E-4</v>
      </c>
      <c r="C101" s="1">
        <v>-1.566194636582104E-2</v>
      </c>
    </row>
    <row r="102" spans="1:3" x14ac:dyDescent="0.35">
      <c r="A102" s="1">
        <v>78</v>
      </c>
      <c r="B102" s="1">
        <v>1.4892519200263103E-4</v>
      </c>
      <c r="C102" s="1">
        <v>-1.6398770058399766E-3</v>
      </c>
    </row>
    <row r="103" spans="1:3" x14ac:dyDescent="0.35">
      <c r="A103" s="1">
        <v>79</v>
      </c>
      <c r="B103" s="1">
        <v>-5.3989831192818052E-5</v>
      </c>
      <c r="C103" s="1">
        <v>2.405345027332374E-4</v>
      </c>
    </row>
    <row r="104" spans="1:3" x14ac:dyDescent="0.35">
      <c r="A104" s="1">
        <v>80</v>
      </c>
      <c r="B104" s="1">
        <v>2.3940594581338195E-3</v>
      </c>
      <c r="C104" s="1">
        <v>1.0108256530136025E-2</v>
      </c>
    </row>
    <row r="105" spans="1:3" x14ac:dyDescent="0.35">
      <c r="A105" s="1">
        <v>81</v>
      </c>
      <c r="B105" s="1">
        <v>-2.0968874617296922E-3</v>
      </c>
      <c r="C105" s="1">
        <v>-3.0633360436822608E-3</v>
      </c>
    </row>
    <row r="106" spans="1:3" x14ac:dyDescent="0.35">
      <c r="A106" s="1">
        <v>82</v>
      </c>
      <c r="B106" s="1">
        <v>1.1022909188405598E-3</v>
      </c>
      <c r="C106" s="1">
        <v>8.1604696831084986E-3</v>
      </c>
    </row>
    <row r="107" spans="1:3" x14ac:dyDescent="0.35">
      <c r="A107" s="1">
        <v>83</v>
      </c>
      <c r="B107" s="1">
        <v>-1.9307413769027416E-3</v>
      </c>
      <c r="C107" s="1">
        <v>-4.3102282374147512E-3</v>
      </c>
    </row>
    <row r="108" spans="1:3" x14ac:dyDescent="0.35">
      <c r="A108" s="1">
        <v>84</v>
      </c>
      <c r="B108" s="1">
        <v>4.4441511815365036E-4</v>
      </c>
      <c r="C108" s="1">
        <v>-3.0302455277389055E-3</v>
      </c>
    </row>
    <row r="109" spans="1:3" x14ac:dyDescent="0.35">
      <c r="A109" s="1">
        <v>85</v>
      </c>
      <c r="B109" s="1">
        <v>2.8453737357367523E-3</v>
      </c>
      <c r="C109" s="1">
        <v>7.1545757767413985E-3</v>
      </c>
    </row>
    <row r="110" spans="1:3" x14ac:dyDescent="0.35">
      <c r="A110" s="1">
        <v>86</v>
      </c>
      <c r="B110" s="1">
        <v>2.5905042192020419E-3</v>
      </c>
      <c r="C110" s="1">
        <v>-3.1405296000272969E-3</v>
      </c>
    </row>
    <row r="111" spans="1:3" x14ac:dyDescent="0.35">
      <c r="A111" s="1">
        <v>87</v>
      </c>
      <c r="B111" s="1">
        <v>-3.1396872757774369E-3</v>
      </c>
      <c r="C111" s="1">
        <v>1.0477798293617016E-2</v>
      </c>
    </row>
    <row r="112" spans="1:3" x14ac:dyDescent="0.35">
      <c r="A112" s="1">
        <v>88</v>
      </c>
      <c r="B112" s="1">
        <v>-2.5728344103941717E-3</v>
      </c>
      <c r="C112" s="1">
        <v>-8.1718421213560922E-3</v>
      </c>
    </row>
    <row r="113" spans="1:3" x14ac:dyDescent="0.35">
      <c r="A113" s="1">
        <v>89</v>
      </c>
      <c r="B113" s="1">
        <v>-6.6834547395432705E-3</v>
      </c>
      <c r="C113" s="1">
        <v>1.5287704983582857E-3</v>
      </c>
    </row>
    <row r="114" spans="1:3" x14ac:dyDescent="0.35">
      <c r="A114" s="1">
        <v>90</v>
      </c>
      <c r="B114" s="1">
        <v>4.1348799920605753E-3</v>
      </c>
      <c r="C114" s="1">
        <v>4.5622368634951789E-3</v>
      </c>
    </row>
    <row r="115" spans="1:3" x14ac:dyDescent="0.35">
      <c r="A115" s="1">
        <v>91</v>
      </c>
      <c r="B115" s="1">
        <v>5.0180473951926732E-3</v>
      </c>
      <c r="C115" s="1">
        <v>-9.8206616797850543E-4</v>
      </c>
    </row>
    <row r="116" spans="1:3" x14ac:dyDescent="0.35">
      <c r="A116" s="1">
        <v>92</v>
      </c>
      <c r="B116" s="1">
        <v>-5.9599580974666793E-4</v>
      </c>
      <c r="C116" s="1">
        <v>-1.0483518596323997E-3</v>
      </c>
    </row>
    <row r="117" spans="1:3" x14ac:dyDescent="0.35">
      <c r="A117" s="1">
        <v>93</v>
      </c>
      <c r="B117" s="1">
        <v>-2.5224406778135552E-3</v>
      </c>
      <c r="C117" s="1">
        <v>-2.9679874287867492E-3</v>
      </c>
    </row>
    <row r="118" spans="1:3" x14ac:dyDescent="0.35">
      <c r="A118" s="1">
        <v>94</v>
      </c>
      <c r="B118" s="1">
        <v>-7.2899755907875551E-4</v>
      </c>
      <c r="C118" s="1">
        <v>-2.3995265925671155E-3</v>
      </c>
    </row>
    <row r="119" spans="1:3" x14ac:dyDescent="0.35">
      <c r="A119" s="1">
        <v>95</v>
      </c>
      <c r="B119" s="1">
        <v>3.6141463039686553E-3</v>
      </c>
      <c r="C119" s="1">
        <v>5.2468555871870827E-3</v>
      </c>
    </row>
    <row r="120" spans="1:3" x14ac:dyDescent="0.35">
      <c r="A120" s="1">
        <v>96</v>
      </c>
      <c r="B120" s="1">
        <v>-3.4150467091986851E-5</v>
      </c>
      <c r="C120" s="1">
        <v>-5.1468728187493962E-4</v>
      </c>
    </row>
    <row r="121" spans="1:3" x14ac:dyDescent="0.35">
      <c r="A121" s="1">
        <v>97</v>
      </c>
      <c r="B121" s="1">
        <v>3.4071110916029574E-3</v>
      </c>
      <c r="C121" s="1">
        <v>-1.1163221103834995E-4</v>
      </c>
    </row>
    <row r="122" spans="1:3" x14ac:dyDescent="0.35">
      <c r="A122" s="1">
        <v>98</v>
      </c>
      <c r="B122" s="1">
        <v>-4.6575815888200264E-4</v>
      </c>
      <c r="C122" s="1">
        <v>2.8328627632323708E-4</v>
      </c>
    </row>
    <row r="123" spans="1:3" x14ac:dyDescent="0.35">
      <c r="A123" s="1">
        <v>99</v>
      </c>
      <c r="B123" s="1">
        <v>8.2195113605306955E-4</v>
      </c>
      <c r="C123" s="1">
        <v>3.5583338095971145E-3</v>
      </c>
    </row>
    <row r="124" spans="1:3" x14ac:dyDescent="0.35">
      <c r="A124" s="1">
        <v>100</v>
      </c>
      <c r="B124" s="1">
        <v>5.9301948184778245E-4</v>
      </c>
      <c r="C124" s="1">
        <v>7.7659254794283355E-3</v>
      </c>
    </row>
    <row r="125" spans="1:3" x14ac:dyDescent="0.35">
      <c r="A125" s="1">
        <v>101</v>
      </c>
      <c r="B125" s="1">
        <v>4.6546387497903427E-4</v>
      </c>
      <c r="C125" s="1">
        <v>-4.0698396524710178E-3</v>
      </c>
    </row>
    <row r="126" spans="1:3" x14ac:dyDescent="0.35">
      <c r="A126" s="1">
        <v>102</v>
      </c>
      <c r="B126" s="1">
        <v>5.9657298216450871E-5</v>
      </c>
      <c r="C126" s="1">
        <v>-2.4035304364286833E-4</v>
      </c>
    </row>
    <row r="127" spans="1:3" x14ac:dyDescent="0.35">
      <c r="A127" s="1">
        <v>103</v>
      </c>
      <c r="B127" s="1">
        <v>6.8363311975343612E-4</v>
      </c>
      <c r="C127" s="1">
        <v>3.2962894820352594E-3</v>
      </c>
    </row>
    <row r="128" spans="1:3" x14ac:dyDescent="0.35">
      <c r="A128" s="1">
        <v>104</v>
      </c>
      <c r="B128" s="1">
        <v>-9.4949595252003048E-4</v>
      </c>
      <c r="C128" s="1">
        <v>3.471881969964786E-3</v>
      </c>
    </row>
    <row r="129" spans="1:3" x14ac:dyDescent="0.35">
      <c r="A129" s="1">
        <v>105</v>
      </c>
      <c r="B129" s="1">
        <v>3.0605140452851904E-3</v>
      </c>
      <c r="C129" s="1">
        <v>7.7231450378303385E-3</v>
      </c>
    </row>
    <row r="130" spans="1:3" x14ac:dyDescent="0.35">
      <c r="A130" s="1">
        <v>106</v>
      </c>
      <c r="B130" s="1">
        <v>-3.8287622630537725E-5</v>
      </c>
      <c r="C130" s="1">
        <v>-3.5178643866446983E-3</v>
      </c>
    </row>
    <row r="131" spans="1:3" x14ac:dyDescent="0.35">
      <c r="A131" s="1">
        <v>107</v>
      </c>
      <c r="B131" s="1">
        <v>2.7438542842613786E-4</v>
      </c>
      <c r="C131" s="1">
        <v>-7.2337162918758692E-3</v>
      </c>
    </row>
    <row r="132" spans="1:3" x14ac:dyDescent="0.35">
      <c r="A132" s="1">
        <v>108</v>
      </c>
      <c r="B132" s="1">
        <v>-3.6877488167456245E-4</v>
      </c>
      <c r="C132" s="1">
        <v>-2.6861829097775815E-3</v>
      </c>
    </row>
    <row r="133" spans="1:3" x14ac:dyDescent="0.35">
      <c r="A133" s="1">
        <v>109</v>
      </c>
      <c r="B133" s="1">
        <v>1.7149678900737193E-3</v>
      </c>
      <c r="C133" s="1">
        <v>6.0355514161975678E-3</v>
      </c>
    </row>
    <row r="134" spans="1:3" x14ac:dyDescent="0.35">
      <c r="A134" s="1">
        <v>110</v>
      </c>
      <c r="B134" s="1">
        <v>8.4499485548883641E-4</v>
      </c>
      <c r="C134" s="1">
        <v>3.6264722014481957E-3</v>
      </c>
    </row>
    <row r="135" spans="1:3" x14ac:dyDescent="0.35">
      <c r="A135" s="1">
        <v>111</v>
      </c>
      <c r="B135" s="1">
        <v>8.0212613888858782E-4</v>
      </c>
      <c r="C135" s="1">
        <v>-4.2105821101340677E-3</v>
      </c>
    </row>
    <row r="136" spans="1:3" x14ac:dyDescent="0.35">
      <c r="A136" s="1">
        <v>112</v>
      </c>
      <c r="B136" s="1">
        <v>-4.2920957010247516E-4</v>
      </c>
      <c r="C136" s="1">
        <v>-2.0912295174147486E-3</v>
      </c>
    </row>
    <row r="137" spans="1:3" x14ac:dyDescent="0.35">
      <c r="A137" s="1">
        <v>113</v>
      </c>
      <c r="B137" s="1">
        <v>-1.5162480917607179E-3</v>
      </c>
      <c r="C137" s="1">
        <v>-1.1838813057694193E-2</v>
      </c>
    </row>
    <row r="138" spans="1:3" x14ac:dyDescent="0.35">
      <c r="A138" s="1">
        <v>114</v>
      </c>
      <c r="B138" s="1">
        <v>7.787457754121439E-5</v>
      </c>
      <c r="C138" s="1">
        <v>5.0440659912148085E-3</v>
      </c>
    </row>
    <row r="139" spans="1:3" x14ac:dyDescent="0.35">
      <c r="A139" s="1">
        <v>115</v>
      </c>
      <c r="B139" s="1">
        <v>-4.0048381077366245E-3</v>
      </c>
      <c r="C139" s="1">
        <v>-1.7469426625594295E-2</v>
      </c>
    </row>
    <row r="140" spans="1:3" x14ac:dyDescent="0.35">
      <c r="A140" s="1">
        <v>116</v>
      </c>
      <c r="B140" s="1">
        <v>4.7234238842731079E-3</v>
      </c>
      <c r="C140" s="1">
        <v>6.2493811143901077E-3</v>
      </c>
    </row>
    <row r="141" spans="1:3" x14ac:dyDescent="0.35">
      <c r="A141" s="1">
        <v>117</v>
      </c>
      <c r="B141" s="1">
        <v>1.8669179093504871E-3</v>
      </c>
      <c r="C141" s="1">
        <v>1.8121640800482276E-3</v>
      </c>
    </row>
    <row r="142" spans="1:3" x14ac:dyDescent="0.35">
      <c r="A142" s="1">
        <v>118</v>
      </c>
      <c r="B142" s="1">
        <v>-1.3048572619959182E-4</v>
      </c>
      <c r="C142" s="1">
        <v>-7.9340013731411269E-3</v>
      </c>
    </row>
    <row r="143" spans="1:3" x14ac:dyDescent="0.35">
      <c r="A143" s="1">
        <v>119</v>
      </c>
      <c r="B143" s="1">
        <v>2.0878879730185447E-3</v>
      </c>
      <c r="C143" s="1">
        <v>2.9010276087938634E-3</v>
      </c>
    </row>
    <row r="144" spans="1:3" x14ac:dyDescent="0.35">
      <c r="A144" s="1">
        <v>120</v>
      </c>
      <c r="B144" s="1">
        <v>1.2897173239717979E-3</v>
      </c>
      <c r="C144" s="1">
        <v>-2.5765735127167427E-3</v>
      </c>
    </row>
    <row r="145" spans="1:3" x14ac:dyDescent="0.35">
      <c r="A145" s="1">
        <v>121</v>
      </c>
      <c r="B145" s="1">
        <v>9.6292887356597709E-4</v>
      </c>
      <c r="C145" s="1">
        <v>-2.0675304131462561E-3</v>
      </c>
    </row>
    <row r="146" spans="1:3" x14ac:dyDescent="0.35">
      <c r="A146" s="1">
        <v>122</v>
      </c>
      <c r="B146" s="1">
        <v>3.0730500758025398E-4</v>
      </c>
      <c r="C146" s="1">
        <v>-7.6793513166955431E-3</v>
      </c>
    </row>
    <row r="147" spans="1:3" x14ac:dyDescent="0.35">
      <c r="A147" s="1">
        <v>123</v>
      </c>
      <c r="B147" s="1">
        <v>6.4541619250168235E-4</v>
      </c>
      <c r="C147" s="1">
        <v>3.9962914165449191E-3</v>
      </c>
    </row>
    <row r="148" spans="1:3" x14ac:dyDescent="0.35">
      <c r="A148" s="1">
        <v>124</v>
      </c>
      <c r="B148" s="1">
        <v>1.898171889983749E-3</v>
      </c>
      <c r="C148" s="1">
        <v>-4.6703934396056471E-3</v>
      </c>
    </row>
    <row r="149" spans="1:3" x14ac:dyDescent="0.35">
      <c r="A149" s="1">
        <v>125</v>
      </c>
      <c r="B149" s="1">
        <v>2.6312838998083883E-3</v>
      </c>
      <c r="C149" s="1">
        <v>1.4459170579364548E-3</v>
      </c>
    </row>
    <row r="150" spans="1:3" x14ac:dyDescent="0.35">
      <c r="A150" s="1">
        <v>126</v>
      </c>
      <c r="B150" s="1">
        <v>-4.3247943654470874E-4</v>
      </c>
      <c r="C150" s="1">
        <v>-5.1046391061883335E-3</v>
      </c>
    </row>
    <row r="151" spans="1:3" x14ac:dyDescent="0.35">
      <c r="A151" s="1">
        <v>127</v>
      </c>
      <c r="B151" s="1">
        <v>1.2988481940906615E-3</v>
      </c>
      <c r="C151" s="1">
        <v>6.8675795152397159E-3</v>
      </c>
    </row>
    <row r="152" spans="1:3" x14ac:dyDescent="0.35">
      <c r="A152" s="1">
        <v>128</v>
      </c>
      <c r="B152" s="1">
        <v>-2.5365118322671449E-3</v>
      </c>
      <c r="C152" s="1">
        <v>-9.6152695364466181E-4</v>
      </c>
    </row>
    <row r="153" spans="1:3" x14ac:dyDescent="0.35">
      <c r="A153" s="1">
        <v>129</v>
      </c>
      <c r="B153" s="1">
        <v>3.8468439841483457E-3</v>
      </c>
      <c r="C153" s="1">
        <v>2.2496294915309652E-3</v>
      </c>
    </row>
    <row r="154" spans="1:3" x14ac:dyDescent="0.35">
      <c r="A154" s="1">
        <v>130</v>
      </c>
      <c r="B154" s="1">
        <v>1.3285139739988368E-3</v>
      </c>
      <c r="C154" s="1">
        <v>-9.6131334108648316E-4</v>
      </c>
    </row>
    <row r="155" spans="1:3" x14ac:dyDescent="0.35">
      <c r="A155" s="1">
        <v>131</v>
      </c>
      <c r="B155" s="1">
        <v>-9.1349423719942291E-4</v>
      </c>
      <c r="C155" s="1">
        <v>1.0825473737909472E-2</v>
      </c>
    </row>
    <row r="156" spans="1:3" x14ac:dyDescent="0.35">
      <c r="A156" s="1">
        <v>132</v>
      </c>
      <c r="B156" s="1">
        <v>5.9289719965198234E-4</v>
      </c>
      <c r="C156" s="1">
        <v>2.19444392845424E-2</v>
      </c>
    </row>
    <row r="157" spans="1:3" x14ac:dyDescent="0.35">
      <c r="A157" s="1">
        <v>133</v>
      </c>
      <c r="B157" s="1">
        <v>-8.315836508976138E-4</v>
      </c>
      <c r="C157" s="1">
        <v>4.0307315584456067E-3</v>
      </c>
    </row>
    <row r="158" spans="1:3" x14ac:dyDescent="0.35">
      <c r="A158" s="1">
        <v>134</v>
      </c>
      <c r="B158" s="1">
        <v>-2.2076198125750577E-3</v>
      </c>
      <c r="C158" s="1">
        <v>1.4991369873284179E-3</v>
      </c>
    </row>
    <row r="159" spans="1:3" x14ac:dyDescent="0.35">
      <c r="A159" s="1">
        <v>135</v>
      </c>
      <c r="B159" s="1">
        <v>-4.8880789139440347E-3</v>
      </c>
      <c r="C159" s="1">
        <v>-6.991329850339875E-3</v>
      </c>
    </row>
    <row r="160" spans="1:3" x14ac:dyDescent="0.35">
      <c r="A160" s="1">
        <v>136</v>
      </c>
      <c r="B160" s="1">
        <v>5.0967664396311249E-3</v>
      </c>
      <c r="C160" s="1">
        <v>-3.30236816058623E-3</v>
      </c>
    </row>
    <row r="161" spans="1:3" x14ac:dyDescent="0.35">
      <c r="A161" s="1">
        <v>137</v>
      </c>
      <c r="B161" s="1">
        <v>2.8699443130366384E-3</v>
      </c>
      <c r="C161" s="1">
        <v>1.0026144021509361E-2</v>
      </c>
    </row>
    <row r="162" spans="1:3" x14ac:dyDescent="0.35">
      <c r="A162" s="1">
        <v>138</v>
      </c>
      <c r="B162" s="1">
        <v>8.6695017443461813E-4</v>
      </c>
      <c r="C162" s="1">
        <v>-2.2814681547429346E-3</v>
      </c>
    </row>
    <row r="163" spans="1:3" x14ac:dyDescent="0.35">
      <c r="A163" s="1">
        <v>139</v>
      </c>
      <c r="B163" s="1">
        <v>3.482453963668892E-3</v>
      </c>
      <c r="C163" s="1">
        <v>6.0799947948492914E-3</v>
      </c>
    </row>
    <row r="164" spans="1:3" x14ac:dyDescent="0.35">
      <c r="A164" s="1">
        <v>140</v>
      </c>
      <c r="B164" s="1">
        <v>9.8456251649403702E-4</v>
      </c>
      <c r="C164" s="1">
        <v>-1.0739250061045835E-4</v>
      </c>
    </row>
    <row r="165" spans="1:3" x14ac:dyDescent="0.35">
      <c r="A165" s="1">
        <v>141</v>
      </c>
      <c r="B165" s="1">
        <v>-1.2981989103136161E-3</v>
      </c>
      <c r="C165" s="1">
        <v>4.8032685451272934E-3</v>
      </c>
    </row>
    <row r="166" spans="1:3" x14ac:dyDescent="0.35">
      <c r="A166" s="1">
        <v>142</v>
      </c>
      <c r="B166" s="1">
        <v>1.5813841278655827E-4</v>
      </c>
      <c r="C166" s="1">
        <v>-9.2394886981773099E-3</v>
      </c>
    </row>
    <row r="167" spans="1:3" x14ac:dyDescent="0.35">
      <c r="A167" s="1">
        <v>143</v>
      </c>
      <c r="B167" s="1">
        <v>1.57143464507456E-3</v>
      </c>
      <c r="C167" s="1">
        <v>3.8919285843160081E-3</v>
      </c>
    </row>
    <row r="168" spans="1:3" x14ac:dyDescent="0.35">
      <c r="A168" s="1">
        <v>144</v>
      </c>
      <c r="B168" s="1">
        <v>-1.5213714968738033E-3</v>
      </c>
      <c r="C168" s="1">
        <v>1.1709943020525835E-3</v>
      </c>
    </row>
    <row r="169" spans="1:3" x14ac:dyDescent="0.35">
      <c r="A169" s="1">
        <v>145</v>
      </c>
      <c r="B169" s="1">
        <v>-3.7486847793751616E-4</v>
      </c>
      <c r="C169" s="1">
        <v>-2.2553355765829392E-3</v>
      </c>
    </row>
    <row r="170" spans="1:3" x14ac:dyDescent="0.35">
      <c r="A170" s="1">
        <v>146</v>
      </c>
      <c r="B170" s="1">
        <v>2.8575909548601451E-3</v>
      </c>
      <c r="C170" s="1">
        <v>-2.1544353946595677E-3</v>
      </c>
    </row>
    <row r="171" spans="1:3" x14ac:dyDescent="0.35">
      <c r="A171" s="1">
        <v>147</v>
      </c>
      <c r="B171" s="1">
        <v>-1.272439905183233E-3</v>
      </c>
      <c r="C171" s="1">
        <v>-1.3133807310509461E-2</v>
      </c>
    </row>
    <row r="172" spans="1:3" x14ac:dyDescent="0.35">
      <c r="A172" s="1">
        <v>148</v>
      </c>
      <c r="B172" s="1">
        <v>2.1503726048289966E-3</v>
      </c>
      <c r="C172" s="1">
        <v>4.9797269333845973E-3</v>
      </c>
    </row>
    <row r="173" spans="1:3" x14ac:dyDescent="0.35">
      <c r="A173" s="1">
        <v>149</v>
      </c>
      <c r="B173" s="1">
        <v>7.5710068098225043E-4</v>
      </c>
      <c r="C173" s="1">
        <v>1.7210370781709926E-3</v>
      </c>
    </row>
    <row r="174" spans="1:3" x14ac:dyDescent="0.35">
      <c r="A174" s="1">
        <v>150</v>
      </c>
      <c r="B174" s="1">
        <v>-8.4353654887041335E-5</v>
      </c>
      <c r="C174" s="1">
        <v>2.6088739675655492E-4</v>
      </c>
    </row>
    <row r="175" spans="1:3" x14ac:dyDescent="0.35">
      <c r="A175" s="1">
        <v>151</v>
      </c>
      <c r="B175" s="1">
        <v>5.3747258881353492E-4</v>
      </c>
      <c r="C175" s="1">
        <v>2.1102202427637725E-3</v>
      </c>
    </row>
    <row r="176" spans="1:3" x14ac:dyDescent="0.35">
      <c r="A176" s="1">
        <v>152</v>
      </c>
      <c r="B176" s="1">
        <v>6.2855095588946021E-4</v>
      </c>
      <c r="C176" s="1">
        <v>-1.8609600809889508E-3</v>
      </c>
    </row>
    <row r="177" spans="1:3" x14ac:dyDescent="0.35">
      <c r="A177" s="1">
        <v>153</v>
      </c>
      <c r="B177" s="1">
        <v>1.552202333356092E-3</v>
      </c>
      <c r="C177" s="1">
        <v>3.8681926853211587E-4</v>
      </c>
    </row>
    <row r="178" spans="1:3" x14ac:dyDescent="0.35">
      <c r="A178" s="1">
        <v>154</v>
      </c>
      <c r="B178" s="1">
        <v>7.3523411463600921E-4</v>
      </c>
      <c r="C178" s="1">
        <v>6.12612555547492E-3</v>
      </c>
    </row>
    <row r="179" spans="1:3" x14ac:dyDescent="0.35">
      <c r="A179" s="1">
        <v>155</v>
      </c>
      <c r="B179" s="1">
        <v>1.0613504013598154E-3</v>
      </c>
      <c r="C179" s="1">
        <v>3.3070293379048165E-3</v>
      </c>
    </row>
    <row r="180" spans="1:3" x14ac:dyDescent="0.35">
      <c r="A180" s="1">
        <v>156</v>
      </c>
      <c r="B180" s="1">
        <v>-2.0537693129698532E-3</v>
      </c>
      <c r="C180" s="1">
        <v>-1.4257650553849239E-3</v>
      </c>
    </row>
    <row r="181" spans="1:3" x14ac:dyDescent="0.35">
      <c r="A181" s="1">
        <v>157</v>
      </c>
      <c r="B181" s="1">
        <v>-3.2403407818876562E-3</v>
      </c>
      <c r="C181" s="1">
        <v>-1.0377043179971322E-2</v>
      </c>
    </row>
    <row r="182" spans="1:3" x14ac:dyDescent="0.35">
      <c r="A182" s="1">
        <v>158</v>
      </c>
      <c r="B182" s="1">
        <v>6.2242096513564365E-4</v>
      </c>
      <c r="C182" s="1">
        <v>5.7494697950362618E-3</v>
      </c>
    </row>
    <row r="183" spans="1:3" x14ac:dyDescent="0.35">
      <c r="A183" s="1">
        <v>159</v>
      </c>
      <c r="B183" s="1">
        <v>2.8376873308663415E-3</v>
      </c>
      <c r="C183" s="1">
        <v>-6.7067868523935995E-3</v>
      </c>
    </row>
    <row r="184" spans="1:3" x14ac:dyDescent="0.35">
      <c r="A184" s="1">
        <v>160</v>
      </c>
      <c r="B184" s="1">
        <v>2.9606706840940682E-3</v>
      </c>
      <c r="C184" s="1">
        <v>-6.4921160747180764E-3</v>
      </c>
    </row>
    <row r="185" spans="1:3" x14ac:dyDescent="0.35">
      <c r="A185" s="1">
        <v>161</v>
      </c>
      <c r="B185" s="1">
        <v>6.9933538656874298E-4</v>
      </c>
      <c r="C185" s="1">
        <v>-8.3178842742420659E-3</v>
      </c>
    </row>
    <row r="186" spans="1:3" x14ac:dyDescent="0.35">
      <c r="A186" s="1">
        <v>162</v>
      </c>
      <c r="B186" s="1">
        <v>9.3241136814451993E-4</v>
      </c>
      <c r="C186" s="1">
        <v>1.387831309938441E-4</v>
      </c>
    </row>
    <row r="187" spans="1:3" x14ac:dyDescent="0.35">
      <c r="A187" s="1">
        <v>163</v>
      </c>
      <c r="B187" s="1">
        <v>-1.6561467002925464E-3</v>
      </c>
      <c r="C187" s="1">
        <v>-7.7962706731745293E-3</v>
      </c>
    </row>
    <row r="188" spans="1:3" x14ac:dyDescent="0.35">
      <c r="A188" s="1">
        <v>164</v>
      </c>
      <c r="B188" s="1">
        <v>3.0519992707559633E-3</v>
      </c>
      <c r="C188" s="1">
        <v>-1.0713535700414998E-3</v>
      </c>
    </row>
    <row r="189" spans="1:3" x14ac:dyDescent="0.35">
      <c r="A189" s="1">
        <v>165</v>
      </c>
      <c r="B189" s="1">
        <v>1.6037449894091922E-3</v>
      </c>
      <c r="C189" s="1">
        <v>7.9199315834449936E-3</v>
      </c>
    </row>
    <row r="190" spans="1:3" x14ac:dyDescent="0.35">
      <c r="A190" s="1">
        <v>166</v>
      </c>
      <c r="B190" s="1">
        <v>-2.160196538584093E-4</v>
      </c>
      <c r="C190" s="1">
        <v>2.5302158558078995E-3</v>
      </c>
    </row>
    <row r="191" spans="1:3" x14ac:dyDescent="0.35">
      <c r="A191" s="1">
        <v>167</v>
      </c>
      <c r="B191" s="1">
        <v>3.1835814832521239E-4</v>
      </c>
      <c r="C191" s="1">
        <v>6.4298576621987938E-3</v>
      </c>
    </row>
    <row r="192" spans="1:3" x14ac:dyDescent="0.35">
      <c r="A192" s="1">
        <v>168</v>
      </c>
      <c r="B192" s="1">
        <v>1.1327124107116944E-3</v>
      </c>
      <c r="C192" s="1">
        <v>2.7846614048280247E-4</v>
      </c>
    </row>
    <row r="193" spans="1:3" x14ac:dyDescent="0.35">
      <c r="A193" s="1">
        <v>169</v>
      </c>
      <c r="B193" s="1">
        <v>1.1027068370091855E-4</v>
      </c>
      <c r="C193" s="1">
        <v>-8.148656499955279E-4</v>
      </c>
    </row>
    <row r="194" spans="1:3" x14ac:dyDescent="0.35">
      <c r="A194" s="1">
        <v>170</v>
      </c>
      <c r="B194" s="1">
        <v>-8.7448483078209494E-4</v>
      </c>
      <c r="C194" s="1">
        <v>-1.7810485551516059E-2</v>
      </c>
    </row>
    <row r="195" spans="1:3" x14ac:dyDescent="0.35">
      <c r="A195" s="1">
        <v>171</v>
      </c>
      <c r="B195" s="1">
        <v>-2.061901850820925E-4</v>
      </c>
      <c r="C195" s="1">
        <v>1.3678408106304168E-2</v>
      </c>
    </row>
    <row r="196" spans="1:3" x14ac:dyDescent="0.35">
      <c r="A196" s="1">
        <v>172</v>
      </c>
      <c r="B196" s="1">
        <v>-1.2638234613091648E-3</v>
      </c>
      <c r="C196" s="1">
        <v>-8.6617765044685029E-3</v>
      </c>
    </row>
    <row r="197" spans="1:3" x14ac:dyDescent="0.35">
      <c r="A197" s="1">
        <v>173</v>
      </c>
      <c r="B197" s="1">
        <v>-2.266734716770873E-3</v>
      </c>
      <c r="C197" s="1">
        <v>-2.208626109195728E-3</v>
      </c>
    </row>
    <row r="198" spans="1:3" x14ac:dyDescent="0.35">
      <c r="A198" s="1">
        <v>174</v>
      </c>
      <c r="B198" s="1">
        <v>9.5054866383074412E-4</v>
      </c>
      <c r="C198" s="1">
        <v>7.3211968066279817E-3</v>
      </c>
    </row>
    <row r="199" spans="1:3" x14ac:dyDescent="0.35">
      <c r="A199" s="1">
        <v>175</v>
      </c>
      <c r="B199" s="1">
        <v>-1.6309593263654756E-3</v>
      </c>
      <c r="C199" s="1">
        <v>2.3498773314180126E-3</v>
      </c>
    </row>
    <row r="200" spans="1:3" x14ac:dyDescent="0.35">
      <c r="A200" s="1">
        <v>176</v>
      </c>
      <c r="B200" s="1">
        <v>2.944649220262737E-3</v>
      </c>
      <c r="C200" s="1">
        <v>4.6682466962075708E-4</v>
      </c>
    </row>
    <row r="201" spans="1:3" x14ac:dyDescent="0.35">
      <c r="A201" s="1">
        <v>177</v>
      </c>
      <c r="B201" s="1">
        <v>-2.8102269829134653E-4</v>
      </c>
      <c r="C201" s="1">
        <v>-9.2034193392961823E-3</v>
      </c>
    </row>
    <row r="202" spans="1:3" x14ac:dyDescent="0.35">
      <c r="A202" s="1">
        <v>178</v>
      </c>
      <c r="B202" s="1">
        <v>-2.7134298758329971E-3</v>
      </c>
      <c r="C202" s="1">
        <v>-1.3727314200546684E-2</v>
      </c>
    </row>
    <row r="203" spans="1:3" x14ac:dyDescent="0.35">
      <c r="A203" s="1">
        <v>179</v>
      </c>
      <c r="B203" s="1">
        <v>-5.2445223893110978E-3</v>
      </c>
      <c r="C203" s="1">
        <v>-1.7355649787473421E-3</v>
      </c>
    </row>
    <row r="204" spans="1:3" x14ac:dyDescent="0.35">
      <c r="A204" s="1">
        <v>180</v>
      </c>
      <c r="B204" s="1">
        <v>-4.3313437776182909E-5</v>
      </c>
      <c r="C204" s="1">
        <v>-1.4186244365300808E-4</v>
      </c>
    </row>
    <row r="205" spans="1:3" x14ac:dyDescent="0.35">
      <c r="A205" s="1">
        <v>181</v>
      </c>
      <c r="B205" s="1">
        <v>3.2810844537999396E-3</v>
      </c>
      <c r="C205" s="1">
        <v>-1.8010058881407082E-3</v>
      </c>
    </row>
    <row r="206" spans="1:3" x14ac:dyDescent="0.35">
      <c r="A206" s="1">
        <v>182</v>
      </c>
      <c r="B206" s="1">
        <v>4.1225161658470753E-3</v>
      </c>
      <c r="C206" s="1">
        <v>-5.7850236961445867E-3</v>
      </c>
    </row>
    <row r="207" spans="1:3" x14ac:dyDescent="0.35">
      <c r="A207" s="1">
        <v>183</v>
      </c>
      <c r="B207" s="1">
        <v>6.8816162382773216E-4</v>
      </c>
      <c r="C207" s="1">
        <v>-3.463942361759341E-3</v>
      </c>
    </row>
    <row r="208" spans="1:3" x14ac:dyDescent="0.35">
      <c r="A208" s="1">
        <v>184</v>
      </c>
      <c r="B208" s="1">
        <v>-6.7525464474598568E-4</v>
      </c>
      <c r="C208" s="1">
        <v>-4.5204806708846095E-3</v>
      </c>
    </row>
    <row r="209" spans="1:3" x14ac:dyDescent="0.35">
      <c r="A209" s="1">
        <v>185</v>
      </c>
      <c r="B209" s="1">
        <v>-6.3342534871108028E-3</v>
      </c>
      <c r="C209" s="1">
        <v>-1.1759350973277205E-2</v>
      </c>
    </row>
    <row r="210" spans="1:3" x14ac:dyDescent="0.35">
      <c r="A210" s="1">
        <v>186</v>
      </c>
      <c r="B210" s="1">
        <v>7.2296788293200434E-4</v>
      </c>
      <c r="C210" s="1">
        <v>5.3559254082636218E-3</v>
      </c>
    </row>
    <row r="211" spans="1:3" x14ac:dyDescent="0.35">
      <c r="A211" s="1">
        <v>187</v>
      </c>
      <c r="B211" s="1">
        <v>-3.6139806234627789E-3</v>
      </c>
      <c r="C211" s="1">
        <v>-5.6380415285190687E-3</v>
      </c>
    </row>
    <row r="212" spans="1:3" x14ac:dyDescent="0.35">
      <c r="A212" s="1">
        <v>188</v>
      </c>
      <c r="B212" s="1">
        <v>3.9155489540419744E-3</v>
      </c>
      <c r="C212" s="1">
        <v>6.5664402661068386E-3</v>
      </c>
    </row>
    <row r="213" spans="1:3" x14ac:dyDescent="0.35">
      <c r="A213" s="1">
        <v>189</v>
      </c>
      <c r="B213" s="1">
        <v>-3.9602518301340229E-3</v>
      </c>
      <c r="C213" s="1">
        <v>3.3943991982231625E-3</v>
      </c>
    </row>
    <row r="214" spans="1:3" x14ac:dyDescent="0.35">
      <c r="A214" s="1">
        <v>190</v>
      </c>
      <c r="B214" s="1">
        <v>3.6044205215586631E-3</v>
      </c>
      <c r="C214" s="1">
        <v>-1.9059015143796279E-3</v>
      </c>
    </row>
    <row r="215" spans="1:3" x14ac:dyDescent="0.35">
      <c r="A215" s="1">
        <v>191</v>
      </c>
      <c r="B215" s="1">
        <v>1.5381777156549977E-3</v>
      </c>
      <c r="C215" s="1">
        <v>1.0330723557974904E-2</v>
      </c>
    </row>
    <row r="216" spans="1:3" x14ac:dyDescent="0.35">
      <c r="A216" s="1">
        <v>192</v>
      </c>
      <c r="B216" s="1">
        <v>2.88811107050977E-3</v>
      </c>
      <c r="C216" s="1">
        <v>2.7700559361866581E-4</v>
      </c>
    </row>
    <row r="217" spans="1:3" x14ac:dyDescent="0.35">
      <c r="A217" s="1">
        <v>193</v>
      </c>
      <c r="B217" s="1">
        <v>-3.9768673482648261E-4</v>
      </c>
      <c r="C217" s="1">
        <v>4.8520119927831663E-3</v>
      </c>
    </row>
    <row r="218" spans="1:3" x14ac:dyDescent="0.35">
      <c r="A218" s="1">
        <v>194</v>
      </c>
      <c r="B218" s="1">
        <v>-1.9910473881822933E-3</v>
      </c>
      <c r="C218" s="1">
        <v>4.0235629956278949E-3</v>
      </c>
    </row>
    <row r="219" spans="1:3" x14ac:dyDescent="0.35">
      <c r="A219" s="1">
        <v>195</v>
      </c>
      <c r="B219" s="1">
        <v>-5.595496761914647E-4</v>
      </c>
      <c r="C219" s="1">
        <v>5.595496761914647E-4</v>
      </c>
    </row>
    <row r="220" spans="1:3" x14ac:dyDescent="0.35">
      <c r="A220" s="1">
        <v>196</v>
      </c>
      <c r="B220" s="1">
        <v>1.1905891334610176E-3</v>
      </c>
      <c r="C220" s="1">
        <v>-1.006233351082849E-3</v>
      </c>
    </row>
    <row r="221" spans="1:3" x14ac:dyDescent="0.35">
      <c r="A221" s="1">
        <v>197</v>
      </c>
      <c r="B221" s="1">
        <v>5.7082657764196418E-3</v>
      </c>
      <c r="C221" s="1">
        <v>1.113158262831729E-3</v>
      </c>
    </row>
    <row r="222" spans="1:3" x14ac:dyDescent="0.35">
      <c r="A222" s="1">
        <v>198</v>
      </c>
      <c r="B222" s="1">
        <v>2.6184548892314299E-3</v>
      </c>
      <c r="C222" s="1">
        <v>-4.998958917390833E-3</v>
      </c>
    </row>
    <row r="223" spans="1:3" x14ac:dyDescent="0.35">
      <c r="A223" s="1">
        <v>199</v>
      </c>
      <c r="B223" s="1">
        <v>1.3039301249047337E-3</v>
      </c>
      <c r="C223" s="1">
        <v>-1.1215766691751139E-2</v>
      </c>
    </row>
    <row r="224" spans="1:3" x14ac:dyDescent="0.35">
      <c r="A224" s="1">
        <v>200</v>
      </c>
      <c r="B224" s="1">
        <v>2.5969386903492097E-3</v>
      </c>
      <c r="C224" s="1">
        <v>1.2963110987262759E-3</v>
      </c>
    </row>
    <row r="225" spans="1:3" x14ac:dyDescent="0.35">
      <c r="A225" s="1">
        <v>201</v>
      </c>
      <c r="B225" s="1">
        <v>1.3970019732326032E-3</v>
      </c>
      <c r="C225" s="1">
        <v>7.4673092925571843E-3</v>
      </c>
    </row>
    <row r="226" spans="1:3" x14ac:dyDescent="0.35">
      <c r="A226" s="1">
        <v>202</v>
      </c>
      <c r="B226" s="1">
        <v>1.1820166118380185E-3</v>
      </c>
      <c r="C226" s="1">
        <v>-6.3074513996006941E-3</v>
      </c>
    </row>
    <row r="227" spans="1:3" x14ac:dyDescent="0.35">
      <c r="A227" s="1">
        <v>203</v>
      </c>
      <c r="B227" s="1">
        <v>-1.2703341319800495E-4</v>
      </c>
      <c r="C227" s="1">
        <v>1.9669194159801181E-3</v>
      </c>
    </row>
    <row r="228" spans="1:3" x14ac:dyDescent="0.35">
      <c r="A228" s="1">
        <v>204</v>
      </c>
      <c r="B228" s="1">
        <v>1.7458417498073849E-3</v>
      </c>
      <c r="C228" s="1">
        <v>-5.7861572360207395E-3</v>
      </c>
    </row>
    <row r="229" spans="1:3" x14ac:dyDescent="0.35">
      <c r="A229" s="1">
        <v>205</v>
      </c>
      <c r="B229" s="1">
        <v>8.0360412143083238E-4</v>
      </c>
      <c r="C229" s="1">
        <v>3.6219730547490943E-3</v>
      </c>
    </row>
    <row r="230" spans="1:3" x14ac:dyDescent="0.35">
      <c r="A230" s="1">
        <v>206</v>
      </c>
      <c r="B230" s="1">
        <v>-1.4073146239469399E-3</v>
      </c>
      <c r="C230" s="1">
        <v>2.0683755623300038E-2</v>
      </c>
    </row>
    <row r="231" spans="1:3" x14ac:dyDescent="0.35">
      <c r="A231" s="1">
        <v>207</v>
      </c>
      <c r="B231" s="1">
        <v>3.3807234363719073E-3</v>
      </c>
      <c r="C231" s="1">
        <v>5.9855350481143876E-3</v>
      </c>
    </row>
    <row r="232" spans="1:3" x14ac:dyDescent="0.35">
      <c r="A232" s="1">
        <v>208</v>
      </c>
      <c r="B232" s="1">
        <v>8.4528450581616529E-4</v>
      </c>
      <c r="C232" s="1">
        <v>5.0433526783968639E-3</v>
      </c>
    </row>
    <row r="233" spans="1:3" x14ac:dyDescent="0.35">
      <c r="A233" s="1">
        <v>209</v>
      </c>
      <c r="B233" s="1">
        <v>7.9725962108540677E-4</v>
      </c>
      <c r="C233" s="1">
        <v>-4.3451680264929363E-3</v>
      </c>
    </row>
    <row r="234" spans="1:3" x14ac:dyDescent="0.35">
      <c r="A234" s="1">
        <v>210</v>
      </c>
      <c r="B234" s="1">
        <v>1.4022573530039939E-3</v>
      </c>
      <c r="C234" s="1">
        <v>-2.648562337505443E-3</v>
      </c>
    </row>
    <row r="235" spans="1:3" x14ac:dyDescent="0.35">
      <c r="A235" s="1">
        <v>211</v>
      </c>
      <c r="B235" s="1">
        <v>2.297040459276401E-3</v>
      </c>
      <c r="C235" s="1">
        <v>1.0900417438325666E-3</v>
      </c>
    </row>
    <row r="236" spans="1:3" x14ac:dyDescent="0.35">
      <c r="A236" s="1">
        <v>212</v>
      </c>
      <c r="B236" s="1">
        <v>1.5636447645490422E-3</v>
      </c>
      <c r="C236" s="1">
        <v>3.9433119988903052E-3</v>
      </c>
    </row>
    <row r="237" spans="1:3" x14ac:dyDescent="0.35">
      <c r="A237" s="1">
        <v>213</v>
      </c>
      <c r="B237" s="1">
        <v>1.4191292520158213E-3</v>
      </c>
      <c r="C237" s="1">
        <v>2.8211365044698697E-3</v>
      </c>
    </row>
    <row r="238" spans="1:3" x14ac:dyDescent="0.35">
      <c r="A238" s="1">
        <v>214</v>
      </c>
      <c r="B238" s="1">
        <v>5.0372290871677247E-4</v>
      </c>
      <c r="C238" s="1">
        <v>-9.4762703551305345E-3</v>
      </c>
    </row>
    <row r="239" spans="1:3" x14ac:dyDescent="0.35">
      <c r="A239" s="1">
        <v>215</v>
      </c>
      <c r="B239" s="1">
        <v>-9.0769072717201721E-4</v>
      </c>
      <c r="C239" s="1">
        <v>3.7481098052940883E-3</v>
      </c>
    </row>
    <row r="240" spans="1:3" x14ac:dyDescent="0.35">
      <c r="A240" s="1">
        <v>216</v>
      </c>
      <c r="B240" s="1">
        <v>-2.4286578936379209E-3</v>
      </c>
      <c r="C240" s="1">
        <v>6.5001235568658989E-3</v>
      </c>
    </row>
    <row r="241" spans="1:3" x14ac:dyDescent="0.35">
      <c r="A241" s="1">
        <v>217</v>
      </c>
      <c r="B241" s="1">
        <v>3.953393234107464E-4</v>
      </c>
      <c r="C241" s="1">
        <v>-4.2661399766883866E-5</v>
      </c>
    </row>
    <row r="242" spans="1:3" x14ac:dyDescent="0.35">
      <c r="A242" s="1">
        <v>218</v>
      </c>
      <c r="B242" s="1">
        <v>2.5420198179002154E-3</v>
      </c>
      <c r="C242" s="1">
        <v>-4.8333127520635566E-3</v>
      </c>
    </row>
    <row r="243" spans="1:3" x14ac:dyDescent="0.35">
      <c r="A243" s="1">
        <v>219</v>
      </c>
      <c r="B243" s="1">
        <v>2.1461408921288322E-4</v>
      </c>
      <c r="C243" s="1">
        <v>-3.7855948295182067E-5</v>
      </c>
    </row>
    <row r="244" spans="1:3" x14ac:dyDescent="0.35">
      <c r="A244" s="1">
        <v>220</v>
      </c>
      <c r="B244" s="1">
        <v>1.4617397761739503E-3</v>
      </c>
      <c r="C244" s="1">
        <v>-8.526455102412827E-3</v>
      </c>
    </row>
    <row r="245" spans="1:3" x14ac:dyDescent="0.35">
      <c r="A245" s="1">
        <v>221</v>
      </c>
      <c r="B245" s="1">
        <v>-6.1902501737958208E-4</v>
      </c>
      <c r="C245" s="1">
        <v>-4.8948673130525672E-3</v>
      </c>
    </row>
    <row r="246" spans="1:3" x14ac:dyDescent="0.35">
      <c r="A246" s="1">
        <v>222</v>
      </c>
      <c r="B246" s="1">
        <v>1.3071511071380507E-3</v>
      </c>
      <c r="C246" s="1">
        <v>-1.0250284693443237E-2</v>
      </c>
    </row>
    <row r="247" spans="1:3" x14ac:dyDescent="0.35">
      <c r="A247" s="1">
        <v>223</v>
      </c>
      <c r="B247" s="1">
        <v>-2.3196263855160826E-4</v>
      </c>
      <c r="C247" s="1">
        <v>-4.8211660398656273E-3</v>
      </c>
    </row>
    <row r="248" spans="1:3" x14ac:dyDescent="0.35">
      <c r="A248" s="1">
        <v>224</v>
      </c>
      <c r="B248" s="1">
        <v>-8.1063579512320944E-4</v>
      </c>
      <c r="C248" s="1">
        <v>6.9777409376315901E-3</v>
      </c>
    </row>
    <row r="249" spans="1:3" x14ac:dyDescent="0.35">
      <c r="A249" s="1">
        <v>225</v>
      </c>
      <c r="B249" s="1">
        <v>7.5126612791134287E-4</v>
      </c>
      <c r="C249" s="1">
        <v>6.6399937418471786E-3</v>
      </c>
    </row>
    <row r="250" spans="1:3" x14ac:dyDescent="0.35">
      <c r="A250" s="1">
        <v>226</v>
      </c>
      <c r="B250" s="1">
        <v>9.5613541071084347E-4</v>
      </c>
      <c r="C250" s="1">
        <v>-9.0088918879668023E-3</v>
      </c>
    </row>
    <row r="251" spans="1:3" x14ac:dyDescent="0.35">
      <c r="A251" s="1">
        <v>227</v>
      </c>
      <c r="B251" s="1">
        <v>-7.093832434555491E-3</v>
      </c>
      <c r="C251" s="1">
        <v>-2.3575352564822374E-2</v>
      </c>
    </row>
    <row r="252" spans="1:3" x14ac:dyDescent="0.35">
      <c r="A252" s="1">
        <v>228</v>
      </c>
      <c r="B252" s="1">
        <v>4.4653445941253284E-3</v>
      </c>
      <c r="C252" s="1">
        <v>1.1354266179791961E-2</v>
      </c>
    </row>
    <row r="253" spans="1:3" x14ac:dyDescent="0.35">
      <c r="A253" s="1">
        <v>229</v>
      </c>
      <c r="B253" s="1">
        <v>-5.8828908245235154E-3</v>
      </c>
      <c r="C253" s="1">
        <v>-2.5690110878880464E-2</v>
      </c>
    </row>
    <row r="254" spans="1:3" x14ac:dyDescent="0.35">
      <c r="A254" s="1">
        <v>230</v>
      </c>
      <c r="B254" s="1">
        <v>-3.5835658584089467E-3</v>
      </c>
      <c r="C254" s="1">
        <v>7.2368275655104166E-4</v>
      </c>
    </row>
    <row r="255" spans="1:3" x14ac:dyDescent="0.35">
      <c r="A255" s="1">
        <v>231</v>
      </c>
      <c r="B255" s="1">
        <v>4.7852485338279712E-3</v>
      </c>
      <c r="C255" s="1">
        <v>9.9375957995717287E-3</v>
      </c>
    </row>
    <row r="256" spans="1:3" x14ac:dyDescent="0.35">
      <c r="A256" s="1">
        <v>232</v>
      </c>
      <c r="B256" s="1">
        <v>-2.500326476066031E-3</v>
      </c>
      <c r="C256" s="1">
        <v>1.1356448152125611E-2</v>
      </c>
    </row>
    <row r="257" spans="1:3" x14ac:dyDescent="0.35">
      <c r="A257" s="1">
        <v>233</v>
      </c>
      <c r="B257" s="1">
        <v>3.9925762777678255E-3</v>
      </c>
      <c r="C257" s="1">
        <v>2.1595842960451771E-2</v>
      </c>
    </row>
    <row r="258" spans="1:3" x14ac:dyDescent="0.35">
      <c r="A258" s="1">
        <v>234</v>
      </c>
      <c r="B258" s="1">
        <v>6.8807463622348108E-3</v>
      </c>
      <c r="C258" s="1">
        <v>-1.4172292377620816E-3</v>
      </c>
    </row>
    <row r="259" spans="1:3" x14ac:dyDescent="0.35">
      <c r="A259" s="1">
        <v>235</v>
      </c>
      <c r="B259" s="1">
        <v>1.2107861292888341E-3</v>
      </c>
      <c r="C259" s="1">
        <v>-5.0144043585991886E-3</v>
      </c>
    </row>
    <row r="260" spans="1:3" x14ac:dyDescent="0.35">
      <c r="A260" s="1">
        <v>236</v>
      </c>
      <c r="B260" s="1">
        <v>-2.0925030350168621E-3</v>
      </c>
      <c r="C260" s="1">
        <v>-4.5284613243137296E-4</v>
      </c>
    </row>
    <row r="261" spans="1:3" x14ac:dyDescent="0.35">
      <c r="A261" s="1">
        <v>237</v>
      </c>
      <c r="B261" s="1">
        <v>3.2905641482711E-3</v>
      </c>
      <c r="C261" s="1">
        <v>2.2593235999421906E-2</v>
      </c>
    </row>
    <row r="262" spans="1:3" x14ac:dyDescent="0.35">
      <c r="A262" s="1">
        <v>238</v>
      </c>
      <c r="B262" s="1">
        <v>-2.7215688000069814E-3</v>
      </c>
      <c r="C262" s="1">
        <v>2.9018726776796084E-2</v>
      </c>
    </row>
    <row r="263" spans="1:3" x14ac:dyDescent="0.35">
      <c r="A263" s="1">
        <v>239</v>
      </c>
      <c r="B263" s="1">
        <v>-2.1856833957787196E-3</v>
      </c>
      <c r="C263" s="1">
        <v>2.8782180861405609E-3</v>
      </c>
    </row>
    <row r="264" spans="1:3" x14ac:dyDescent="0.35">
      <c r="A264" s="1">
        <v>240</v>
      </c>
      <c r="B264" s="1">
        <v>5.47832523314033E-3</v>
      </c>
      <c r="C264" s="1">
        <v>-9.8003938287042139E-4</v>
      </c>
    </row>
    <row r="265" spans="1:3" x14ac:dyDescent="0.35">
      <c r="A265" s="1">
        <v>241</v>
      </c>
      <c r="B265" s="1">
        <v>-2.5951974716035015E-3</v>
      </c>
      <c r="C265" s="1">
        <v>1.2757043714563425E-2</v>
      </c>
    </row>
    <row r="266" spans="1:3" x14ac:dyDescent="0.35">
      <c r="A266" s="1">
        <v>242</v>
      </c>
      <c r="B266" s="1">
        <v>-3.0920777346800845E-3</v>
      </c>
      <c r="C266" s="1">
        <v>-1.2594292481687032E-2</v>
      </c>
    </row>
    <row r="267" spans="1:3" x14ac:dyDescent="0.35">
      <c r="A267" s="1">
        <v>243</v>
      </c>
      <c r="B267" s="1">
        <v>-3.4461333230188266E-3</v>
      </c>
      <c r="C267" s="1">
        <v>1.5506983991482159E-4</v>
      </c>
    </row>
    <row r="268" spans="1:3" x14ac:dyDescent="0.35">
      <c r="A268" s="1">
        <v>244</v>
      </c>
      <c r="B268" s="1">
        <v>5.9382690874372705E-3</v>
      </c>
      <c r="C268" s="1">
        <v>-1.9410067889200338E-3</v>
      </c>
    </row>
    <row r="269" spans="1:3" x14ac:dyDescent="0.35">
      <c r="A269" s="1">
        <v>245</v>
      </c>
      <c r="B269" s="1">
        <v>3.4936335534902245E-3</v>
      </c>
      <c r="C269" s="1">
        <v>3.6034319724142462E-3</v>
      </c>
    </row>
    <row r="270" spans="1:3" x14ac:dyDescent="0.35">
      <c r="A270" s="1">
        <v>246</v>
      </c>
      <c r="B270" s="1">
        <v>2.2205972957305806E-3</v>
      </c>
      <c r="C270" s="1">
        <v>-1.5330619945294454E-3</v>
      </c>
    </row>
    <row r="271" spans="1:3" x14ac:dyDescent="0.35">
      <c r="A271" s="1">
        <v>247</v>
      </c>
      <c r="B271" s="1">
        <v>4.6708630926077322E-3</v>
      </c>
      <c r="C271" s="1">
        <v>2.7148787348978748E-3</v>
      </c>
    </row>
    <row r="272" spans="1:3" x14ac:dyDescent="0.35">
      <c r="A272" s="1">
        <v>248</v>
      </c>
      <c r="B272" s="1">
        <v>-1.0695601955946747E-4</v>
      </c>
      <c r="C272" s="1">
        <v>4.0284936070432292E-3</v>
      </c>
    </row>
    <row r="273" spans="1:3" x14ac:dyDescent="0.35">
      <c r="A273" s="1">
        <v>249</v>
      </c>
      <c r="B273" s="1">
        <v>6.6914123286346771E-4</v>
      </c>
      <c r="C273" s="1">
        <v>5.1970491547928478E-4</v>
      </c>
    </row>
    <row r="274" spans="1:3" x14ac:dyDescent="0.35">
      <c r="A274" s="1">
        <v>250</v>
      </c>
      <c r="B274" s="1">
        <v>-7.4390925920594399E-4</v>
      </c>
      <c r="C274" s="1">
        <v>-2.1399122541886917E-3</v>
      </c>
    </row>
    <row r="275" spans="1:3" x14ac:dyDescent="0.35">
      <c r="A275" s="1">
        <v>251</v>
      </c>
      <c r="B275" s="1">
        <v>-6.2692563196776227E-4</v>
      </c>
      <c r="C275" s="1">
        <v>7.9423769946149591E-3</v>
      </c>
    </row>
    <row r="276" spans="1:3" x14ac:dyDescent="0.35">
      <c r="A276" s="1">
        <v>252</v>
      </c>
      <c r="B276" s="1">
        <v>2.2689745527033566E-3</v>
      </c>
      <c r="C276" s="1">
        <v>-7.4896671818129807E-4</v>
      </c>
    </row>
    <row r="277" spans="1:3" x14ac:dyDescent="0.35">
      <c r="A277" s="1">
        <v>253</v>
      </c>
      <c r="B277" s="1">
        <v>1.5483545709626061E-5</v>
      </c>
      <c r="C277" s="1">
        <v>1.6679371514868542E-2</v>
      </c>
    </row>
    <row r="278" spans="1:3" x14ac:dyDescent="0.35">
      <c r="A278" s="1">
        <v>254</v>
      </c>
      <c r="B278" s="1">
        <v>-6.0217126319223775E-3</v>
      </c>
      <c r="C278" s="1">
        <v>1.4314985778786884E-2</v>
      </c>
    </row>
    <row r="279" spans="1:3" x14ac:dyDescent="0.35">
      <c r="A279" s="1">
        <v>255</v>
      </c>
      <c r="B279" s="1">
        <v>-9.2031009628614082E-5</v>
      </c>
      <c r="C279" s="1">
        <v>-5.1718860743975737E-3</v>
      </c>
    </row>
    <row r="280" spans="1:3" x14ac:dyDescent="0.35">
      <c r="A280" s="1">
        <v>256</v>
      </c>
      <c r="B280" s="1">
        <v>-1.0851214936957838E-3</v>
      </c>
      <c r="C280" s="1">
        <v>-1.230335536107766E-3</v>
      </c>
    </row>
    <row r="281" spans="1:3" x14ac:dyDescent="0.35">
      <c r="A281" s="1">
        <v>257</v>
      </c>
      <c r="B281" s="1">
        <v>-2.4559415781281145E-4</v>
      </c>
      <c r="C281" s="1">
        <v>1.9033202751232629E-3</v>
      </c>
    </row>
    <row r="282" spans="1:3" x14ac:dyDescent="0.35">
      <c r="A282" s="1">
        <v>258</v>
      </c>
      <c r="B282" s="1">
        <v>3.1653715431058291E-3</v>
      </c>
      <c r="C282" s="1">
        <v>-2.8345457333137764E-3</v>
      </c>
    </row>
    <row r="283" spans="1:3" x14ac:dyDescent="0.35">
      <c r="A283" s="1">
        <v>259</v>
      </c>
      <c r="B283" s="1">
        <v>1.1247058641225684E-3</v>
      </c>
      <c r="C283" s="1">
        <v>3.6419344898099113E-4</v>
      </c>
    </row>
    <row r="284" spans="1:3" x14ac:dyDescent="0.35">
      <c r="A284" s="1">
        <v>260</v>
      </c>
      <c r="B284" s="1">
        <v>-4.364932906611693E-3</v>
      </c>
      <c r="C284" s="1">
        <v>1.031132105322731E-2</v>
      </c>
    </row>
    <row r="285" spans="1:3" x14ac:dyDescent="0.35">
      <c r="A285" s="1">
        <v>261</v>
      </c>
      <c r="B285" s="1">
        <v>4.8190527699575189E-4</v>
      </c>
      <c r="C285" s="1">
        <v>7.5641988616043723E-3</v>
      </c>
    </row>
    <row r="286" spans="1:3" x14ac:dyDescent="0.35">
      <c r="A286" s="1">
        <v>262</v>
      </c>
      <c r="B286" s="1">
        <v>-5.6984059570895857E-3</v>
      </c>
      <c r="C286" s="1">
        <v>-2.2834751350214897E-3</v>
      </c>
    </row>
    <row r="287" spans="1:3" x14ac:dyDescent="0.35">
      <c r="A287" s="1">
        <v>263</v>
      </c>
      <c r="B287" s="1">
        <v>-2.8996215378611322E-3</v>
      </c>
      <c r="C287" s="1">
        <v>4.5416908091150416E-3</v>
      </c>
    </row>
    <row r="288" spans="1:3" x14ac:dyDescent="0.35">
      <c r="A288" s="1">
        <v>264</v>
      </c>
      <c r="B288" s="1">
        <v>-3.3332993737215716E-3</v>
      </c>
      <c r="C288" s="1">
        <v>-7.6503817860929229E-4</v>
      </c>
    </row>
    <row r="289" spans="1:3" x14ac:dyDescent="0.35">
      <c r="A289" s="1">
        <v>265</v>
      </c>
      <c r="B289" s="1">
        <v>-5.8679327351510557E-3</v>
      </c>
      <c r="C289" s="1">
        <v>9.296324786564206E-4</v>
      </c>
    </row>
    <row r="290" spans="1:3" x14ac:dyDescent="0.35">
      <c r="A290" s="1">
        <v>266</v>
      </c>
      <c r="B290" s="1">
        <v>1.1098999965419428E-3</v>
      </c>
      <c r="C290" s="1">
        <v>-9.2159004691155788E-3</v>
      </c>
    </row>
    <row r="291" spans="1:3" x14ac:dyDescent="0.35">
      <c r="A291" s="1">
        <v>267</v>
      </c>
      <c r="B291" s="1">
        <v>-3.698343165317058E-3</v>
      </c>
      <c r="C291" s="1">
        <v>1.363764307470441E-3</v>
      </c>
    </row>
    <row r="292" spans="1:3" x14ac:dyDescent="0.35">
      <c r="A292" s="1">
        <v>268</v>
      </c>
      <c r="B292" s="1">
        <v>-2.6348536927114897E-4</v>
      </c>
      <c r="C292" s="1">
        <v>-3.4142878616591115E-3</v>
      </c>
    </row>
    <row r="293" spans="1:3" x14ac:dyDescent="0.35">
      <c r="A293" s="1">
        <v>269</v>
      </c>
      <c r="B293" s="1">
        <v>-1.514305950619932E-3</v>
      </c>
      <c r="C293" s="1">
        <v>2.353068643666704E-3</v>
      </c>
    </row>
    <row r="294" spans="1:3" x14ac:dyDescent="0.35">
      <c r="A294" s="1">
        <v>270</v>
      </c>
      <c r="B294" s="1">
        <v>8.0521291548496816E-3</v>
      </c>
      <c r="C294" s="1">
        <v>1.189758437715739E-2</v>
      </c>
    </row>
    <row r="295" spans="1:3" x14ac:dyDescent="0.35">
      <c r="A295" s="1">
        <v>271</v>
      </c>
      <c r="B295" s="1">
        <v>6.2947829654558954E-3</v>
      </c>
      <c r="C295" s="1">
        <v>-3.500547497952573E-3</v>
      </c>
    </row>
    <row r="296" spans="1:3" x14ac:dyDescent="0.35">
      <c r="A296" s="1">
        <v>272</v>
      </c>
      <c r="B296" s="1">
        <v>2.4262986039554155E-3</v>
      </c>
      <c r="C296" s="1">
        <v>-9.8021818309395933E-3</v>
      </c>
    </row>
    <row r="297" spans="1:3" x14ac:dyDescent="0.35">
      <c r="A297" s="1">
        <v>273</v>
      </c>
      <c r="B297" s="1">
        <v>3.249843049808872E-3</v>
      </c>
      <c r="C297" s="1">
        <v>6.9880737816142751E-3</v>
      </c>
    </row>
    <row r="298" spans="1:3" x14ac:dyDescent="0.35">
      <c r="A298" s="1">
        <v>274</v>
      </c>
      <c r="B298" s="1">
        <v>-7.6299653982325284E-3</v>
      </c>
      <c r="C298" s="1">
        <v>1.4658301390014811E-2</v>
      </c>
    </row>
    <row r="299" spans="1:3" x14ac:dyDescent="0.35">
      <c r="A299" s="1">
        <v>275</v>
      </c>
      <c r="B299" s="1">
        <v>1.8773551398179344E-3</v>
      </c>
      <c r="C299" s="1">
        <v>-1.2427559395272908E-2</v>
      </c>
    </row>
    <row r="300" spans="1:3" x14ac:dyDescent="0.35">
      <c r="A300" s="1">
        <v>276</v>
      </c>
      <c r="B300" s="1">
        <v>-9.7298734729737958E-4</v>
      </c>
      <c r="C300" s="1">
        <v>1.1471675196409277E-2</v>
      </c>
    </row>
    <row r="301" spans="1:3" x14ac:dyDescent="0.35">
      <c r="A301" s="1">
        <v>277</v>
      </c>
      <c r="B301" s="1">
        <v>2.9212285505024371E-3</v>
      </c>
      <c r="C301" s="1">
        <v>3.5724786710205898E-3</v>
      </c>
    </row>
    <row r="302" spans="1:3" x14ac:dyDescent="0.35">
      <c r="A302" s="1">
        <v>278</v>
      </c>
      <c r="B302" s="1">
        <v>4.8891030424370987E-3</v>
      </c>
      <c r="C302" s="1">
        <v>-2.0373075185554236E-2</v>
      </c>
    </row>
    <row r="303" spans="1:3" x14ac:dyDescent="0.35">
      <c r="A303" s="1">
        <v>279</v>
      </c>
      <c r="B303" s="1">
        <v>-5.6108168635867059E-3</v>
      </c>
      <c r="C303" s="1">
        <v>1.1181046608364262E-2</v>
      </c>
    </row>
    <row r="304" spans="1:3" x14ac:dyDescent="0.35">
      <c r="A304" s="1">
        <v>280</v>
      </c>
      <c r="B304" s="1">
        <v>-5.885511167376953E-3</v>
      </c>
      <c r="C304" s="1">
        <v>-1.1872825590380557E-2</v>
      </c>
    </row>
    <row r="305" spans="1:3" x14ac:dyDescent="0.35">
      <c r="A305" s="1">
        <v>281</v>
      </c>
      <c r="B305" s="1">
        <v>-1.017674476738903E-3</v>
      </c>
      <c r="C305" s="1">
        <v>7.4865743994331074E-3</v>
      </c>
    </row>
    <row r="306" spans="1:3" x14ac:dyDescent="0.35">
      <c r="A306" s="1">
        <v>282</v>
      </c>
      <c r="B306" s="1">
        <v>5.2911443678968582E-3</v>
      </c>
      <c r="C306" s="1">
        <v>-1.5009411075688735E-3</v>
      </c>
    </row>
    <row r="307" spans="1:3" x14ac:dyDescent="0.35">
      <c r="A307" s="1">
        <v>283</v>
      </c>
      <c r="B307" s="1">
        <v>5.0160574200269401E-4</v>
      </c>
      <c r="C307" s="1">
        <v>-6.6589154651524522E-4</v>
      </c>
    </row>
    <row r="308" spans="1:3" x14ac:dyDescent="0.35">
      <c r="A308" s="1">
        <v>284</v>
      </c>
      <c r="B308" s="1">
        <v>-6.5945649294230756E-3</v>
      </c>
      <c r="C308" s="1">
        <v>2.6627315971039844E-2</v>
      </c>
    </row>
    <row r="309" spans="1:3" x14ac:dyDescent="0.35">
      <c r="A309" s="1">
        <v>285</v>
      </c>
      <c r="B309" s="1">
        <v>-2.0877028100177832E-3</v>
      </c>
      <c r="C309" s="1">
        <v>8.8489474192996898E-3</v>
      </c>
    </row>
    <row r="310" spans="1:3" x14ac:dyDescent="0.35">
      <c r="A310" s="1">
        <v>286</v>
      </c>
      <c r="B310" s="1">
        <v>-3.045507885035987E-3</v>
      </c>
      <c r="C310" s="1">
        <v>-1.1118464079020577E-3</v>
      </c>
    </row>
    <row r="311" spans="1:3" x14ac:dyDescent="0.35">
      <c r="A311" s="1">
        <v>287</v>
      </c>
      <c r="B311" s="1">
        <v>-5.7061851430239936E-3</v>
      </c>
      <c r="C311" s="1">
        <v>-5.3727256281393991E-3</v>
      </c>
    </row>
    <row r="312" spans="1:3" x14ac:dyDescent="0.35">
      <c r="A312" s="1">
        <v>288</v>
      </c>
      <c r="B312" s="1">
        <v>5.0305634850296588E-3</v>
      </c>
      <c r="C312" s="1">
        <v>-2.2566020129650137E-2</v>
      </c>
    </row>
    <row r="313" spans="1:3" x14ac:dyDescent="0.35">
      <c r="A313" s="1">
        <v>289</v>
      </c>
      <c r="B313" s="1">
        <v>7.4166662536389307E-3</v>
      </c>
      <c r="C313" s="1">
        <v>3.1254698924237254E-2</v>
      </c>
    </row>
    <row r="314" spans="1:3" x14ac:dyDescent="0.35">
      <c r="A314" s="1">
        <v>290</v>
      </c>
      <c r="B314" s="1">
        <v>-5.6785841411241187E-4</v>
      </c>
      <c r="C314" s="1">
        <v>-9.1378144605171862E-3</v>
      </c>
    </row>
    <row r="315" spans="1:3" x14ac:dyDescent="0.35">
      <c r="A315" s="1">
        <v>291</v>
      </c>
      <c r="B315" s="1">
        <v>-4.7606597141246114E-3</v>
      </c>
      <c r="C315" s="1">
        <v>4.2262955302567115E-4</v>
      </c>
    </row>
    <row r="316" spans="1:3" x14ac:dyDescent="0.35">
      <c r="A316" s="1">
        <v>292</v>
      </c>
      <c r="B316" s="1">
        <v>6.2165119991643451E-3</v>
      </c>
      <c r="C316" s="1">
        <v>1.2064454338160981E-3</v>
      </c>
    </row>
    <row r="317" spans="1:3" x14ac:dyDescent="0.35">
      <c r="A317" s="1">
        <v>293</v>
      </c>
      <c r="B317" s="1">
        <v>-1.472663266634412E-3</v>
      </c>
      <c r="C317" s="1">
        <v>2.1134626251057432E-3</v>
      </c>
    </row>
    <row r="318" spans="1:3" x14ac:dyDescent="0.35">
      <c r="A318" s="1">
        <v>294</v>
      </c>
      <c r="B318" s="1">
        <v>-2.3347749521179487E-3</v>
      </c>
      <c r="C318" s="1">
        <v>3.9353690063195787E-3</v>
      </c>
    </row>
    <row r="319" spans="1:3" x14ac:dyDescent="0.35">
      <c r="A319" s="1">
        <v>295</v>
      </c>
      <c r="B319" s="1">
        <v>-9.2796450728149273E-3</v>
      </c>
      <c r="C319" s="1">
        <v>-1.4533513150222895E-2</v>
      </c>
    </row>
    <row r="320" spans="1:3" x14ac:dyDescent="0.35">
      <c r="A320" s="1">
        <v>296</v>
      </c>
      <c r="B320" s="1">
        <v>-2.109451143587536E-3</v>
      </c>
      <c r="C320" s="1">
        <v>-3.7510880402338909E-2</v>
      </c>
    </row>
    <row r="321" spans="1:3" x14ac:dyDescent="0.35">
      <c r="A321" s="1">
        <v>297</v>
      </c>
      <c r="B321" s="1">
        <v>8.4866963890099269E-3</v>
      </c>
      <c r="C321" s="1">
        <v>-3.3725219856472633E-3</v>
      </c>
    </row>
    <row r="322" spans="1:3" x14ac:dyDescent="0.35">
      <c r="A322" s="1">
        <v>298</v>
      </c>
      <c r="B322" s="1">
        <v>-1.1628572715285303E-3</v>
      </c>
      <c r="C322" s="1">
        <v>-1.7154361233183583E-2</v>
      </c>
    </row>
    <row r="323" spans="1:3" x14ac:dyDescent="0.35">
      <c r="A323" s="1">
        <v>299</v>
      </c>
      <c r="B323" s="1">
        <v>-3.9524160574484907E-3</v>
      </c>
      <c r="C323" s="1">
        <v>4.6432178115305605E-3</v>
      </c>
    </row>
    <row r="324" spans="1:3" x14ac:dyDescent="0.35">
      <c r="A324" s="1">
        <v>300</v>
      </c>
      <c r="B324" s="1">
        <v>-2.1697000712699605E-3</v>
      </c>
      <c r="C324" s="1">
        <v>2.0611066427690915E-2</v>
      </c>
    </row>
    <row r="325" spans="1:3" x14ac:dyDescent="0.35">
      <c r="A325" s="1">
        <v>301</v>
      </c>
      <c r="B325" s="1">
        <v>7.1064578773311106E-3</v>
      </c>
      <c r="C325" s="1">
        <v>1.1342372503155538E-2</v>
      </c>
    </row>
    <row r="326" spans="1:3" x14ac:dyDescent="0.35">
      <c r="A326" s="1">
        <v>302</v>
      </c>
      <c r="B326" s="1">
        <v>7.4202325322192883E-3</v>
      </c>
      <c r="C326" s="1">
        <v>-1.0103739290141363E-2</v>
      </c>
    </row>
    <row r="327" spans="1:3" x14ac:dyDescent="0.35">
      <c r="A327" s="1">
        <v>303</v>
      </c>
      <c r="B327" s="1">
        <v>4.1910835371675127E-3</v>
      </c>
      <c r="C327" s="1">
        <v>6.4041665320277432E-3</v>
      </c>
    </row>
    <row r="328" spans="1:3" x14ac:dyDescent="0.35">
      <c r="A328" s="1">
        <v>304</v>
      </c>
      <c r="B328" s="1">
        <v>3.9705107960585975E-3</v>
      </c>
      <c r="C328" s="1">
        <v>-3.8042543162619897E-3</v>
      </c>
    </row>
    <row r="329" spans="1:3" x14ac:dyDescent="0.35">
      <c r="A329" s="1">
        <v>305</v>
      </c>
      <c r="B329" s="1">
        <v>7.82141335322041E-5</v>
      </c>
      <c r="C329" s="1">
        <v>7.9085068648411475E-3</v>
      </c>
    </row>
    <row r="330" spans="1:3" x14ac:dyDescent="0.35">
      <c r="A330" s="1">
        <v>306</v>
      </c>
      <c r="B330" s="1">
        <v>3.8552629709833973E-3</v>
      </c>
      <c r="C330" s="1">
        <v>-2.2368396431898981E-4</v>
      </c>
    </row>
    <row r="331" spans="1:3" x14ac:dyDescent="0.35">
      <c r="A331" s="1">
        <v>307</v>
      </c>
      <c r="B331" s="1">
        <v>-3.7307739789607304E-3</v>
      </c>
      <c r="C331" s="1">
        <v>-2.8480007586224698E-3</v>
      </c>
    </row>
    <row r="332" spans="1:3" x14ac:dyDescent="0.35">
      <c r="A332" s="1">
        <v>308</v>
      </c>
      <c r="B332" s="1">
        <v>4.8333439238072238E-3</v>
      </c>
      <c r="C332" s="1">
        <v>4.769291565892269E-3</v>
      </c>
    </row>
    <row r="333" spans="1:3" x14ac:dyDescent="0.35">
      <c r="A333" s="1">
        <v>309</v>
      </c>
      <c r="B333" s="1">
        <v>1.84815260406778E-3</v>
      </c>
      <c r="C333" s="1">
        <v>7.1711697484605997E-3</v>
      </c>
    </row>
    <row r="334" spans="1:3" x14ac:dyDescent="0.35">
      <c r="A334" s="1">
        <v>310</v>
      </c>
      <c r="B334" s="1">
        <v>2.5170189635534551E-3</v>
      </c>
      <c r="C334" s="1">
        <v>3.8213379263015365E-3</v>
      </c>
    </row>
    <row r="335" spans="1:3" x14ac:dyDescent="0.35">
      <c r="A335" s="1">
        <v>311</v>
      </c>
      <c r="B335" s="1">
        <v>4.1617165639970767E-3</v>
      </c>
      <c r="C335" s="1">
        <v>-2.8576706418401675E-4</v>
      </c>
    </row>
    <row r="336" spans="1:3" x14ac:dyDescent="0.35">
      <c r="A336" s="1">
        <v>312</v>
      </c>
      <c r="B336" s="1">
        <v>-1.8069811044020879E-3</v>
      </c>
      <c r="C336" s="1">
        <v>2.6113357228807147E-3</v>
      </c>
    </row>
    <row r="337" spans="1:3" x14ac:dyDescent="0.35">
      <c r="A337" s="1">
        <v>313</v>
      </c>
      <c r="B337" s="1">
        <v>-4.818266432873611E-3</v>
      </c>
      <c r="C337" s="1">
        <v>1.4425001981881029E-3</v>
      </c>
    </row>
    <row r="338" spans="1:3" x14ac:dyDescent="0.35">
      <c r="A338" s="1">
        <v>314</v>
      </c>
      <c r="B338" s="1">
        <v>1.3153374133567462E-3</v>
      </c>
      <c r="C338" s="1">
        <v>1.2717006909132146E-2</v>
      </c>
    </row>
    <row r="339" spans="1:3" x14ac:dyDescent="0.35">
      <c r="A339" s="1">
        <v>315</v>
      </c>
      <c r="B339" s="1">
        <v>2.8213970900001733E-3</v>
      </c>
      <c r="C339" s="1">
        <v>-8.070212546089103E-3</v>
      </c>
    </row>
    <row r="340" spans="1:3" x14ac:dyDescent="0.35">
      <c r="A340" s="1">
        <v>316</v>
      </c>
      <c r="B340" s="1">
        <v>-3.8205516756933413E-3</v>
      </c>
      <c r="C340" s="1">
        <v>2.7012566528526192E-3</v>
      </c>
    </row>
    <row r="341" spans="1:3" x14ac:dyDescent="0.35">
      <c r="A341" s="1">
        <v>317</v>
      </c>
      <c r="B341" s="1">
        <v>-2.9084296486467129E-3</v>
      </c>
      <c r="C341" s="1">
        <v>1.2993168027370331E-2</v>
      </c>
    </row>
    <row r="342" spans="1:3" x14ac:dyDescent="0.35">
      <c r="A342" s="1">
        <v>318</v>
      </c>
      <c r="B342" s="1">
        <v>1.5866322206315477E-3</v>
      </c>
      <c r="C342" s="1">
        <v>3.8016473906869888E-3</v>
      </c>
    </row>
    <row r="343" spans="1:3" x14ac:dyDescent="0.35">
      <c r="A343" s="1">
        <v>319</v>
      </c>
      <c r="B343" s="1">
        <v>-6.3492028541970813E-4</v>
      </c>
      <c r="C343" s="1">
        <v>6.7824474902408198E-3</v>
      </c>
    </row>
    <row r="344" spans="1:3" x14ac:dyDescent="0.35">
      <c r="A344" s="1">
        <v>320</v>
      </c>
      <c r="B344" s="1">
        <v>-5.212339817838146E-3</v>
      </c>
      <c r="C344" s="1">
        <v>4.8990424985493521E-3</v>
      </c>
    </row>
    <row r="345" spans="1:3" x14ac:dyDescent="0.35">
      <c r="A345" s="1">
        <v>321</v>
      </c>
      <c r="B345" s="1">
        <v>-8.815227370384905E-4</v>
      </c>
      <c r="C345" s="1">
        <v>1.2635124345302564E-2</v>
      </c>
    </row>
    <row r="346" spans="1:3" x14ac:dyDescent="0.35">
      <c r="A346" s="1">
        <v>322</v>
      </c>
      <c r="B346" s="1">
        <v>3.8135837539215837E-3</v>
      </c>
      <c r="C346" s="1">
        <v>-1.1804039038127794E-3</v>
      </c>
    </row>
    <row r="347" spans="1:3" x14ac:dyDescent="0.35">
      <c r="A347" s="1">
        <v>323</v>
      </c>
      <c r="B347" s="1">
        <v>-3.6894084103868412E-3</v>
      </c>
      <c r="C347" s="1">
        <v>8.1695181741636581E-3</v>
      </c>
    </row>
    <row r="348" spans="1:3" x14ac:dyDescent="0.35">
      <c r="A348" s="1">
        <v>324</v>
      </c>
      <c r="B348" s="1">
        <v>1.5215158314719197E-4</v>
      </c>
      <c r="C348" s="1">
        <v>-9.0723417790665034E-3</v>
      </c>
    </row>
    <row r="349" spans="1:3" x14ac:dyDescent="0.35">
      <c r="A349" s="1">
        <v>325</v>
      </c>
      <c r="B349" s="1">
        <v>5.3847385305386321E-3</v>
      </c>
      <c r="C349" s="1">
        <v>4.3918975400907365E-3</v>
      </c>
    </row>
    <row r="350" spans="1:3" x14ac:dyDescent="0.35">
      <c r="A350" s="1">
        <v>326</v>
      </c>
      <c r="B350" s="1">
        <v>1.907015392227978E-5</v>
      </c>
      <c r="C350" s="1">
        <v>1.3658421287239044E-2</v>
      </c>
    </row>
    <row r="351" spans="1:3" x14ac:dyDescent="0.35">
      <c r="A351" s="1">
        <v>327</v>
      </c>
      <c r="B351" s="1">
        <v>-4.5288150982973488E-3</v>
      </c>
      <c r="C351" s="1">
        <v>8.3190203470272645E-3</v>
      </c>
    </row>
    <row r="352" spans="1:3" x14ac:dyDescent="0.35">
      <c r="A352" s="1">
        <v>328</v>
      </c>
      <c r="B352" s="1">
        <v>-8.7075252144365178E-3</v>
      </c>
      <c r="C352" s="1">
        <v>-5.7917859927410359E-3</v>
      </c>
    </row>
    <row r="353" spans="1:3" x14ac:dyDescent="0.35">
      <c r="A353" s="1">
        <v>329</v>
      </c>
      <c r="B353" s="1">
        <v>2.051428694662604E-3</v>
      </c>
      <c r="C353" s="1">
        <v>8.5231484794784027E-3</v>
      </c>
    </row>
    <row r="354" spans="1:3" x14ac:dyDescent="0.35">
      <c r="A354" s="1">
        <v>330</v>
      </c>
      <c r="B354" s="1">
        <v>-8.8382409177867119E-3</v>
      </c>
      <c r="C354" s="1">
        <v>-4.6587947065396176E-3</v>
      </c>
    </row>
    <row r="355" spans="1:3" x14ac:dyDescent="0.35">
      <c r="A355" s="1">
        <v>331</v>
      </c>
      <c r="B355" s="1">
        <v>8.9313390538487097E-4</v>
      </c>
      <c r="C355" s="1">
        <v>6.9469660118394597E-3</v>
      </c>
    </row>
    <row r="356" spans="1:3" x14ac:dyDescent="0.35">
      <c r="A356" s="1">
        <v>332</v>
      </c>
      <c r="B356" s="1">
        <v>8.1805922112230915E-3</v>
      </c>
      <c r="C356" s="1">
        <v>1.4290240417738631E-3</v>
      </c>
    </row>
    <row r="357" spans="1:3" x14ac:dyDescent="0.35">
      <c r="A357" s="1">
        <v>333</v>
      </c>
      <c r="B357" s="1">
        <v>-1.1456774520139289E-2</v>
      </c>
      <c r="C357" s="1">
        <v>-1.2414004454987578E-2</v>
      </c>
    </row>
    <row r="358" spans="1:3" x14ac:dyDescent="0.35">
      <c r="A358" s="1">
        <v>334</v>
      </c>
      <c r="B358" s="1">
        <v>2.0441266540516126E-3</v>
      </c>
      <c r="C358" s="1">
        <v>-2.0152803539953214E-2</v>
      </c>
    </row>
    <row r="359" spans="1:3" x14ac:dyDescent="0.35">
      <c r="A359" s="1">
        <v>335</v>
      </c>
      <c r="B359" s="1">
        <v>1.7744556199692132E-3</v>
      </c>
      <c r="C359" s="1">
        <v>-7.4490805996964655E-3</v>
      </c>
    </row>
    <row r="360" spans="1:3" x14ac:dyDescent="0.35">
      <c r="A360" s="1">
        <v>336</v>
      </c>
      <c r="B360" s="1">
        <v>9.8265540206387367E-3</v>
      </c>
      <c r="C360" s="1">
        <v>2.1086434379171841E-2</v>
      </c>
    </row>
    <row r="361" spans="1:3" x14ac:dyDescent="0.35">
      <c r="A361" s="1">
        <v>337</v>
      </c>
      <c r="B361" s="1">
        <v>-1.125252282319459E-2</v>
      </c>
      <c r="C361" s="1">
        <v>3.2563835666963789E-3</v>
      </c>
    </row>
    <row r="362" spans="1:3" x14ac:dyDescent="0.35">
      <c r="A362" s="1">
        <v>338</v>
      </c>
      <c r="B362" s="1">
        <v>-1.6076596452531458E-3</v>
      </c>
      <c r="C362" s="1">
        <v>5.1728646567738507E-3</v>
      </c>
    </row>
    <row r="363" spans="1:3" x14ac:dyDescent="0.35">
      <c r="A363" s="1">
        <v>339</v>
      </c>
      <c r="B363" s="1">
        <v>-1.0090135943985109E-2</v>
      </c>
      <c r="C363" s="1">
        <v>8.0821960353797163E-3</v>
      </c>
    </row>
    <row r="364" spans="1:3" x14ac:dyDescent="0.35">
      <c r="A364" s="1">
        <v>340</v>
      </c>
      <c r="B364" s="1">
        <v>1.0089188550275639E-3</v>
      </c>
      <c r="C364" s="1">
        <v>-1.0295360570895242E-2</v>
      </c>
    </row>
    <row r="365" spans="1:3" x14ac:dyDescent="0.35">
      <c r="A365" s="1">
        <v>341</v>
      </c>
      <c r="B365" s="1">
        <v>-5.0791052555682597E-3</v>
      </c>
      <c r="C365" s="1">
        <v>9.7656826845568326E-3</v>
      </c>
    </row>
    <row r="366" spans="1:3" x14ac:dyDescent="0.35">
      <c r="A366" s="1">
        <v>342</v>
      </c>
      <c r="B366" s="1">
        <v>-1.9891776200154816E-4</v>
      </c>
      <c r="C366" s="1">
        <v>3.3090378904592046E-3</v>
      </c>
    </row>
    <row r="367" spans="1:3" x14ac:dyDescent="0.35">
      <c r="A367" s="1">
        <v>343</v>
      </c>
      <c r="B367" s="1">
        <v>7.8983443133835325E-3</v>
      </c>
      <c r="C367" s="1">
        <v>1.085832647706968E-2</v>
      </c>
    </row>
    <row r="368" spans="1:3" x14ac:dyDescent="0.35">
      <c r="A368" s="1">
        <v>344</v>
      </c>
      <c r="B368" s="1">
        <v>-1.0517178694242342E-3</v>
      </c>
      <c r="C368" s="1">
        <v>4.7036860306275347E-3</v>
      </c>
    </row>
    <row r="369" spans="1:3" x14ac:dyDescent="0.35">
      <c r="A369" s="1">
        <v>345</v>
      </c>
      <c r="B369" s="1">
        <v>6.707817936427515E-3</v>
      </c>
      <c r="C369" s="1">
        <v>-9.4368924717413254E-3</v>
      </c>
    </row>
    <row r="370" spans="1:3" x14ac:dyDescent="0.35">
      <c r="A370" s="1">
        <v>346</v>
      </c>
      <c r="B370" s="1">
        <v>-1.2779443982561003E-2</v>
      </c>
      <c r="C370" s="1">
        <v>-5.6846338544550207E-2</v>
      </c>
    </row>
    <row r="371" spans="1:3" x14ac:dyDescent="0.35">
      <c r="A371" s="1">
        <v>347</v>
      </c>
      <c r="B371" s="1">
        <v>-1.6589985021571003E-3</v>
      </c>
      <c r="C371" s="1">
        <v>-1.7948882902613466E-2</v>
      </c>
    </row>
    <row r="372" spans="1:3" x14ac:dyDescent="0.35">
      <c r="A372" s="1">
        <v>348</v>
      </c>
      <c r="B372" s="1">
        <v>2.6509202809602814E-4</v>
      </c>
      <c r="C372" s="1">
        <v>1.6068193244625481E-2</v>
      </c>
    </row>
    <row r="373" spans="1:3" x14ac:dyDescent="0.35">
      <c r="A373" s="1">
        <v>349</v>
      </c>
      <c r="B373" s="1">
        <v>6.1883093580783529E-3</v>
      </c>
      <c r="C373" s="1">
        <v>2.4641384494640289E-2</v>
      </c>
    </row>
    <row r="374" spans="1:3" x14ac:dyDescent="0.35">
      <c r="A374" s="1">
        <v>350</v>
      </c>
      <c r="B374" s="1">
        <v>-2.3948650115948674E-3</v>
      </c>
      <c r="C374" s="1">
        <v>2.0848615340125755E-2</v>
      </c>
    </row>
    <row r="375" spans="1:3" x14ac:dyDescent="0.35">
      <c r="A375" s="1">
        <v>351</v>
      </c>
      <c r="B375" s="1">
        <v>3.2589324772392242E-3</v>
      </c>
      <c r="C375" s="1">
        <v>-2.4780137596841609E-3</v>
      </c>
    </row>
    <row r="376" spans="1:3" x14ac:dyDescent="0.35">
      <c r="A376" s="1">
        <v>352</v>
      </c>
      <c r="B376" s="1">
        <v>6.6156740757060076E-3</v>
      </c>
      <c r="C376" s="1">
        <v>-3.0255852296295783E-3</v>
      </c>
    </row>
    <row r="377" spans="1:3" x14ac:dyDescent="0.35">
      <c r="A377" s="1">
        <v>353</v>
      </c>
      <c r="B377" s="1">
        <v>8.179100146001728E-3</v>
      </c>
      <c r="C377" s="1">
        <v>-2.2694326119023405E-3</v>
      </c>
    </row>
    <row r="378" spans="1:3" x14ac:dyDescent="0.35">
      <c r="A378" s="1">
        <v>354</v>
      </c>
      <c r="B378" s="1">
        <v>-1.8007609662351604E-3</v>
      </c>
      <c r="C378" s="1">
        <v>-1.8298184563600654E-2</v>
      </c>
    </row>
    <row r="379" spans="1:3" x14ac:dyDescent="0.35">
      <c r="A379" s="1">
        <v>355</v>
      </c>
      <c r="B379" s="1">
        <v>-2.189573826200933E-3</v>
      </c>
      <c r="C379" s="1">
        <v>-2.7016182993238945E-3</v>
      </c>
    </row>
    <row r="380" spans="1:3" x14ac:dyDescent="0.35">
      <c r="A380" s="1">
        <v>356</v>
      </c>
      <c r="B380" s="1">
        <v>6.1484042596347752E-3</v>
      </c>
      <c r="C380" s="1">
        <v>4.3162078246034921E-3</v>
      </c>
    </row>
    <row r="381" spans="1:3" x14ac:dyDescent="0.35">
      <c r="A381" s="1">
        <v>357</v>
      </c>
      <c r="B381" s="1">
        <v>-5.0418155504989596E-3</v>
      </c>
      <c r="C381" s="1">
        <v>-6.8835677548752311E-3</v>
      </c>
    </row>
    <row r="382" spans="1:3" x14ac:dyDescent="0.35">
      <c r="A382" s="1">
        <v>358</v>
      </c>
      <c r="B382" s="1">
        <v>1.2275547351866479E-3</v>
      </c>
      <c r="C382" s="1">
        <v>-2.8156384777280122E-3</v>
      </c>
    </row>
    <row r="383" spans="1:3" x14ac:dyDescent="0.35">
      <c r="A383" s="1">
        <v>359</v>
      </c>
      <c r="B383" s="1">
        <v>3.2823012856572544E-3</v>
      </c>
      <c r="C383" s="1">
        <v>2.7619208275975931E-3</v>
      </c>
    </row>
    <row r="384" spans="1:3" x14ac:dyDescent="0.35">
      <c r="A384" s="1">
        <v>360</v>
      </c>
      <c r="B384" s="1">
        <v>-3.2549727805746506E-3</v>
      </c>
      <c r="C384" s="1">
        <v>-2.4366310718728934E-3</v>
      </c>
    </row>
    <row r="385" spans="1:3" x14ac:dyDescent="0.35">
      <c r="A385" s="1">
        <v>361</v>
      </c>
      <c r="B385" s="1">
        <v>-7.439359584574797E-3</v>
      </c>
      <c r="C385" s="1">
        <v>-9.8924526718071511E-3</v>
      </c>
    </row>
    <row r="386" spans="1:3" x14ac:dyDescent="0.35">
      <c r="A386" s="1">
        <v>362</v>
      </c>
      <c r="B386" s="1">
        <v>-9.1484143534621212E-3</v>
      </c>
      <c r="C386" s="1">
        <v>2.8377497195314879E-3</v>
      </c>
    </row>
    <row r="387" spans="1:3" x14ac:dyDescent="0.35">
      <c r="A387" s="1">
        <v>363</v>
      </c>
      <c r="B387" s="1">
        <v>-1.2255997709988566E-2</v>
      </c>
      <c r="C387" s="1">
        <v>1.1115898295653598E-2</v>
      </c>
    </row>
    <row r="388" spans="1:3" x14ac:dyDescent="0.35">
      <c r="A388" s="1">
        <v>364</v>
      </c>
      <c r="B388" s="1">
        <v>-9.9614342246287318E-4</v>
      </c>
      <c r="C388" s="1">
        <v>-2.6425847300571206E-2</v>
      </c>
    </row>
    <row r="389" spans="1:3" x14ac:dyDescent="0.35">
      <c r="A389" s="1">
        <v>365</v>
      </c>
      <c r="B389" s="1">
        <v>4.9133304747584674E-3</v>
      </c>
      <c r="C389" s="1">
        <v>2.5154272708312149E-3</v>
      </c>
    </row>
    <row r="390" spans="1:3" x14ac:dyDescent="0.35">
      <c r="A390" s="1">
        <v>366</v>
      </c>
      <c r="B390" s="1">
        <v>-1.0242923090257967E-2</v>
      </c>
      <c r="C390" s="1">
        <v>1.8761434972111232E-4</v>
      </c>
    </row>
    <row r="391" spans="1:3" x14ac:dyDescent="0.35">
      <c r="A391" s="1">
        <v>367</v>
      </c>
      <c r="B391" s="1">
        <v>9.2621667039354048E-4</v>
      </c>
      <c r="C391" s="1">
        <v>5.1681642848424416E-3</v>
      </c>
    </row>
    <row r="392" spans="1:3" x14ac:dyDescent="0.35">
      <c r="A392" s="1">
        <v>368</v>
      </c>
      <c r="B392" s="1">
        <v>8.0938275460636123E-3</v>
      </c>
      <c r="C392" s="1">
        <v>1.3275905398727639E-2</v>
      </c>
    </row>
    <row r="393" spans="1:3" x14ac:dyDescent="0.35">
      <c r="A393" s="1">
        <v>369</v>
      </c>
      <c r="B393" s="1">
        <v>-2.0072204043682245E-4</v>
      </c>
      <c r="C393" s="1">
        <v>7.6143044937683471E-3</v>
      </c>
    </row>
    <row r="394" spans="1:3" x14ac:dyDescent="0.35">
      <c r="A394" s="1">
        <v>370</v>
      </c>
      <c r="B394" s="1">
        <v>3.28514048112801E-3</v>
      </c>
      <c r="C394" s="1">
        <v>8.6526113934840242E-3</v>
      </c>
    </row>
    <row r="395" spans="1:3" x14ac:dyDescent="0.35">
      <c r="A395" s="1">
        <v>371</v>
      </c>
      <c r="B395" s="1">
        <v>1.0052065596105161E-2</v>
      </c>
      <c r="C395" s="1">
        <v>8.6940272711103633E-3</v>
      </c>
    </row>
    <row r="396" spans="1:3" x14ac:dyDescent="0.35">
      <c r="A396" s="1">
        <v>372</v>
      </c>
      <c r="B396" s="1">
        <v>-7.3854097966185759E-4</v>
      </c>
      <c r="C396" s="1">
        <v>-1.3237366194165001E-3</v>
      </c>
    </row>
    <row r="397" spans="1:3" x14ac:dyDescent="0.35">
      <c r="A397" s="1">
        <v>373</v>
      </c>
      <c r="B397" s="1">
        <v>-6.2631209055684879E-3</v>
      </c>
      <c r="C397" s="1">
        <v>-3.7510823871883111E-3</v>
      </c>
    </row>
    <row r="398" spans="1:3" x14ac:dyDescent="0.35">
      <c r="A398" s="1">
        <v>374</v>
      </c>
      <c r="B398" s="1">
        <v>-1.094035682252861E-5</v>
      </c>
      <c r="C398" s="1">
        <v>7.2364446358880816E-3</v>
      </c>
    </row>
    <row r="399" spans="1:3" x14ac:dyDescent="0.35">
      <c r="A399" s="1">
        <v>375</v>
      </c>
      <c r="B399" s="1">
        <v>-2.6003014477907764E-3</v>
      </c>
      <c r="C399" s="1">
        <v>5.469567262357717E-3</v>
      </c>
    </row>
    <row r="400" spans="1:3" x14ac:dyDescent="0.35">
      <c r="A400" s="1">
        <v>376</v>
      </c>
      <c r="B400" s="1">
        <v>3.6138478052101185E-3</v>
      </c>
      <c r="C400" s="1">
        <v>1.9752918267003657E-2</v>
      </c>
    </row>
    <row r="401" spans="1:3" x14ac:dyDescent="0.35">
      <c r="A401" s="1">
        <v>377</v>
      </c>
      <c r="B401" s="1">
        <v>7.2777639031872349E-4</v>
      </c>
      <c r="C401" s="1">
        <v>-1.7813835377389467E-2</v>
      </c>
    </row>
    <row r="402" spans="1:3" x14ac:dyDescent="0.35">
      <c r="A402" s="1">
        <v>378</v>
      </c>
      <c r="B402" s="1">
        <v>1.3677652289751344E-3</v>
      </c>
      <c r="C402" s="1">
        <v>6.8649016300862406E-4</v>
      </c>
    </row>
    <row r="403" spans="1:3" x14ac:dyDescent="0.35">
      <c r="A403" s="1">
        <v>379</v>
      </c>
      <c r="B403" s="1">
        <v>5.0330513067049021E-3</v>
      </c>
      <c r="C403" s="1">
        <v>-1.2918180445655975E-2</v>
      </c>
    </row>
    <row r="404" spans="1:3" x14ac:dyDescent="0.35">
      <c r="A404" s="1">
        <v>380</v>
      </c>
      <c r="B404" s="1">
        <v>-4.9077073599989538E-5</v>
      </c>
      <c r="C404" s="1">
        <v>3.7049203437859181E-3</v>
      </c>
    </row>
    <row r="405" spans="1:3" x14ac:dyDescent="0.35">
      <c r="A405" s="1">
        <v>381</v>
      </c>
      <c r="B405" s="1">
        <v>-3.4909875893403028E-3</v>
      </c>
      <c r="C405" s="1">
        <v>3.2362259004790634E-4</v>
      </c>
    </row>
    <row r="406" spans="1:3" x14ac:dyDescent="0.35">
      <c r="A406" s="1">
        <v>382</v>
      </c>
      <c r="B406" s="1">
        <v>-2.7562257453180665E-3</v>
      </c>
      <c r="C406" s="1">
        <v>-1.533481823005989E-3</v>
      </c>
    </row>
    <row r="407" spans="1:3" x14ac:dyDescent="0.35">
      <c r="A407" s="1">
        <v>383</v>
      </c>
      <c r="B407" s="1">
        <v>-1.2159760566319388E-3</v>
      </c>
      <c r="C407" s="1">
        <v>-3.411452583147827E-3</v>
      </c>
    </row>
    <row r="408" spans="1:3" x14ac:dyDescent="0.35">
      <c r="A408" s="1">
        <v>384</v>
      </c>
      <c r="B408" s="1">
        <v>-7.4676582952112381E-4</v>
      </c>
      <c r="C408" s="1">
        <v>-2.459391208626714E-3</v>
      </c>
    </row>
    <row r="409" spans="1:3" x14ac:dyDescent="0.35">
      <c r="A409" s="1">
        <v>385</v>
      </c>
      <c r="B409" s="1">
        <v>6.3962325965163016E-3</v>
      </c>
      <c r="C409" s="1">
        <v>-1.2499766804032891E-3</v>
      </c>
    </row>
    <row r="410" spans="1:3" x14ac:dyDescent="0.35">
      <c r="A410" s="1">
        <v>386</v>
      </c>
      <c r="B410" s="1">
        <v>-2.4729794934249573E-3</v>
      </c>
      <c r="C410" s="1">
        <v>-1.1126891433160674E-2</v>
      </c>
    </row>
    <row r="411" spans="1:3" x14ac:dyDescent="0.35">
      <c r="A411" s="1">
        <v>387</v>
      </c>
      <c r="B411" s="1">
        <v>9.1077040393774279E-3</v>
      </c>
      <c r="C411" s="1">
        <v>5.1662503955047148E-3</v>
      </c>
    </row>
    <row r="412" spans="1:3" x14ac:dyDescent="0.35">
      <c r="A412" s="1">
        <v>388</v>
      </c>
      <c r="B412" s="1">
        <v>2.1150947781937244E-3</v>
      </c>
      <c r="C412" s="1">
        <v>-1.8587020555135052E-2</v>
      </c>
    </row>
    <row r="413" spans="1:3" x14ac:dyDescent="0.35">
      <c r="A413" s="1">
        <v>389</v>
      </c>
      <c r="B413" s="1">
        <v>3.3910490482996262E-3</v>
      </c>
      <c r="C413" s="1">
        <v>-5.6675552331471842E-3</v>
      </c>
    </row>
    <row r="414" spans="1:3" x14ac:dyDescent="0.35">
      <c r="A414" s="1">
        <v>390</v>
      </c>
      <c r="B414" s="1">
        <v>-2.7847297159397182E-3</v>
      </c>
      <c r="C414" s="1">
        <v>6.533129202228101E-3</v>
      </c>
    </row>
    <row r="415" spans="1:3" x14ac:dyDescent="0.35">
      <c r="A415" s="1">
        <v>391</v>
      </c>
      <c r="B415" s="1">
        <v>6.4123573205070812E-4</v>
      </c>
      <c r="C415" s="1">
        <v>9.1006781246293633E-3</v>
      </c>
    </row>
    <row r="416" spans="1:3" x14ac:dyDescent="0.35">
      <c r="A416" s="1">
        <v>392</v>
      </c>
      <c r="B416" s="1">
        <v>-3.4960524741921846E-3</v>
      </c>
      <c r="C416" s="1">
        <v>1.9897313194997639E-2</v>
      </c>
    </row>
    <row r="417" spans="1:3" x14ac:dyDescent="0.35">
      <c r="A417" s="1">
        <v>393</v>
      </c>
      <c r="B417" s="1">
        <v>8.6340699699448513E-3</v>
      </c>
      <c r="C417" s="1">
        <v>-1.1798194605567264E-2</v>
      </c>
    </row>
    <row r="418" spans="1:3" x14ac:dyDescent="0.35">
      <c r="A418" s="1">
        <v>394</v>
      </c>
      <c r="B418" s="1">
        <v>4.1220731944961375E-3</v>
      </c>
      <c r="C418" s="1">
        <v>1.2542023667469739E-2</v>
      </c>
    </row>
    <row r="419" spans="1:3" x14ac:dyDescent="0.35">
      <c r="A419" s="1">
        <v>395</v>
      </c>
      <c r="B419" s="1">
        <v>4.7895355639651395E-3</v>
      </c>
      <c r="C419" s="1">
        <v>-3.0724740134704413E-3</v>
      </c>
    </row>
    <row r="420" spans="1:3" x14ac:dyDescent="0.35">
      <c r="A420" s="1">
        <v>396</v>
      </c>
      <c r="B420" s="1">
        <v>-6.9028123963718027E-4</v>
      </c>
      <c r="C420" s="1">
        <v>6.1444800209972924E-3</v>
      </c>
    </row>
    <row r="421" spans="1:3" x14ac:dyDescent="0.35">
      <c r="A421" s="1">
        <v>397</v>
      </c>
      <c r="B421" s="1">
        <v>-1.9256119324471243E-3</v>
      </c>
      <c r="C421" s="1">
        <v>-1.1713537852638841E-2</v>
      </c>
    </row>
    <row r="422" spans="1:3" x14ac:dyDescent="0.35">
      <c r="A422" s="1">
        <v>398</v>
      </c>
      <c r="B422" s="1">
        <v>5.2498808512215353E-3</v>
      </c>
      <c r="C422" s="1">
        <v>-8.500368139302333E-4</v>
      </c>
    </row>
    <row r="423" spans="1:3" x14ac:dyDescent="0.35">
      <c r="A423" s="1">
        <v>399</v>
      </c>
      <c r="B423" s="1">
        <v>-3.2046035092745724E-5</v>
      </c>
      <c r="C423" s="1">
        <v>-3.879160803883959E-3</v>
      </c>
    </row>
    <row r="424" spans="1:3" x14ac:dyDescent="0.35">
      <c r="A424" s="1">
        <v>400</v>
      </c>
      <c r="B424" s="1">
        <v>-3.0502770127896722E-4</v>
      </c>
      <c r="C424" s="1">
        <v>-4.2495901642659083E-3</v>
      </c>
    </row>
    <row r="425" spans="1:3" x14ac:dyDescent="0.35">
      <c r="A425" s="1">
        <v>401</v>
      </c>
      <c r="B425" s="1">
        <v>-1.8012253548680733E-4</v>
      </c>
      <c r="C425" s="1">
        <v>-6.288850981882141E-3</v>
      </c>
    </row>
    <row r="426" spans="1:3" x14ac:dyDescent="0.35">
      <c r="A426" s="1">
        <v>402</v>
      </c>
      <c r="B426" s="1">
        <v>-1.1489828467413782E-3</v>
      </c>
      <c r="C426" s="1">
        <v>2.4193892839875697E-3</v>
      </c>
    </row>
    <row r="427" spans="1:3" x14ac:dyDescent="0.35">
      <c r="A427" s="1">
        <v>403</v>
      </c>
      <c r="B427" s="1">
        <v>7.0685107707560806E-3</v>
      </c>
      <c r="C427" s="1">
        <v>2.447817813783457E-3</v>
      </c>
    </row>
    <row r="428" spans="1:3" x14ac:dyDescent="0.35">
      <c r="A428" s="1">
        <v>404</v>
      </c>
      <c r="B428" s="1">
        <v>-8.9223755180912253E-6</v>
      </c>
      <c r="C428" s="1">
        <v>-6.746735606979094E-3</v>
      </c>
    </row>
    <row r="429" spans="1:3" x14ac:dyDescent="0.35">
      <c r="A429" s="1">
        <v>405</v>
      </c>
      <c r="B429" s="1">
        <v>5.7916869845380829E-3</v>
      </c>
      <c r="C429" s="1">
        <v>1.8007425855557785E-3</v>
      </c>
    </row>
    <row r="430" spans="1:3" x14ac:dyDescent="0.35">
      <c r="A430" s="1">
        <v>406</v>
      </c>
      <c r="B430" s="1">
        <v>1.4953031399123702E-3</v>
      </c>
      <c r="C430" s="1">
        <v>1.1063638892368369E-2</v>
      </c>
    </row>
    <row r="431" spans="1:3" x14ac:dyDescent="0.35">
      <c r="A431" s="1">
        <v>407</v>
      </c>
      <c r="B431" s="1">
        <v>8.2158534259521229E-4</v>
      </c>
      <c r="C431" s="1">
        <v>7.3954327615965224E-3</v>
      </c>
    </row>
    <row r="432" spans="1:3" x14ac:dyDescent="0.35">
      <c r="A432" s="1">
        <v>408</v>
      </c>
      <c r="B432" s="1">
        <v>-2.1107514479990247E-3</v>
      </c>
      <c r="C432" s="1">
        <v>-1.9607263141235712E-4</v>
      </c>
    </row>
    <row r="433" spans="1:3" x14ac:dyDescent="0.35">
      <c r="A433" s="1">
        <v>409</v>
      </c>
      <c r="B433" s="1">
        <v>9.4832002232366278E-4</v>
      </c>
      <c r="C433" s="1">
        <v>4.2924013192174471E-3</v>
      </c>
    </row>
    <row r="434" spans="1:3" x14ac:dyDescent="0.35">
      <c r="A434" s="1">
        <v>410</v>
      </c>
      <c r="B434" s="1">
        <v>-3.9326137680707517E-3</v>
      </c>
      <c r="C434" s="1">
        <v>3.1657826895474628E-3</v>
      </c>
    </row>
    <row r="435" spans="1:3" x14ac:dyDescent="0.35">
      <c r="A435" s="1">
        <v>411</v>
      </c>
      <c r="B435" s="1">
        <v>-6.667580512903947E-3</v>
      </c>
      <c r="C435" s="1">
        <v>-8.2164857800842567E-3</v>
      </c>
    </row>
    <row r="436" spans="1:3" x14ac:dyDescent="0.35">
      <c r="A436" s="1">
        <v>412</v>
      </c>
      <c r="B436" s="1">
        <v>-5.019813604513635E-4</v>
      </c>
      <c r="C436" s="1">
        <v>1.5922981559271139E-3</v>
      </c>
    </row>
    <row r="437" spans="1:3" x14ac:dyDescent="0.35">
      <c r="A437" s="1">
        <v>413</v>
      </c>
      <c r="B437" s="1">
        <v>1.1563688551211881E-3</v>
      </c>
      <c r="C437" s="1">
        <v>2.4398731282798116E-4</v>
      </c>
    </row>
    <row r="438" spans="1:3" x14ac:dyDescent="0.35">
      <c r="A438" s="1">
        <v>414</v>
      </c>
      <c r="B438" s="1">
        <v>4.7521618415893108E-3</v>
      </c>
      <c r="C438" s="1">
        <v>6.4549391840707133E-5</v>
      </c>
    </row>
    <row r="439" spans="1:3" x14ac:dyDescent="0.35">
      <c r="A439" s="1">
        <v>415</v>
      </c>
      <c r="B439" s="1">
        <v>-1.0621345502223982E-2</v>
      </c>
      <c r="C439" s="1">
        <v>-1.3501250401317888E-2</v>
      </c>
    </row>
    <row r="440" spans="1:3" x14ac:dyDescent="0.35">
      <c r="A440" s="1">
        <v>416</v>
      </c>
      <c r="B440" s="1">
        <v>-1.9268861542382245E-3</v>
      </c>
      <c r="C440" s="1">
        <v>-4.0941083412914785E-3</v>
      </c>
    </row>
    <row r="441" spans="1:3" x14ac:dyDescent="0.35">
      <c r="A441" s="1">
        <v>417</v>
      </c>
      <c r="B441" s="1">
        <v>-3.3303317368722956E-3</v>
      </c>
      <c r="C441" s="1">
        <v>-5.9158079802155939E-3</v>
      </c>
    </row>
    <row r="442" spans="1:3" x14ac:dyDescent="0.35">
      <c r="A442" s="1">
        <v>418</v>
      </c>
      <c r="B442" s="1">
        <v>-2.297123613539944E-3</v>
      </c>
      <c r="C442" s="1">
        <v>-4.7824712661642763E-3</v>
      </c>
    </row>
    <row r="443" spans="1:3" x14ac:dyDescent="0.35">
      <c r="A443" s="1">
        <v>419</v>
      </c>
      <c r="B443" s="1">
        <v>1.1821325112172424E-3</v>
      </c>
      <c r="C443" s="1">
        <v>3.5172150059913534E-3</v>
      </c>
    </row>
    <row r="444" spans="1:3" x14ac:dyDescent="0.35">
      <c r="A444" s="1">
        <v>420</v>
      </c>
      <c r="B444" s="1">
        <v>-3.2364892929870534E-3</v>
      </c>
      <c r="C444" s="1">
        <v>-1.0473126373138708E-2</v>
      </c>
    </row>
    <row r="445" spans="1:3" x14ac:dyDescent="0.35">
      <c r="A445" s="1">
        <v>421</v>
      </c>
      <c r="B445" s="1">
        <v>-1.0995492383347714E-3</v>
      </c>
      <c r="C445" s="1">
        <v>1.5900355220341425E-3</v>
      </c>
    </row>
    <row r="446" spans="1:3" x14ac:dyDescent="0.35">
      <c r="A446" s="1">
        <v>422</v>
      </c>
      <c r="B446" s="1">
        <v>6.1194454741587247E-3</v>
      </c>
      <c r="C446" s="1">
        <v>1.2350749421055178E-2</v>
      </c>
    </row>
    <row r="447" spans="1:3" x14ac:dyDescent="0.35">
      <c r="A447" s="1">
        <v>423</v>
      </c>
      <c r="B447" s="1">
        <v>2.3451249301657076E-3</v>
      </c>
      <c r="C447" s="1">
        <v>-5.3944095890427392E-3</v>
      </c>
    </row>
    <row r="448" spans="1:3" x14ac:dyDescent="0.35">
      <c r="A448" s="1">
        <v>424</v>
      </c>
      <c r="B448" s="1">
        <v>5.1317866209312085E-3</v>
      </c>
      <c r="C448" s="1">
        <v>-1.9122102000328472E-3</v>
      </c>
    </row>
    <row r="449" spans="1:3" x14ac:dyDescent="0.35">
      <c r="A449" s="1">
        <v>425</v>
      </c>
      <c r="B449" s="1">
        <v>3.6236482008520387E-3</v>
      </c>
      <c r="C449" s="1">
        <v>-7.3536936250862776E-4</v>
      </c>
    </row>
    <row r="450" spans="1:3" x14ac:dyDescent="0.35">
      <c r="A450" s="1">
        <v>426</v>
      </c>
      <c r="B450" s="1">
        <v>-1.3693673014088005E-2</v>
      </c>
      <c r="C450" s="1">
        <v>-1.8786369497197031E-2</v>
      </c>
    </row>
    <row r="451" spans="1:3" x14ac:dyDescent="0.35">
      <c r="A451" s="1">
        <v>427</v>
      </c>
      <c r="B451" s="1">
        <v>1.3078692954546962E-3</v>
      </c>
      <c r="C451" s="1">
        <v>3.9839857036002898E-3</v>
      </c>
    </row>
    <row r="452" spans="1:3" x14ac:dyDescent="0.35">
      <c r="A452" s="1">
        <v>428</v>
      </c>
      <c r="B452" s="1">
        <v>-3.4235077067106658E-3</v>
      </c>
      <c r="C452" s="1">
        <v>-1.0163764783562863E-2</v>
      </c>
    </row>
    <row r="453" spans="1:3" x14ac:dyDescent="0.35">
      <c r="A453" s="1">
        <v>429</v>
      </c>
      <c r="B453" s="1">
        <v>-2.0928421552870091E-3</v>
      </c>
      <c r="C453" s="1">
        <v>2.260866067653139E-3</v>
      </c>
    </row>
    <row r="454" spans="1:3" x14ac:dyDescent="0.35">
      <c r="A454" s="1">
        <v>430</v>
      </c>
      <c r="B454" s="1">
        <v>2.4243993876012383E-3</v>
      </c>
      <c r="C454" s="1">
        <v>5.1334998062310642E-3</v>
      </c>
    </row>
    <row r="455" spans="1:3" x14ac:dyDescent="0.35">
      <c r="A455" s="1">
        <v>431</v>
      </c>
      <c r="B455" s="1">
        <v>-3.4088239271526121E-3</v>
      </c>
      <c r="C455" s="1">
        <v>1.9084846389534138E-3</v>
      </c>
    </row>
    <row r="456" spans="1:3" x14ac:dyDescent="0.35">
      <c r="A456" s="1">
        <v>432</v>
      </c>
      <c r="B456" s="1">
        <v>-5.2893055470891667E-3</v>
      </c>
      <c r="C456" s="1">
        <v>-3.0578210399196011E-3</v>
      </c>
    </row>
    <row r="457" spans="1:3" x14ac:dyDescent="0.35">
      <c r="A457" s="1">
        <v>433</v>
      </c>
      <c r="B457" s="1">
        <v>-2.4935751417735374E-3</v>
      </c>
      <c r="C457" s="1">
        <v>1.3672926789977131E-4</v>
      </c>
    </row>
    <row r="458" spans="1:3" x14ac:dyDescent="0.35">
      <c r="A458" s="1">
        <v>434</v>
      </c>
      <c r="B458" s="1">
        <v>-5.3266698934128489E-3</v>
      </c>
      <c r="C458" s="1">
        <v>-5.8108085085969699E-3</v>
      </c>
    </row>
    <row r="459" spans="1:3" x14ac:dyDescent="0.35">
      <c r="A459" s="1">
        <v>435</v>
      </c>
      <c r="B459" s="1">
        <v>-3.1090812159855967E-3</v>
      </c>
      <c r="C459" s="1">
        <v>-9.3483125243304151E-3</v>
      </c>
    </row>
    <row r="460" spans="1:3" x14ac:dyDescent="0.35">
      <c r="A460" s="1">
        <v>436</v>
      </c>
      <c r="B460" s="1">
        <v>-4.6417382040810323E-4</v>
      </c>
      <c r="C460" s="1">
        <v>-2.5282997344467973E-2</v>
      </c>
    </row>
    <row r="461" spans="1:3" x14ac:dyDescent="0.35">
      <c r="A461" s="1">
        <v>437</v>
      </c>
      <c r="B461" s="1">
        <v>6.5477456084441698E-3</v>
      </c>
      <c r="C461" s="1">
        <v>4.0941127755369259E-3</v>
      </c>
    </row>
    <row r="462" spans="1:3" x14ac:dyDescent="0.35">
      <c r="A462" s="1">
        <v>438</v>
      </c>
      <c r="B462" s="1">
        <v>-6.5795386951282347E-3</v>
      </c>
      <c r="C462" s="1">
        <v>-6.1604472371424093E-4</v>
      </c>
    </row>
    <row r="463" spans="1:3" x14ac:dyDescent="0.35">
      <c r="A463" s="1">
        <v>439</v>
      </c>
      <c r="B463" s="1">
        <v>-4.6297659596310882E-3</v>
      </c>
      <c r="C463" s="1">
        <v>-5.0924230234480417E-3</v>
      </c>
    </row>
    <row r="464" spans="1:3" x14ac:dyDescent="0.35">
      <c r="A464" s="1">
        <v>440</v>
      </c>
      <c r="B464" s="1">
        <v>8.5464298971215762E-3</v>
      </c>
      <c r="C464" s="1">
        <v>2.6993208704655935E-3</v>
      </c>
    </row>
    <row r="465" spans="1:3" x14ac:dyDescent="0.35">
      <c r="A465" s="1">
        <v>441</v>
      </c>
      <c r="B465" s="1">
        <v>1.0058631727492762E-2</v>
      </c>
      <c r="C465" s="1">
        <v>-7.7637930512362624E-3</v>
      </c>
    </row>
    <row r="466" spans="1:3" x14ac:dyDescent="0.35">
      <c r="A466" s="1">
        <v>442</v>
      </c>
      <c r="B466" s="1">
        <v>-4.3122226171519052E-4</v>
      </c>
      <c r="C466" s="1">
        <v>-9.0790687983773946E-3</v>
      </c>
    </row>
    <row r="467" spans="1:3" x14ac:dyDescent="0.35">
      <c r="A467" s="1">
        <v>443</v>
      </c>
      <c r="B467" s="1">
        <v>-3.0783708410825257E-3</v>
      </c>
      <c r="C467" s="1">
        <v>-1.8436631811762298E-2</v>
      </c>
    </row>
    <row r="468" spans="1:3" x14ac:dyDescent="0.35">
      <c r="A468" s="1">
        <v>444</v>
      </c>
      <c r="B468" s="1">
        <v>-8.792329045934048E-3</v>
      </c>
      <c r="C468" s="1">
        <v>-6.5709843235815454E-4</v>
      </c>
    </row>
    <row r="469" spans="1:3" x14ac:dyDescent="0.35">
      <c r="A469" s="1">
        <v>445</v>
      </c>
      <c r="B469" s="1">
        <v>-2.1926932016807111E-3</v>
      </c>
      <c r="C469" s="1">
        <v>-8.740317896179569E-6</v>
      </c>
    </row>
    <row r="470" spans="1:3" x14ac:dyDescent="0.35">
      <c r="A470" s="1">
        <v>446</v>
      </c>
      <c r="B470" s="1">
        <v>-1.8795297515042718E-3</v>
      </c>
      <c r="C470" s="1">
        <v>3.5342669682424171E-3</v>
      </c>
    </row>
    <row r="471" spans="1:3" x14ac:dyDescent="0.35">
      <c r="A471" s="1">
        <v>447</v>
      </c>
      <c r="B471" s="1">
        <v>-8.407641575507624E-4</v>
      </c>
      <c r="C471" s="1">
        <v>1.295527703914278E-2</v>
      </c>
    </row>
    <row r="472" spans="1:3" x14ac:dyDescent="0.35">
      <c r="A472" s="1">
        <v>448</v>
      </c>
      <c r="B472" s="1">
        <v>8.5727328110734996E-3</v>
      </c>
      <c r="C472" s="1">
        <v>4.6663552447025226E-3</v>
      </c>
    </row>
    <row r="473" spans="1:3" x14ac:dyDescent="0.35">
      <c r="A473" s="1">
        <v>449</v>
      </c>
      <c r="B473" s="1">
        <v>-7.395590634252395E-3</v>
      </c>
      <c r="C473" s="1">
        <v>-8.5341828437042154E-3</v>
      </c>
    </row>
    <row r="474" spans="1:3" x14ac:dyDescent="0.35">
      <c r="A474" s="1">
        <v>450</v>
      </c>
      <c r="B474" s="1">
        <v>8.738248488818625E-3</v>
      </c>
      <c r="C474" s="1">
        <v>4.1754309217844655E-3</v>
      </c>
    </row>
    <row r="475" spans="1:3" x14ac:dyDescent="0.35">
      <c r="A475" s="1">
        <v>451</v>
      </c>
      <c r="B475" s="1">
        <v>3.8949860052696437E-3</v>
      </c>
      <c r="C475" s="1">
        <v>9.5724951638343232E-3</v>
      </c>
    </row>
    <row r="476" spans="1:3" x14ac:dyDescent="0.35">
      <c r="A476" s="1">
        <v>452</v>
      </c>
      <c r="B476" s="1">
        <v>-1.92873347238276E-3</v>
      </c>
      <c r="C476" s="1">
        <v>-6.5759569763284547E-3</v>
      </c>
    </row>
    <row r="477" spans="1:3" x14ac:dyDescent="0.35">
      <c r="A477" s="1">
        <v>453</v>
      </c>
      <c r="B477" s="1">
        <v>-2.3402021310046477E-3</v>
      </c>
      <c r="C477" s="1">
        <v>-1.3385284517583584E-2</v>
      </c>
    </row>
    <row r="478" spans="1:3" x14ac:dyDescent="0.35">
      <c r="A478" s="1">
        <v>454</v>
      </c>
      <c r="B478" s="1">
        <v>7.851729356307454E-3</v>
      </c>
      <c r="C478" s="1">
        <v>8.1249991226649797E-3</v>
      </c>
    </row>
    <row r="479" spans="1:3" x14ac:dyDescent="0.35">
      <c r="A479" s="1">
        <v>455</v>
      </c>
      <c r="B479" s="1">
        <v>4.0411952971778657E-3</v>
      </c>
      <c r="C479" s="1">
        <v>2.4729457834199803E-2</v>
      </c>
    </row>
    <row r="480" spans="1:3" x14ac:dyDescent="0.35">
      <c r="A480" s="1">
        <v>456</v>
      </c>
      <c r="B480" s="1">
        <v>5.4520021121811915E-3</v>
      </c>
      <c r="C480" s="1">
        <v>1.8518805328079931E-2</v>
      </c>
    </row>
    <row r="481" spans="1:3" x14ac:dyDescent="0.35">
      <c r="A481" s="1">
        <v>457</v>
      </c>
      <c r="B481" s="1">
        <v>-2.1589897792031938E-3</v>
      </c>
      <c r="C481" s="1">
        <v>9.6228553025265902E-3</v>
      </c>
    </row>
    <row r="482" spans="1:3" x14ac:dyDescent="0.35">
      <c r="A482" s="1">
        <v>458</v>
      </c>
      <c r="B482" s="1">
        <v>-1.739061239322438E-3</v>
      </c>
      <c r="C482" s="1">
        <v>4.0964458089640023E-3</v>
      </c>
    </row>
    <row r="483" spans="1:3" x14ac:dyDescent="0.35">
      <c r="A483" s="1">
        <v>459</v>
      </c>
      <c r="B483" s="1">
        <v>8.1418132150706951E-3</v>
      </c>
      <c r="C483" s="1">
        <v>1.252004279302605E-2</v>
      </c>
    </row>
    <row r="484" spans="1:3" x14ac:dyDescent="0.35">
      <c r="A484" s="1">
        <v>460</v>
      </c>
      <c r="B484" s="1">
        <v>-2.1804473489537013E-3</v>
      </c>
      <c r="C484" s="1">
        <v>-1.2796671575893818E-2</v>
      </c>
    </row>
    <row r="485" spans="1:3" x14ac:dyDescent="0.35">
      <c r="A485" s="1">
        <v>461</v>
      </c>
      <c r="B485" s="1">
        <v>-1.1015355340965223E-3</v>
      </c>
      <c r="C485" s="1">
        <v>-2.4071178328681463E-3</v>
      </c>
    </row>
    <row r="486" spans="1:3" x14ac:dyDescent="0.35">
      <c r="A486" s="1">
        <v>462</v>
      </c>
      <c r="B486" s="1">
        <v>-7.8265285080834357E-3</v>
      </c>
      <c r="C486" s="1">
        <v>-6.0902099076133153E-3</v>
      </c>
    </row>
    <row r="487" spans="1:3" x14ac:dyDescent="0.35">
      <c r="A487" s="1">
        <v>463</v>
      </c>
      <c r="B487" s="1">
        <v>-3.1880619576325304E-3</v>
      </c>
      <c r="C487" s="1">
        <v>2.6776760074803431E-3</v>
      </c>
    </row>
    <row r="488" spans="1:3" x14ac:dyDescent="0.35">
      <c r="A488" s="1">
        <v>464</v>
      </c>
      <c r="B488" s="1">
        <v>4.6000084950087589E-3</v>
      </c>
      <c r="C488" s="1">
        <v>3.5663311046358649E-3</v>
      </c>
    </row>
    <row r="489" spans="1:3" x14ac:dyDescent="0.35">
      <c r="A489" s="1">
        <v>465</v>
      </c>
      <c r="B489" s="1">
        <v>3.3114489743379331E-3</v>
      </c>
      <c r="C489" s="1">
        <v>5.6964407462287842E-4</v>
      </c>
    </row>
    <row r="490" spans="1:3" x14ac:dyDescent="0.35">
      <c r="A490" s="1">
        <v>466</v>
      </c>
      <c r="B490" s="1">
        <v>2.0192385923772263E-3</v>
      </c>
      <c r="C490" s="1">
        <v>-1.7036885182234135E-4</v>
      </c>
    </row>
    <row r="491" spans="1:3" x14ac:dyDescent="0.35">
      <c r="A491" s="1">
        <v>467</v>
      </c>
      <c r="B491" s="1">
        <v>-6.4673895401864256E-3</v>
      </c>
      <c r="C491" s="1">
        <v>-7.4586912712518022E-3</v>
      </c>
    </row>
    <row r="492" spans="1:3" x14ac:dyDescent="0.35">
      <c r="A492" s="1">
        <v>468</v>
      </c>
      <c r="B492" s="1">
        <v>1.8054579663957307E-2</v>
      </c>
      <c r="C492" s="1">
        <v>1.784828383422149E-2</v>
      </c>
    </row>
    <row r="493" spans="1:3" x14ac:dyDescent="0.35">
      <c r="A493" s="1">
        <v>469</v>
      </c>
      <c r="B493" s="1">
        <v>3.1913574872283624E-3</v>
      </c>
      <c r="C493" s="1">
        <v>4.0358902082832954E-3</v>
      </c>
    </row>
    <row r="494" spans="1:3" x14ac:dyDescent="0.35">
      <c r="A494" s="1">
        <v>470</v>
      </c>
      <c r="B494" s="1">
        <v>-2.6570914646550999E-3</v>
      </c>
      <c r="C494" s="1">
        <v>-6.9645359758319769E-3</v>
      </c>
    </row>
    <row r="495" spans="1:3" x14ac:dyDescent="0.35">
      <c r="A495" s="1">
        <v>471</v>
      </c>
      <c r="B495" s="1">
        <v>3.021587953507271E-3</v>
      </c>
      <c r="C495" s="1">
        <v>-4.6682800409183914E-3</v>
      </c>
    </row>
    <row r="496" spans="1:3" x14ac:dyDescent="0.35">
      <c r="A496" s="1">
        <v>472</v>
      </c>
      <c r="B496" s="1">
        <v>-2.4370953685796887E-3</v>
      </c>
      <c r="C496" s="1">
        <v>6.2271172505016007E-4</v>
      </c>
    </row>
    <row r="497" spans="1:3" x14ac:dyDescent="0.35">
      <c r="A497" s="1">
        <v>473</v>
      </c>
      <c r="B497" s="1">
        <v>-7.7594575671895572E-4</v>
      </c>
      <c r="C497" s="1">
        <v>3.9154134297198044E-3</v>
      </c>
    </row>
    <row r="498" spans="1:3" x14ac:dyDescent="0.35">
      <c r="A498" s="1">
        <v>474</v>
      </c>
      <c r="B498" s="1">
        <v>1.7491833041439707E-3</v>
      </c>
      <c r="C498" s="1">
        <v>5.33382250982901E-3</v>
      </c>
    </row>
    <row r="499" spans="1:3" x14ac:dyDescent="0.35">
      <c r="A499" s="1">
        <v>475</v>
      </c>
      <c r="B499" s="1">
        <v>-1.0315397103928623E-3</v>
      </c>
      <c r="C499" s="1">
        <v>1.6406094849489787E-2</v>
      </c>
    </row>
    <row r="500" spans="1:3" x14ac:dyDescent="0.35">
      <c r="A500" s="1">
        <v>476</v>
      </c>
      <c r="B500" s="1">
        <v>4.5875446689306078E-3</v>
      </c>
      <c r="C500" s="1">
        <v>-2.3833018175391674E-4</v>
      </c>
    </row>
    <row r="501" spans="1:3" x14ac:dyDescent="0.35">
      <c r="A501" s="1">
        <v>477</v>
      </c>
      <c r="B501" s="1">
        <v>2.1211705507232117E-3</v>
      </c>
      <c r="C501" s="1">
        <v>2.3694997469253143E-3</v>
      </c>
    </row>
    <row r="502" spans="1:3" x14ac:dyDescent="0.35">
      <c r="A502" s="1">
        <v>478</v>
      </c>
      <c r="B502" s="1">
        <v>1.2699784213497596E-4</v>
      </c>
      <c r="C502" s="1">
        <v>8.3090993529370111E-4</v>
      </c>
    </row>
    <row r="503" spans="1:3" x14ac:dyDescent="0.35">
      <c r="A503" s="1">
        <v>479</v>
      </c>
      <c r="B503" s="1">
        <v>-4.7512288038232724E-3</v>
      </c>
      <c r="C503" s="1">
        <v>4.9110514764419541E-3</v>
      </c>
    </row>
    <row r="504" spans="1:3" x14ac:dyDescent="0.35">
      <c r="A504" s="1">
        <v>480</v>
      </c>
      <c r="B504" s="1">
        <v>-2.9412624684629571E-4</v>
      </c>
      <c r="C504" s="1">
        <v>-3.2147720327216508E-3</v>
      </c>
    </row>
    <row r="505" spans="1:3" x14ac:dyDescent="0.35">
      <c r="A505" s="1">
        <v>481</v>
      </c>
      <c r="B505" s="1">
        <v>1.0175806980708644E-2</v>
      </c>
      <c r="C505" s="1">
        <v>1.5130426103869452E-2</v>
      </c>
    </row>
    <row r="506" spans="1:3" x14ac:dyDescent="0.35">
      <c r="A506" s="1">
        <v>482</v>
      </c>
      <c r="B506" s="1">
        <v>-6.1098535914319287E-5</v>
      </c>
      <c r="C506" s="1">
        <v>2.8908370763442086E-3</v>
      </c>
    </row>
    <row r="507" spans="1:3" x14ac:dyDescent="0.35">
      <c r="A507" s="1">
        <v>483</v>
      </c>
      <c r="B507" s="1">
        <v>-1.6632229093061773E-4</v>
      </c>
      <c r="C507" s="1">
        <v>8.9450752675484021E-3</v>
      </c>
    </row>
    <row r="508" spans="1:3" x14ac:dyDescent="0.35">
      <c r="A508" s="1">
        <v>484</v>
      </c>
      <c r="B508" s="1">
        <v>-5.5395430297188741E-3</v>
      </c>
      <c r="C508" s="1">
        <v>-8.1356174125906712E-3</v>
      </c>
    </row>
    <row r="509" spans="1:3" x14ac:dyDescent="0.35">
      <c r="A509" s="1">
        <v>485</v>
      </c>
      <c r="B509" s="1">
        <v>-4.4149919334641055E-3</v>
      </c>
      <c r="C509" s="1">
        <v>3.9421860343622338E-3</v>
      </c>
    </row>
    <row r="510" spans="1:3" x14ac:dyDescent="0.35">
      <c r="A510" s="1">
        <v>486</v>
      </c>
      <c r="B510" s="1">
        <v>-3.8116373061324287E-4</v>
      </c>
      <c r="C510" s="1">
        <v>1.9575340487841529E-3</v>
      </c>
    </row>
    <row r="511" spans="1:3" x14ac:dyDescent="0.35">
      <c r="A511" s="1">
        <v>487</v>
      </c>
      <c r="B511" s="1">
        <v>2.6382661109001912E-3</v>
      </c>
      <c r="C511" s="1">
        <v>1.6110509877773852E-3</v>
      </c>
    </row>
    <row r="512" spans="1:3" x14ac:dyDescent="0.35">
      <c r="A512" s="1">
        <v>488</v>
      </c>
      <c r="B512" s="1">
        <v>-2.1467186817978288E-3</v>
      </c>
      <c r="C512" s="1">
        <v>-8.3533403657409695E-3</v>
      </c>
    </row>
    <row r="513" spans="1:3" x14ac:dyDescent="0.35">
      <c r="A513" s="1">
        <v>489</v>
      </c>
      <c r="B513" s="1">
        <v>4.8125529665079729E-3</v>
      </c>
      <c r="C513" s="1">
        <v>8.3330772117108202E-3</v>
      </c>
    </row>
    <row r="514" spans="1:3" x14ac:dyDescent="0.35">
      <c r="A514" s="1">
        <v>490</v>
      </c>
      <c r="B514" s="1">
        <v>2.5635802843416273E-3</v>
      </c>
      <c r="C514" s="1">
        <v>-2.2509053183553071E-3</v>
      </c>
    </row>
    <row r="515" spans="1:3" x14ac:dyDescent="0.35">
      <c r="A515" s="1">
        <v>491</v>
      </c>
      <c r="B515" s="1">
        <v>-1.7294451606218865E-3</v>
      </c>
      <c r="C515" s="1">
        <v>1.7294451606218865E-3</v>
      </c>
    </row>
    <row r="516" spans="1:3" x14ac:dyDescent="0.35">
      <c r="A516" s="1">
        <v>492</v>
      </c>
      <c r="B516" s="1">
        <v>-7.8006880559672509E-3</v>
      </c>
      <c r="C516" s="1">
        <v>-5.9515357375875136E-3</v>
      </c>
    </row>
    <row r="517" spans="1:3" x14ac:dyDescent="0.35">
      <c r="A517" s="1">
        <v>493</v>
      </c>
      <c r="B517" s="1">
        <v>-3.3655949712347371E-3</v>
      </c>
      <c r="C517" s="1">
        <v>-2.3387864165166205E-3</v>
      </c>
    </row>
    <row r="518" spans="1:3" x14ac:dyDescent="0.35">
      <c r="A518" s="1">
        <v>494</v>
      </c>
      <c r="B518" s="1">
        <v>-2.6801740195462553E-3</v>
      </c>
      <c r="C518" s="1">
        <v>4.1144676625286866E-3</v>
      </c>
    </row>
    <row r="519" spans="1:3" x14ac:dyDescent="0.35">
      <c r="A519" s="1">
        <v>495</v>
      </c>
      <c r="B519" s="1">
        <v>5.5184202355080332E-4</v>
      </c>
      <c r="C519" s="1">
        <v>-1.3474198465755747E-3</v>
      </c>
    </row>
    <row r="520" spans="1:3" x14ac:dyDescent="0.35">
      <c r="A520" s="1">
        <v>496</v>
      </c>
      <c r="B520" s="1">
        <v>5.0019713122715029E-3</v>
      </c>
      <c r="C520" s="1">
        <v>1.1083225088947274E-2</v>
      </c>
    </row>
    <row r="521" spans="1:3" x14ac:dyDescent="0.35">
      <c r="A521" s="1">
        <v>497</v>
      </c>
      <c r="B521" s="1">
        <v>-4.4318856663998502E-3</v>
      </c>
      <c r="C521" s="1">
        <v>-2.7781475892846175E-3</v>
      </c>
    </row>
    <row r="522" spans="1:3" x14ac:dyDescent="0.35">
      <c r="A522" s="1">
        <v>498</v>
      </c>
      <c r="B522" s="1">
        <v>2.1061808195655409E-3</v>
      </c>
      <c r="C522" s="1">
        <v>5.4720654381430062E-3</v>
      </c>
    </row>
    <row r="523" spans="1:3" x14ac:dyDescent="0.35">
      <c r="A523" s="1">
        <v>499</v>
      </c>
      <c r="B523" s="1">
        <v>-1.0849301046286239E-3</v>
      </c>
      <c r="C523" s="1">
        <v>7.1958013193333037E-3</v>
      </c>
    </row>
    <row r="524" spans="1:3" x14ac:dyDescent="0.35">
      <c r="A524" s="1">
        <v>500</v>
      </c>
      <c r="B524" s="1">
        <v>-3.6496713795013624E-3</v>
      </c>
      <c r="C524" s="1">
        <v>-6.3175551142559891E-3</v>
      </c>
    </row>
    <row r="525" spans="1:3" x14ac:dyDescent="0.35">
      <c r="A525" s="1">
        <v>501</v>
      </c>
      <c r="B525" s="1">
        <v>5.8363994644830986E-3</v>
      </c>
      <c r="C525" s="1">
        <v>1.4114973837315876E-4</v>
      </c>
    </row>
    <row r="526" spans="1:3" x14ac:dyDescent="0.35">
      <c r="A526" s="1">
        <v>502</v>
      </c>
      <c r="B526" s="1">
        <v>-5.9943544386267019E-4</v>
      </c>
      <c r="C526" s="1">
        <v>-4.7171146571051391E-3</v>
      </c>
    </row>
    <row r="527" spans="1:3" x14ac:dyDescent="0.35">
      <c r="A527" s="1">
        <v>503</v>
      </c>
      <c r="B527" s="1">
        <v>-1.0691403758279227E-3</v>
      </c>
      <c r="C527" s="1">
        <v>-9.3066769929835442E-3</v>
      </c>
    </row>
    <row r="528" spans="1:3" x14ac:dyDescent="0.35">
      <c r="A528" s="1">
        <v>504</v>
      </c>
      <c r="B528" s="1">
        <v>2.6437966729944743E-3</v>
      </c>
      <c r="C528" s="1">
        <v>-3.1203092772002722E-3</v>
      </c>
    </row>
    <row r="529" spans="1:3" x14ac:dyDescent="0.35">
      <c r="A529" s="1">
        <v>505</v>
      </c>
      <c r="B529" s="1">
        <v>-3.5289767916299244E-3</v>
      </c>
      <c r="C529" s="1">
        <v>-7.914171243536227E-3</v>
      </c>
    </row>
    <row r="530" spans="1:3" x14ac:dyDescent="0.35">
      <c r="A530" s="1">
        <v>506</v>
      </c>
      <c r="B530" s="1">
        <v>7.5672823988071876E-3</v>
      </c>
      <c r="C530" s="1">
        <v>1.1725332893823378E-2</v>
      </c>
    </row>
    <row r="531" spans="1:3" x14ac:dyDescent="0.35">
      <c r="A531" s="1">
        <v>507</v>
      </c>
      <c r="B531" s="1">
        <v>-2.8922466905350854E-5</v>
      </c>
      <c r="C531" s="1">
        <v>-1.2431626951746289E-2</v>
      </c>
    </row>
    <row r="532" spans="1:3" x14ac:dyDescent="0.35">
      <c r="A532" s="1">
        <v>508</v>
      </c>
      <c r="B532" s="1">
        <v>2.4633747116471504E-3</v>
      </c>
      <c r="C532" s="1">
        <v>-1.0129779034526236E-2</v>
      </c>
    </row>
    <row r="533" spans="1:3" x14ac:dyDescent="0.35">
      <c r="A533" s="1">
        <v>509</v>
      </c>
      <c r="B533" s="1">
        <v>4.3524797423791289E-3</v>
      </c>
      <c r="C533" s="1">
        <v>-6.284022169553781E-3</v>
      </c>
    </row>
    <row r="534" spans="1:3" x14ac:dyDescent="0.35">
      <c r="A534" s="1">
        <v>510</v>
      </c>
      <c r="B534" s="1">
        <v>1.3171661035758766E-3</v>
      </c>
      <c r="C534" s="1">
        <v>-1.4218273101528652E-2</v>
      </c>
    </row>
    <row r="535" spans="1:3" x14ac:dyDescent="0.35">
      <c r="A535" s="1">
        <v>511</v>
      </c>
      <c r="B535" s="1">
        <v>1.50409239264718E-3</v>
      </c>
      <c r="C535" s="1">
        <v>2.0900774350150276E-3</v>
      </c>
    </row>
    <row r="536" spans="1:3" x14ac:dyDescent="0.35">
      <c r="A536" s="1">
        <v>512</v>
      </c>
      <c r="B536" s="1">
        <v>-4.3525782355937704E-4</v>
      </c>
      <c r="C536" s="1">
        <v>4.5049949988543517E-3</v>
      </c>
    </row>
    <row r="537" spans="1:3" x14ac:dyDescent="0.35">
      <c r="A537" s="1">
        <v>513</v>
      </c>
      <c r="B537" s="1">
        <v>-4.7893268337289713E-3</v>
      </c>
      <c r="C537" s="1">
        <v>-2.5528524655170717E-2</v>
      </c>
    </row>
    <row r="538" spans="1:3" x14ac:dyDescent="0.35">
      <c r="A538" s="1">
        <v>514</v>
      </c>
      <c r="B538" s="1">
        <v>-2.2396334424082433E-3</v>
      </c>
      <c r="C538" s="1">
        <v>7.3476633964505251E-4</v>
      </c>
    </row>
    <row r="539" spans="1:3" x14ac:dyDescent="0.35">
      <c r="A539" s="1">
        <v>515</v>
      </c>
      <c r="B539" s="1">
        <v>6.3052237429493535E-3</v>
      </c>
      <c r="C539" s="1">
        <v>-2.7689290193277927E-4</v>
      </c>
    </row>
    <row r="540" spans="1:3" x14ac:dyDescent="0.35">
      <c r="A540" s="1">
        <v>516</v>
      </c>
      <c r="B540" s="1">
        <v>4.0409921098558564E-3</v>
      </c>
      <c r="C540" s="1">
        <v>-1.5443372896011957E-3</v>
      </c>
    </row>
    <row r="541" spans="1:3" x14ac:dyDescent="0.35">
      <c r="A541" s="1">
        <v>517</v>
      </c>
      <c r="B541" s="1">
        <v>-1.0862421392778492E-5</v>
      </c>
      <c r="C541" s="1">
        <v>5.3237578447315644E-3</v>
      </c>
    </row>
    <row r="542" spans="1:3" x14ac:dyDescent="0.35">
      <c r="A542" s="1">
        <v>518</v>
      </c>
      <c r="B542" s="1">
        <v>1.595981952217583E-4</v>
      </c>
      <c r="C542" s="1">
        <v>6.1162262940569652E-3</v>
      </c>
    </row>
    <row r="543" spans="1:3" x14ac:dyDescent="0.35">
      <c r="A543" s="1">
        <v>519</v>
      </c>
      <c r="B543" s="1">
        <v>3.7599388317685932E-3</v>
      </c>
      <c r="C543" s="1">
        <v>-5.7293855818841641E-3</v>
      </c>
    </row>
    <row r="544" spans="1:3" x14ac:dyDescent="0.35">
      <c r="A544" s="1">
        <v>520</v>
      </c>
      <c r="B544" s="1">
        <v>1.0208057134034926E-3</v>
      </c>
      <c r="C544" s="1">
        <v>-6.2830960334573499E-3</v>
      </c>
    </row>
    <row r="545" spans="1:3" x14ac:dyDescent="0.35">
      <c r="A545" s="1">
        <v>521</v>
      </c>
      <c r="B545" s="1">
        <v>-3.9547313764804427E-3</v>
      </c>
      <c r="C545" s="1">
        <v>6.4343950013586882E-3</v>
      </c>
    </row>
    <row r="546" spans="1:3" x14ac:dyDescent="0.35">
      <c r="A546" s="1">
        <v>522</v>
      </c>
      <c r="B546" s="1">
        <v>4.9294072381569406E-3</v>
      </c>
      <c r="C546" s="1">
        <v>6.2843698453384847E-3</v>
      </c>
    </row>
    <row r="547" spans="1:3" x14ac:dyDescent="0.35">
      <c r="A547" s="1">
        <v>523</v>
      </c>
      <c r="B547" s="1">
        <v>3.5811860890478326E-3</v>
      </c>
      <c r="C547" s="1">
        <v>-3.4180582835854497E-3</v>
      </c>
    </row>
    <row r="548" spans="1:3" x14ac:dyDescent="0.35">
      <c r="A548" s="1">
        <v>524</v>
      </c>
      <c r="B548" s="1">
        <v>4.9477162769421138E-3</v>
      </c>
      <c r="C548" s="1">
        <v>-2.2068168690806713E-2</v>
      </c>
    </row>
    <row r="549" spans="1:3" x14ac:dyDescent="0.35">
      <c r="A549" s="1">
        <v>525</v>
      </c>
      <c r="B549" s="1">
        <v>-3.1136131160631355E-3</v>
      </c>
      <c r="C549" s="1">
        <v>-4.3516390987725414E-3</v>
      </c>
    </row>
    <row r="550" spans="1:3" x14ac:dyDescent="0.35">
      <c r="A550" s="1">
        <v>526</v>
      </c>
      <c r="B550" s="1">
        <v>-1.7576756929493316E-3</v>
      </c>
      <c r="C550" s="1">
        <v>7.4404719692384574E-3</v>
      </c>
    </row>
    <row r="551" spans="1:3" x14ac:dyDescent="0.35">
      <c r="A551" s="1">
        <v>527</v>
      </c>
      <c r="B551" s="1">
        <v>4.3599078954791367E-3</v>
      </c>
      <c r="C551" s="1">
        <v>-6.0219474165507008E-3</v>
      </c>
    </row>
    <row r="552" spans="1:3" x14ac:dyDescent="0.35">
      <c r="A552" s="1">
        <v>528</v>
      </c>
      <c r="B552" s="1">
        <v>-3.3472462688426477E-3</v>
      </c>
      <c r="C552" s="1">
        <v>-2.4793679641351022E-3</v>
      </c>
    </row>
    <row r="553" spans="1:3" x14ac:dyDescent="0.35">
      <c r="A553" s="1">
        <v>529</v>
      </c>
      <c r="B553" s="1">
        <v>-2.622991180701432E-3</v>
      </c>
      <c r="C553" s="1">
        <v>9.4863737214753393E-4</v>
      </c>
    </row>
    <row r="554" spans="1:3" x14ac:dyDescent="0.35">
      <c r="A554" s="1">
        <v>530</v>
      </c>
      <c r="B554" s="1">
        <v>9.2441359789731154E-4</v>
      </c>
      <c r="C554" s="1">
        <v>-9.2441359789731154E-4</v>
      </c>
    </row>
    <row r="555" spans="1:3" x14ac:dyDescent="0.35">
      <c r="A555" s="1">
        <v>531</v>
      </c>
      <c r="B555" s="1">
        <v>3.90175571335239E-3</v>
      </c>
      <c r="C555" s="1">
        <v>1.253563602843653E-2</v>
      </c>
    </row>
    <row r="556" spans="1:3" x14ac:dyDescent="0.35">
      <c r="A556" s="1">
        <v>532</v>
      </c>
      <c r="B556" s="1">
        <v>1.2784401223688751E-4</v>
      </c>
      <c r="C556" s="1">
        <v>-1.6794546273262351E-2</v>
      </c>
    </row>
    <row r="557" spans="1:3" x14ac:dyDescent="0.35">
      <c r="A557" s="1">
        <v>533</v>
      </c>
      <c r="B557" s="1">
        <v>1.1103622505598428E-3</v>
      </c>
      <c r="C557" s="1">
        <v>-1.1103622505598428E-3</v>
      </c>
    </row>
    <row r="558" spans="1:3" x14ac:dyDescent="0.35">
      <c r="A558" s="1">
        <v>534</v>
      </c>
      <c r="B558" s="1">
        <v>-4.2185734511975149E-3</v>
      </c>
      <c r="C558" s="1">
        <v>-1.9904918191268909E-3</v>
      </c>
    </row>
    <row r="559" spans="1:3" x14ac:dyDescent="0.35">
      <c r="A559" s="1">
        <v>535</v>
      </c>
      <c r="B559" s="1">
        <v>-6.723662816594748E-4</v>
      </c>
      <c r="C559" s="1">
        <v>1.5869978383576993E-2</v>
      </c>
    </row>
    <row r="560" spans="1:3" x14ac:dyDescent="0.35">
      <c r="A560" s="1">
        <v>536</v>
      </c>
      <c r="B560" s="1">
        <v>-6.230365364730186E-3</v>
      </c>
      <c r="C560" s="1">
        <v>9.0760985927110151E-4</v>
      </c>
    </row>
    <row r="561" spans="1:3" x14ac:dyDescent="0.35">
      <c r="A561" s="1">
        <v>537</v>
      </c>
      <c r="B561" s="1">
        <v>-2.8823515400841113E-4</v>
      </c>
      <c r="C561" s="1">
        <v>3.298263368615531E-3</v>
      </c>
    </row>
    <row r="562" spans="1:3" x14ac:dyDescent="0.35">
      <c r="A562" s="1">
        <v>538</v>
      </c>
      <c r="B562" s="1">
        <v>1.9328582552286704E-3</v>
      </c>
      <c r="C562" s="1">
        <v>-9.8851046575038374E-5</v>
      </c>
    </row>
    <row r="563" spans="1:3" x14ac:dyDescent="0.35">
      <c r="A563" s="1">
        <v>539</v>
      </c>
      <c r="B563" s="1">
        <v>-3.1724757616481553E-3</v>
      </c>
      <c r="C563" s="1">
        <v>-9.8801613559495842E-4</v>
      </c>
    </row>
    <row r="564" spans="1:3" x14ac:dyDescent="0.35">
      <c r="A564" s="1">
        <v>540</v>
      </c>
      <c r="B564" s="1">
        <v>1.2068346784092411E-3</v>
      </c>
      <c r="C564" s="1">
        <v>-1.5410199399751314E-3</v>
      </c>
    </row>
    <row r="565" spans="1:3" x14ac:dyDescent="0.35">
      <c r="A565" s="1">
        <v>541</v>
      </c>
      <c r="B565" s="1">
        <v>-7.5878932270975784E-4</v>
      </c>
      <c r="C565" s="1">
        <v>-4.4235117529660625E-3</v>
      </c>
    </row>
    <row r="566" spans="1:3" x14ac:dyDescent="0.35">
      <c r="A566" s="1">
        <v>542</v>
      </c>
      <c r="B566" s="1">
        <v>-1.3023237851715508E-3</v>
      </c>
      <c r="C566" s="1">
        <v>-9.6201879975696559E-3</v>
      </c>
    </row>
    <row r="567" spans="1:3" x14ac:dyDescent="0.35">
      <c r="A567" s="1">
        <v>543</v>
      </c>
      <c r="B567" s="1">
        <v>2.6577042043109704E-3</v>
      </c>
      <c r="C567" s="1">
        <v>1.1953220021015138E-2</v>
      </c>
    </row>
    <row r="568" spans="1:3" x14ac:dyDescent="0.35">
      <c r="A568" s="1">
        <v>544</v>
      </c>
      <c r="B568" s="1">
        <v>5.4137394870489627E-3</v>
      </c>
      <c r="C568" s="1">
        <v>-1.0102153854907397E-2</v>
      </c>
    </row>
    <row r="569" spans="1:3" x14ac:dyDescent="0.35">
      <c r="A569" s="1">
        <v>545</v>
      </c>
      <c r="B569" s="1">
        <v>4.3917136213801698E-4</v>
      </c>
      <c r="C569" s="1">
        <v>1.5038624442298153E-2</v>
      </c>
    </row>
    <row r="570" spans="1:3" x14ac:dyDescent="0.35">
      <c r="A570" s="1">
        <v>546</v>
      </c>
      <c r="B570" s="1">
        <v>-4.7134949835071936E-3</v>
      </c>
      <c r="C570" s="1">
        <v>-1.0851249150781632E-3</v>
      </c>
    </row>
    <row r="571" spans="1:3" x14ac:dyDescent="0.35">
      <c r="A571" s="1">
        <v>547</v>
      </c>
      <c r="B571" s="1">
        <v>6.7329158366241084E-4</v>
      </c>
      <c r="C571" s="1">
        <v>-1.7329460994066801E-4</v>
      </c>
    </row>
    <row r="572" spans="1:3" x14ac:dyDescent="0.35">
      <c r="A572" s="1">
        <v>548</v>
      </c>
      <c r="B572" s="1">
        <v>-5.7213834292617295E-3</v>
      </c>
      <c r="C572" s="1">
        <v>-3.9387482113711651E-3</v>
      </c>
    </row>
    <row r="573" spans="1:3" x14ac:dyDescent="0.35">
      <c r="A573" s="1">
        <v>549</v>
      </c>
      <c r="B573" s="1">
        <v>-4.4403926304831991E-3</v>
      </c>
      <c r="C573" s="1">
        <v>2.3574914084509378E-4</v>
      </c>
    </row>
    <row r="574" spans="1:3" x14ac:dyDescent="0.35">
      <c r="A574" s="1">
        <v>550</v>
      </c>
      <c r="B574" s="1">
        <v>-2.6770852680599289E-4</v>
      </c>
      <c r="C574" s="1">
        <v>1.0401137377149901E-2</v>
      </c>
    </row>
    <row r="575" spans="1:3" x14ac:dyDescent="0.35">
      <c r="A575" s="1">
        <v>551</v>
      </c>
      <c r="B575" s="1">
        <v>5.5195716821100161E-3</v>
      </c>
      <c r="C575" s="1">
        <v>-1.8411317460527818E-3</v>
      </c>
    </row>
    <row r="576" spans="1:3" x14ac:dyDescent="0.35">
      <c r="A576" s="1">
        <v>552</v>
      </c>
      <c r="B576" s="1">
        <v>-2.0280880394893961E-3</v>
      </c>
      <c r="C576" s="1">
        <v>8.6913330210173431E-3</v>
      </c>
    </row>
    <row r="577" spans="1:3" x14ac:dyDescent="0.35">
      <c r="A577" s="1">
        <v>553</v>
      </c>
      <c r="B577" s="1">
        <v>5.8687923480331503E-3</v>
      </c>
      <c r="C577" s="1">
        <v>-3.6601474105158165E-4</v>
      </c>
    </row>
    <row r="578" spans="1:3" x14ac:dyDescent="0.35">
      <c r="A578" s="1">
        <v>554</v>
      </c>
      <c r="B578" s="1">
        <v>-3.3275329648196129E-3</v>
      </c>
      <c r="C578" s="1">
        <v>-1.3160300793608162E-3</v>
      </c>
    </row>
    <row r="579" spans="1:3" x14ac:dyDescent="0.35">
      <c r="A579" s="1">
        <v>555</v>
      </c>
      <c r="B579" s="1">
        <v>3.0876407939048438E-3</v>
      </c>
      <c r="C579" s="1">
        <v>6.5758056213285673E-3</v>
      </c>
    </row>
    <row r="580" spans="1:3" x14ac:dyDescent="0.35">
      <c r="A580" s="1">
        <v>556</v>
      </c>
      <c r="B580" s="1">
        <v>4.395199420877201E-3</v>
      </c>
      <c r="C580" s="1">
        <v>-9.015569948873545E-3</v>
      </c>
    </row>
    <row r="581" spans="1:3" x14ac:dyDescent="0.35">
      <c r="A581" s="1">
        <v>557</v>
      </c>
      <c r="B581" s="1">
        <v>-5.0791104677675013E-3</v>
      </c>
      <c r="C581" s="1">
        <v>6.0282446021452628E-4</v>
      </c>
    </row>
    <row r="582" spans="1:3" x14ac:dyDescent="0.35">
      <c r="A582" s="1">
        <v>558</v>
      </c>
      <c r="B582" s="1">
        <v>1.178366851229402E-3</v>
      </c>
      <c r="C582" s="1">
        <v>-3.3430561360419777E-3</v>
      </c>
    </row>
    <row r="583" spans="1:3" x14ac:dyDescent="0.35">
      <c r="A583" s="1">
        <v>559</v>
      </c>
      <c r="B583" s="1">
        <v>2.0327249249896574E-3</v>
      </c>
      <c r="C583" s="1">
        <v>1.4322400722351362E-2</v>
      </c>
    </row>
    <row r="584" spans="1:3" x14ac:dyDescent="0.35">
      <c r="A584" s="1">
        <v>560</v>
      </c>
      <c r="B584" s="1">
        <v>7.4799106422008676E-4</v>
      </c>
      <c r="C584" s="1">
        <v>6.641138654757189E-3</v>
      </c>
    </row>
    <row r="585" spans="1:3" x14ac:dyDescent="0.35">
      <c r="A585" s="1">
        <v>561</v>
      </c>
      <c r="B585" s="1">
        <v>-2.8832755437226013E-4</v>
      </c>
      <c r="C585" s="1">
        <v>1.4292822988205916E-3</v>
      </c>
    </row>
    <row r="586" spans="1:3" x14ac:dyDescent="0.35">
      <c r="A586" s="1">
        <v>562</v>
      </c>
      <c r="B586" s="1">
        <v>4.7990302949202385E-3</v>
      </c>
      <c r="C586" s="1">
        <v>2.3649070584182749E-3</v>
      </c>
    </row>
    <row r="587" spans="1:3" x14ac:dyDescent="0.35">
      <c r="A587" s="1">
        <v>563</v>
      </c>
      <c r="B587" s="1">
        <v>2.0570055003421594E-3</v>
      </c>
      <c r="C587" s="1">
        <v>-2.2188178847753637E-3</v>
      </c>
    </row>
    <row r="588" spans="1:3" x14ac:dyDescent="0.35">
      <c r="A588" s="1">
        <v>564</v>
      </c>
      <c r="B588" s="1">
        <v>4.8631482911426025E-3</v>
      </c>
      <c r="C588" s="1">
        <v>-1.9528674154787799E-3</v>
      </c>
    </row>
    <row r="589" spans="1:3" x14ac:dyDescent="0.35">
      <c r="A589" s="1">
        <v>565</v>
      </c>
      <c r="B589" s="1">
        <v>1.4082045691639193E-3</v>
      </c>
      <c r="C589" s="1">
        <v>4.5567022275809603E-3</v>
      </c>
    </row>
    <row r="590" spans="1:3" x14ac:dyDescent="0.35">
      <c r="A590" s="1">
        <v>566</v>
      </c>
      <c r="B590" s="1">
        <v>-1.6471546348484961E-3</v>
      </c>
      <c r="C590" s="1">
        <v>-1.3977538479228262E-3</v>
      </c>
    </row>
    <row r="591" spans="1:3" x14ac:dyDescent="0.35">
      <c r="A591" s="1">
        <v>567</v>
      </c>
      <c r="B591" s="1">
        <v>-5.8387140014037149E-4</v>
      </c>
      <c r="C591" s="1">
        <v>1.0067900674720081E-2</v>
      </c>
    </row>
    <row r="592" spans="1:3" x14ac:dyDescent="0.35">
      <c r="A592" s="1">
        <v>568</v>
      </c>
      <c r="B592" s="1">
        <v>1.3696954625599144E-3</v>
      </c>
      <c r="C592" s="1">
        <v>-7.3272774293614042E-4</v>
      </c>
    </row>
    <row r="593" spans="1:3" x14ac:dyDescent="0.35">
      <c r="A593" s="1">
        <v>569</v>
      </c>
      <c r="B593" s="1">
        <v>5.3863849899486011E-4</v>
      </c>
      <c r="C593" s="1">
        <v>-2.9258623155355131E-3</v>
      </c>
    </row>
    <row r="594" spans="1:3" x14ac:dyDescent="0.35">
      <c r="A594" s="1">
        <v>570</v>
      </c>
      <c r="B594" s="1">
        <v>2.0476420242873867E-4</v>
      </c>
      <c r="C594" s="1">
        <v>-1.9592845475088355E-3</v>
      </c>
    </row>
    <row r="595" spans="1:3" x14ac:dyDescent="0.35">
      <c r="A595" s="1">
        <v>571</v>
      </c>
      <c r="B595" s="1">
        <v>-1.1123638606331005E-3</v>
      </c>
      <c r="C595" s="1">
        <v>2.8699679578603789E-3</v>
      </c>
    </row>
    <row r="596" spans="1:3" x14ac:dyDescent="0.35">
      <c r="A596" s="1">
        <v>572</v>
      </c>
      <c r="B596" s="1">
        <v>4.4854514021084695E-3</v>
      </c>
      <c r="C596" s="1">
        <v>2.8524988372681482E-3</v>
      </c>
    </row>
    <row r="597" spans="1:3" x14ac:dyDescent="0.35">
      <c r="A597" s="1">
        <v>573</v>
      </c>
      <c r="B597" s="1">
        <v>-4.4776852961492155E-4</v>
      </c>
      <c r="C597" s="1">
        <v>-1.1357920943436467E-3</v>
      </c>
    </row>
    <row r="598" spans="1:3" x14ac:dyDescent="0.35">
      <c r="A598" s="1">
        <v>574</v>
      </c>
      <c r="B598" s="1">
        <v>1.2818533714184261E-3</v>
      </c>
      <c r="C598" s="1">
        <v>5.2208654969606279E-3</v>
      </c>
    </row>
    <row r="599" spans="1:3" x14ac:dyDescent="0.35">
      <c r="A599" s="1">
        <v>575</v>
      </c>
      <c r="B599" s="1">
        <v>4.9324401867081326E-4</v>
      </c>
      <c r="C599" s="1">
        <v>1.082515812445183E-3</v>
      </c>
    </row>
    <row r="600" spans="1:3" x14ac:dyDescent="0.35">
      <c r="A600" s="1">
        <v>576</v>
      </c>
      <c r="B600" s="1">
        <v>1.9095776544042912E-4</v>
      </c>
      <c r="C600" s="1">
        <v>1.6969660600304895E-3</v>
      </c>
    </row>
    <row r="601" spans="1:3" x14ac:dyDescent="0.35">
      <c r="A601" s="1">
        <v>577</v>
      </c>
      <c r="B601" s="1">
        <v>-1.6972125777696284E-3</v>
      </c>
      <c r="C601" s="1">
        <v>6.0943058014289401E-3</v>
      </c>
    </row>
    <row r="602" spans="1:3" x14ac:dyDescent="0.35">
      <c r="A602" s="1">
        <v>578</v>
      </c>
      <c r="B602" s="1">
        <v>5.0867835379390263E-4</v>
      </c>
      <c r="C602" s="1">
        <v>8.9852262344710938E-4</v>
      </c>
    </row>
    <row r="603" spans="1:3" x14ac:dyDescent="0.35">
      <c r="A603" s="1">
        <v>579</v>
      </c>
      <c r="B603" s="1">
        <v>4.9207241079436703E-4</v>
      </c>
      <c r="C603" s="1">
        <v>-2.0535109653827769E-3</v>
      </c>
    </row>
    <row r="604" spans="1:3" x14ac:dyDescent="0.35">
      <c r="A604" s="1">
        <v>580</v>
      </c>
      <c r="B604" s="1">
        <v>-4.8692066154364319E-3</v>
      </c>
      <c r="C604" s="1">
        <v>3.3055853034635544E-3</v>
      </c>
    </row>
    <row r="605" spans="1:3" x14ac:dyDescent="0.35">
      <c r="A605" s="1">
        <v>581</v>
      </c>
      <c r="B605" s="1">
        <v>-1.0178644877258461E-3</v>
      </c>
      <c r="C605" s="1">
        <v>-3.6807349972721613E-3</v>
      </c>
    </row>
    <row r="606" spans="1:3" x14ac:dyDescent="0.35">
      <c r="A606" s="1">
        <v>582</v>
      </c>
      <c r="B606" s="1">
        <v>6.5136424182250597E-3</v>
      </c>
      <c r="C606" s="1">
        <v>-4.4680425636867025E-3</v>
      </c>
    </row>
    <row r="607" spans="1:3" x14ac:dyDescent="0.35">
      <c r="A607" s="1">
        <v>583</v>
      </c>
      <c r="B607" s="1">
        <v>2.873606809591648E-3</v>
      </c>
      <c r="C607" s="1">
        <v>4.5070609442898462E-3</v>
      </c>
    </row>
    <row r="608" spans="1:3" x14ac:dyDescent="0.35">
      <c r="A608" s="1">
        <v>584</v>
      </c>
      <c r="B608" s="1">
        <v>9.3836741144036497E-5</v>
      </c>
      <c r="C608" s="1">
        <v>2.2447027040870585E-3</v>
      </c>
    </row>
    <row r="609" spans="1:3" x14ac:dyDescent="0.35">
      <c r="A609" s="1">
        <v>585</v>
      </c>
      <c r="B609" s="1">
        <v>-3.5099074788563535E-3</v>
      </c>
      <c r="C609" s="1">
        <v>-1.0003296020877923E-3</v>
      </c>
    </row>
    <row r="610" spans="1:3" x14ac:dyDescent="0.35">
      <c r="A610" s="1">
        <v>586</v>
      </c>
      <c r="B610" s="1">
        <v>-2.0336935777730556E-3</v>
      </c>
      <c r="C610" s="1">
        <v>-3.5904543484746813E-3</v>
      </c>
    </row>
    <row r="611" spans="1:3" x14ac:dyDescent="0.35">
      <c r="A611" s="1">
        <v>587</v>
      </c>
      <c r="B611" s="1">
        <v>-2.1046178855109194E-3</v>
      </c>
      <c r="C611" s="1">
        <v>3.2044091686105136E-3</v>
      </c>
    </row>
    <row r="612" spans="1:3" x14ac:dyDescent="0.35">
      <c r="A612" s="1">
        <v>588</v>
      </c>
      <c r="B612" s="1">
        <v>6.1624757876029852E-3</v>
      </c>
      <c r="C612" s="1">
        <v>-1.4544855528737435E-3</v>
      </c>
    </row>
    <row r="613" spans="1:3" x14ac:dyDescent="0.35">
      <c r="A613" s="1">
        <v>589</v>
      </c>
      <c r="B613" s="1">
        <v>3.6354589090601937E-4</v>
      </c>
      <c r="C613" s="1">
        <v>-1.9254574843143918E-3</v>
      </c>
    </row>
    <row r="614" spans="1:3" x14ac:dyDescent="0.35">
      <c r="A614" s="1">
        <v>590</v>
      </c>
      <c r="B614" s="1">
        <v>-1.2553974324308089E-3</v>
      </c>
      <c r="C614" s="1">
        <v>-7.036299708964429E-3</v>
      </c>
    </row>
    <row r="615" spans="1:3" x14ac:dyDescent="0.35">
      <c r="A615" s="1">
        <v>591</v>
      </c>
      <c r="B615" s="1">
        <v>1.6608231334956961E-3</v>
      </c>
      <c r="C615" s="1">
        <v>7.4452950889364235E-5</v>
      </c>
    </row>
    <row r="616" spans="1:3" x14ac:dyDescent="0.35">
      <c r="A616" s="1">
        <v>592</v>
      </c>
      <c r="B616" s="1">
        <v>-3.2783330675433876E-4</v>
      </c>
      <c r="C616" s="1">
        <v>5.9970868953766977E-3</v>
      </c>
    </row>
    <row r="617" spans="1:3" x14ac:dyDescent="0.35">
      <c r="A617" s="1">
        <v>593</v>
      </c>
      <c r="B617" s="1">
        <v>-2.9137252000594903E-4</v>
      </c>
      <c r="C617" s="1">
        <v>4.2062918120595984E-3</v>
      </c>
    </row>
    <row r="618" spans="1:3" x14ac:dyDescent="0.35">
      <c r="A618" s="1">
        <v>594</v>
      </c>
      <c r="B618" s="1">
        <v>1.1698839162661149E-3</v>
      </c>
      <c r="C618" s="1">
        <v>-3.8216320841379841E-3</v>
      </c>
    </row>
    <row r="619" spans="1:3" x14ac:dyDescent="0.35">
      <c r="A619" s="1">
        <v>595</v>
      </c>
      <c r="B619" s="1">
        <v>-1.8340033715758825E-3</v>
      </c>
      <c r="C619" s="1">
        <v>-9.4264782874252367E-3</v>
      </c>
    </row>
    <row r="620" spans="1:3" x14ac:dyDescent="0.35">
      <c r="A620" s="1">
        <v>596</v>
      </c>
      <c r="B620" s="1">
        <v>4.0440436869611024E-3</v>
      </c>
      <c r="C620" s="1">
        <v>-5.1512498130248403E-3</v>
      </c>
    </row>
    <row r="621" spans="1:3" x14ac:dyDescent="0.35">
      <c r="A621" s="1">
        <v>597</v>
      </c>
      <c r="B621" s="1">
        <v>3.2570932662624387E-3</v>
      </c>
      <c r="C621" s="1">
        <v>-8.7995226465238975E-3</v>
      </c>
    </row>
    <row r="622" spans="1:3" x14ac:dyDescent="0.35">
      <c r="A622" s="1">
        <v>598</v>
      </c>
      <c r="B622" s="1">
        <v>-2.4715036088456856E-4</v>
      </c>
      <c r="C622" s="1">
        <v>7.2485965739392359E-4</v>
      </c>
    </row>
    <row r="623" spans="1:3" x14ac:dyDescent="0.35">
      <c r="A623" s="1">
        <v>599</v>
      </c>
      <c r="B623" s="1">
        <v>2.6795348183648876E-4</v>
      </c>
      <c r="C623" s="1">
        <v>-2.1277126251098982E-2</v>
      </c>
    </row>
    <row r="624" spans="1:3" x14ac:dyDescent="0.35">
      <c r="A624" s="1">
        <v>600</v>
      </c>
      <c r="B624" s="1">
        <v>-3.3927114609769828E-3</v>
      </c>
      <c r="C624" s="1">
        <v>1.6044654151867574E-3</v>
      </c>
    </row>
    <row r="625" spans="1:3" x14ac:dyDescent="0.35">
      <c r="A625" s="1">
        <v>601</v>
      </c>
      <c r="B625" s="1">
        <v>-2.1367512946237049E-3</v>
      </c>
      <c r="C625" s="1">
        <v>-6.3322323827996185E-3</v>
      </c>
    </row>
    <row r="626" spans="1:3" x14ac:dyDescent="0.35">
      <c r="A626" s="1">
        <v>602</v>
      </c>
      <c r="B626" s="1">
        <v>3.0358949038701791E-3</v>
      </c>
      <c r="C626" s="1">
        <v>-1.0756081999126688E-2</v>
      </c>
    </row>
    <row r="627" spans="1:3" x14ac:dyDescent="0.35">
      <c r="A627" s="1">
        <v>603</v>
      </c>
      <c r="B627" s="1">
        <v>4.4167227393746974E-3</v>
      </c>
      <c r="C627" s="1">
        <v>-6.8996987442690302E-3</v>
      </c>
    </row>
    <row r="628" spans="1:3" x14ac:dyDescent="0.35">
      <c r="A628" s="1">
        <v>604</v>
      </c>
      <c r="B628" s="1">
        <v>2.2341201912611856E-4</v>
      </c>
      <c r="C628" s="1">
        <v>-8.1890016509679094E-3</v>
      </c>
    </row>
    <row r="629" spans="1:3" x14ac:dyDescent="0.35">
      <c r="A629" s="1">
        <v>605</v>
      </c>
      <c r="B629" s="1">
        <v>-1.7474313613886291E-3</v>
      </c>
      <c r="C629" s="1">
        <v>-2.5973082758798936E-4</v>
      </c>
    </row>
    <row r="630" spans="1:3" x14ac:dyDescent="0.35">
      <c r="A630" s="1">
        <v>606</v>
      </c>
      <c r="B630" s="1">
        <v>3.3888227865931484E-3</v>
      </c>
      <c r="C630" s="1">
        <v>2.3100488975086628E-3</v>
      </c>
    </row>
    <row r="631" spans="1:3" x14ac:dyDescent="0.35">
      <c r="A631" s="1">
        <v>607</v>
      </c>
      <c r="B631" s="1">
        <v>4.8946426274452132E-3</v>
      </c>
      <c r="C631" s="1">
        <v>1.4438690751921604E-2</v>
      </c>
    </row>
    <row r="632" spans="1:3" x14ac:dyDescent="0.35">
      <c r="A632" s="1">
        <v>608</v>
      </c>
      <c r="B632" s="1">
        <v>-4.2659945506959935E-4</v>
      </c>
      <c r="C632" s="1">
        <v>-6.2772055729363469E-3</v>
      </c>
    </row>
    <row r="633" spans="1:3" x14ac:dyDescent="0.35">
      <c r="A633" s="1">
        <v>609</v>
      </c>
      <c r="B633" s="1">
        <v>9.7545561379403694E-4</v>
      </c>
      <c r="C633" s="1">
        <v>-8.2183345043639888E-3</v>
      </c>
    </row>
    <row r="634" spans="1:3" x14ac:dyDescent="0.35">
      <c r="A634" s="1">
        <v>610</v>
      </c>
      <c r="B634" s="1">
        <v>-1.008476340614252E-3</v>
      </c>
      <c r="C634" s="1">
        <v>-4.8375214552044059E-4</v>
      </c>
    </row>
    <row r="635" spans="1:3" x14ac:dyDescent="0.35">
      <c r="A635" s="1">
        <v>611</v>
      </c>
      <c r="B635" s="1">
        <v>2.2093173264783957E-3</v>
      </c>
      <c r="C635" s="1">
        <v>2.8149280600868899E-4</v>
      </c>
    </row>
    <row r="636" spans="1:3" x14ac:dyDescent="0.35">
      <c r="A636" s="1">
        <v>612</v>
      </c>
      <c r="B636" s="1">
        <v>5.8746745956498399E-4</v>
      </c>
      <c r="C636" s="1">
        <v>1.0690840720338573E-3</v>
      </c>
    </row>
    <row r="637" spans="1:3" x14ac:dyDescent="0.35">
      <c r="A637" s="1">
        <v>613</v>
      </c>
      <c r="B637" s="1">
        <v>3.2172275046732485E-3</v>
      </c>
      <c r="C637" s="1">
        <v>-7.5167410765084389E-3</v>
      </c>
    </row>
    <row r="638" spans="1:3" x14ac:dyDescent="0.35">
      <c r="A638" s="1">
        <v>614</v>
      </c>
      <c r="B638" s="1">
        <v>2.4486564718199854E-3</v>
      </c>
      <c r="C638" s="1">
        <v>1.5372733870720615E-3</v>
      </c>
    </row>
    <row r="639" spans="1:3" x14ac:dyDescent="0.35">
      <c r="A639" s="1">
        <v>615</v>
      </c>
      <c r="B639" s="1">
        <v>4.8172673975573684E-4</v>
      </c>
      <c r="C639" s="1">
        <v>6.300747801118986E-3</v>
      </c>
    </row>
    <row r="640" spans="1:3" x14ac:dyDescent="0.35">
      <c r="A640" s="1">
        <v>616</v>
      </c>
      <c r="B640" s="1">
        <v>4.1364874960163802E-3</v>
      </c>
      <c r="C640" s="1">
        <v>9.6052961787915555E-3</v>
      </c>
    </row>
    <row r="641" spans="1:3" x14ac:dyDescent="0.35">
      <c r="A641" s="1">
        <v>617</v>
      </c>
      <c r="B641" s="1">
        <v>-9.6330463579313906E-4</v>
      </c>
      <c r="C641" s="1">
        <v>8.1492140537679225E-3</v>
      </c>
    </row>
    <row r="642" spans="1:3" x14ac:dyDescent="0.35">
      <c r="A642" s="1">
        <v>618</v>
      </c>
      <c r="B642" s="1">
        <v>-1.3054908807883263E-3</v>
      </c>
      <c r="C642" s="1">
        <v>-5.3426968926455019E-3</v>
      </c>
    </row>
    <row r="643" spans="1:3" x14ac:dyDescent="0.35">
      <c r="A643" s="1">
        <v>619</v>
      </c>
      <c r="B643" s="1">
        <v>-1.4696436248282411E-3</v>
      </c>
      <c r="C643" s="1">
        <v>4.2446581043173726E-3</v>
      </c>
    </row>
    <row r="644" spans="1:3" x14ac:dyDescent="0.35">
      <c r="A644" s="1">
        <v>620</v>
      </c>
      <c r="B644" s="1">
        <v>1.412050258694443E-3</v>
      </c>
      <c r="C644" s="1">
        <v>5.4249621787166077E-3</v>
      </c>
    </row>
    <row r="645" spans="1:3" x14ac:dyDescent="0.35">
      <c r="A645" s="1">
        <v>621</v>
      </c>
      <c r="B645" s="1">
        <v>-2.2462162188251122E-3</v>
      </c>
      <c r="C645" s="1">
        <v>-8.262986255554116E-3</v>
      </c>
    </row>
    <row r="646" spans="1:3" x14ac:dyDescent="0.35">
      <c r="A646" s="1">
        <v>622</v>
      </c>
      <c r="B646" s="1">
        <v>-1.2256081126177138E-3</v>
      </c>
      <c r="C646" s="1">
        <v>1.5523332843426427E-3</v>
      </c>
    </row>
    <row r="647" spans="1:3" x14ac:dyDescent="0.35">
      <c r="A647" s="1">
        <v>623</v>
      </c>
      <c r="B647" s="1">
        <v>3.9040870574662801E-3</v>
      </c>
      <c r="C647" s="1">
        <v>-6.0276107595010047E-3</v>
      </c>
    </row>
    <row r="648" spans="1:3" x14ac:dyDescent="0.35">
      <c r="A648" s="1">
        <v>624</v>
      </c>
      <c r="B648" s="1">
        <v>1.0414257430595305E-4</v>
      </c>
      <c r="C648" s="1">
        <v>-9.4346306200946278E-3</v>
      </c>
    </row>
    <row r="649" spans="1:3" x14ac:dyDescent="0.35">
      <c r="A649" s="1">
        <v>625</v>
      </c>
      <c r="B649" s="1">
        <v>1.6574701998794475E-3</v>
      </c>
      <c r="C649" s="1">
        <v>-9.9192114459912915E-3</v>
      </c>
    </row>
    <row r="650" spans="1:3" x14ac:dyDescent="0.35">
      <c r="A650" s="1">
        <v>626</v>
      </c>
      <c r="B650" s="1">
        <v>4.1657247830987464E-3</v>
      </c>
      <c r="C650" s="1">
        <v>-8.3355309706303025E-4</v>
      </c>
    </row>
    <row r="651" spans="1:3" x14ac:dyDescent="0.35">
      <c r="A651" s="1">
        <v>627</v>
      </c>
      <c r="B651" s="1">
        <v>5.9474511696263135E-4</v>
      </c>
      <c r="C651" s="1">
        <v>5.3833807896579555E-3</v>
      </c>
    </row>
    <row r="652" spans="1:3" x14ac:dyDescent="0.35">
      <c r="A652" s="1">
        <v>628</v>
      </c>
      <c r="B652" s="1">
        <v>-4.1525326081384771E-4</v>
      </c>
      <c r="C652" s="1">
        <v>7.8434696913575186E-3</v>
      </c>
    </row>
    <row r="653" spans="1:3" x14ac:dyDescent="0.35">
      <c r="A653" s="1">
        <v>629</v>
      </c>
      <c r="B653" s="1">
        <v>-2.3310646672408176E-3</v>
      </c>
      <c r="C653" s="1">
        <v>-5.3700828917358449E-3</v>
      </c>
    </row>
    <row r="654" spans="1:3" x14ac:dyDescent="0.35">
      <c r="A654" s="1">
        <v>630</v>
      </c>
      <c r="B654" s="1">
        <v>-7.0380043257933724E-4</v>
      </c>
      <c r="C654" s="1">
        <v>-1.2506241081047149E-2</v>
      </c>
    </row>
    <row r="655" spans="1:3" x14ac:dyDescent="0.35">
      <c r="A655" s="1">
        <v>631</v>
      </c>
      <c r="B655" s="1">
        <v>9.9190702000106199E-4</v>
      </c>
      <c r="C655" s="1">
        <v>-8.5219812866051924E-3</v>
      </c>
    </row>
    <row r="656" spans="1:3" x14ac:dyDescent="0.35">
      <c r="A656" s="1">
        <v>632</v>
      </c>
      <c r="B656" s="1">
        <v>2.3874326698409077E-3</v>
      </c>
      <c r="C656" s="1">
        <v>1.1532313419285833E-3</v>
      </c>
    </row>
    <row r="657" spans="1:3" x14ac:dyDescent="0.35">
      <c r="A657" s="1">
        <v>633</v>
      </c>
      <c r="B657" s="1">
        <v>2.6026961591160448E-3</v>
      </c>
      <c r="C657" s="1">
        <v>2.7736349275440135E-3</v>
      </c>
    </row>
    <row r="658" spans="1:3" x14ac:dyDescent="0.35">
      <c r="A658" s="1">
        <v>634</v>
      </c>
      <c r="B658" s="1">
        <v>2.9434125941037179E-3</v>
      </c>
      <c r="C658" s="1">
        <v>5.579253383602348E-3</v>
      </c>
    </row>
    <row r="659" spans="1:3" x14ac:dyDescent="0.35">
      <c r="A659" s="1">
        <v>635</v>
      </c>
      <c r="B659" s="1">
        <v>-1.1154184856763724E-4</v>
      </c>
      <c r="C659" s="1">
        <v>9.2251804683102841E-3</v>
      </c>
    </row>
    <row r="660" spans="1:3" x14ac:dyDescent="0.35">
      <c r="A660" s="1">
        <v>636</v>
      </c>
      <c r="B660" s="1">
        <v>1.4585713404314793E-3</v>
      </c>
      <c r="C660" s="1">
        <v>-2.9363136860925268E-3</v>
      </c>
    </row>
    <row r="661" spans="1:3" x14ac:dyDescent="0.35">
      <c r="A661" s="1">
        <v>637</v>
      </c>
      <c r="B661" s="1">
        <v>2.5081126357194062E-3</v>
      </c>
      <c r="C661" s="1">
        <v>-6.4549063138167467E-3</v>
      </c>
    </row>
    <row r="662" spans="1:3" x14ac:dyDescent="0.35">
      <c r="A662" s="1">
        <v>638</v>
      </c>
      <c r="B662" s="1">
        <v>9.7674717451643432E-4</v>
      </c>
      <c r="C662" s="1">
        <v>1.6688696435322788E-2</v>
      </c>
    </row>
    <row r="663" spans="1:3" x14ac:dyDescent="0.35">
      <c r="A663" s="1">
        <v>639</v>
      </c>
      <c r="B663" s="1">
        <v>-1.9560182922952942E-3</v>
      </c>
      <c r="C663" s="1">
        <v>1.4123389589233643E-2</v>
      </c>
    </row>
    <row r="664" spans="1:3" x14ac:dyDescent="0.35">
      <c r="A664" s="1">
        <v>640</v>
      </c>
      <c r="B664" s="1">
        <v>3.223498782059383E-4</v>
      </c>
      <c r="C664" s="1">
        <v>4.7911430808960157E-4</v>
      </c>
    </row>
    <row r="665" spans="1:3" x14ac:dyDescent="0.35">
      <c r="A665" s="1">
        <v>641</v>
      </c>
      <c r="B665" s="1">
        <v>1.5160925401683572E-3</v>
      </c>
      <c r="C665" s="1">
        <v>-1.1955923834412211E-3</v>
      </c>
    </row>
    <row r="666" spans="1:3" x14ac:dyDescent="0.35">
      <c r="A666" s="1">
        <v>642</v>
      </c>
      <c r="B666" s="1">
        <v>1.1237144431660289E-3</v>
      </c>
      <c r="C666" s="1">
        <v>-4.4859458683593183E-3</v>
      </c>
    </row>
    <row r="667" spans="1:3" x14ac:dyDescent="0.35">
      <c r="A667" s="1">
        <v>643</v>
      </c>
      <c r="B667" s="1">
        <v>1.6805594641288558E-4</v>
      </c>
      <c r="C667" s="1">
        <v>1.2683350047457702E-2</v>
      </c>
    </row>
    <row r="668" spans="1:3" x14ac:dyDescent="0.35">
      <c r="A668" s="1">
        <v>644</v>
      </c>
      <c r="B668" s="1">
        <v>-1.8491204492171798E-3</v>
      </c>
      <c r="C668" s="1">
        <v>-7.8258527280280279E-3</v>
      </c>
    </row>
    <row r="669" spans="1:3" x14ac:dyDescent="0.35">
      <c r="A669" s="1">
        <v>645</v>
      </c>
      <c r="B669" s="1">
        <v>3.3963484067817537E-3</v>
      </c>
      <c r="C669" s="1">
        <v>-2.7556773517598224E-3</v>
      </c>
    </row>
    <row r="670" spans="1:3" x14ac:dyDescent="0.35">
      <c r="A670" s="1">
        <v>646</v>
      </c>
      <c r="B670" s="1">
        <v>6.9064045353522333E-4</v>
      </c>
      <c r="C670" s="1">
        <v>-9.4934539949497743E-3</v>
      </c>
    </row>
    <row r="671" spans="1:3" x14ac:dyDescent="0.35">
      <c r="A671" s="1">
        <v>647</v>
      </c>
      <c r="B671" s="1">
        <v>-6.3944460218910617E-4</v>
      </c>
      <c r="C671" s="1">
        <v>-1.9442106478776756E-3</v>
      </c>
    </row>
    <row r="672" spans="1:3" x14ac:dyDescent="0.35">
      <c r="A672" s="1">
        <v>648</v>
      </c>
      <c r="B672" s="1">
        <v>-4.2349186407280009E-3</v>
      </c>
      <c r="C672" s="1">
        <v>7.3109317097558094E-3</v>
      </c>
    </row>
    <row r="673" spans="1:3" x14ac:dyDescent="0.35">
      <c r="A673" s="1">
        <v>649</v>
      </c>
      <c r="B673" s="1">
        <v>-6.017622186317267E-4</v>
      </c>
      <c r="C673" s="1">
        <v>-4.5629136705151226E-3</v>
      </c>
    </row>
    <row r="674" spans="1:3" x14ac:dyDescent="0.35">
      <c r="A674" s="1">
        <v>650</v>
      </c>
      <c r="B674" s="1">
        <v>-1.4872735909106382E-3</v>
      </c>
      <c r="C674" s="1">
        <v>-1.3600301504594514E-2</v>
      </c>
    </row>
    <row r="675" spans="1:3" x14ac:dyDescent="0.35">
      <c r="A675" s="1">
        <v>651</v>
      </c>
      <c r="B675" s="1">
        <v>3.1216471816869285E-3</v>
      </c>
      <c r="C675" s="1">
        <v>4.7848754370267308E-3</v>
      </c>
    </row>
    <row r="676" spans="1:3" x14ac:dyDescent="0.35">
      <c r="A676" s="1">
        <v>652</v>
      </c>
      <c r="B676" s="1">
        <v>-1.1391981615760669E-3</v>
      </c>
      <c r="C676" s="1">
        <v>-3.2732868358747742E-3</v>
      </c>
    </row>
    <row r="677" spans="1:3" x14ac:dyDescent="0.35">
      <c r="A677" s="1">
        <v>653</v>
      </c>
      <c r="B677" s="1">
        <v>-2.0467007805132975E-3</v>
      </c>
      <c r="C677" s="1">
        <v>4.3447612790077621E-3</v>
      </c>
    </row>
    <row r="678" spans="1:3" x14ac:dyDescent="0.35">
      <c r="A678" s="1">
        <v>654</v>
      </c>
      <c r="B678" s="1">
        <v>2.9873901791128629E-4</v>
      </c>
      <c r="C678" s="1">
        <v>-2.5915305427711881E-3</v>
      </c>
    </row>
    <row r="679" spans="1:3" x14ac:dyDescent="0.35">
      <c r="A679" s="1">
        <v>655</v>
      </c>
      <c r="B679" s="1">
        <v>-1.2611273489077185E-4</v>
      </c>
      <c r="C679" s="1">
        <v>4.2297921964880312E-3</v>
      </c>
    </row>
    <row r="680" spans="1:3" x14ac:dyDescent="0.35">
      <c r="A680" s="1">
        <v>656</v>
      </c>
      <c r="B680" s="1">
        <v>2.0683334739389101E-3</v>
      </c>
      <c r="C680" s="1">
        <v>-6.8091468708236695E-3</v>
      </c>
    </row>
    <row r="681" spans="1:3" x14ac:dyDescent="0.35">
      <c r="A681" s="1">
        <v>657</v>
      </c>
      <c r="B681" s="1">
        <v>-3.4985322273899042E-3</v>
      </c>
      <c r="C681" s="1">
        <v>-3.2361264747090288E-3</v>
      </c>
    </row>
    <row r="682" spans="1:3" x14ac:dyDescent="0.35">
      <c r="A682" s="1">
        <v>658</v>
      </c>
      <c r="B682" s="1">
        <v>-2.2129419996111655E-3</v>
      </c>
      <c r="C682" s="1">
        <v>2.3783787250281092E-3</v>
      </c>
    </row>
    <row r="683" spans="1:3" x14ac:dyDescent="0.35">
      <c r="A683" s="1">
        <v>659</v>
      </c>
      <c r="B683" s="1">
        <v>-2.2636247004875387E-3</v>
      </c>
      <c r="C683" s="1">
        <v>4.4131305595690607E-3</v>
      </c>
    </row>
    <row r="684" spans="1:3" x14ac:dyDescent="0.35">
      <c r="A684" s="1">
        <v>660</v>
      </c>
      <c r="B684" s="1">
        <v>1.7022207631921024E-4</v>
      </c>
      <c r="C684" s="1">
        <v>5.4393269108677931E-3</v>
      </c>
    </row>
    <row r="685" spans="1:3" x14ac:dyDescent="0.35">
      <c r="A685" s="1">
        <v>661</v>
      </c>
      <c r="B685" s="1">
        <v>2.4315063075542724E-3</v>
      </c>
      <c r="C685" s="1">
        <v>-1.0963026383392308E-2</v>
      </c>
    </row>
    <row r="686" spans="1:3" x14ac:dyDescent="0.35">
      <c r="A686" s="1">
        <v>662</v>
      </c>
      <c r="B686" s="1">
        <v>-6.7560349019462208E-4</v>
      </c>
      <c r="C686" s="1">
        <v>-5.4472251360597555E-3</v>
      </c>
    </row>
    <row r="687" spans="1:3" x14ac:dyDescent="0.35">
      <c r="A687" s="1">
        <v>663</v>
      </c>
      <c r="B687" s="1">
        <v>3.7718524170082322E-3</v>
      </c>
      <c r="C687" s="1">
        <v>-2.7540254045744931E-4</v>
      </c>
    </row>
    <row r="688" spans="1:3" x14ac:dyDescent="0.35">
      <c r="A688" s="1">
        <v>664</v>
      </c>
      <c r="B688" s="1">
        <v>-4.1121464154253292E-3</v>
      </c>
      <c r="C688" s="1">
        <v>1.4573983371203706E-3</v>
      </c>
    </row>
    <row r="689" spans="1:3" x14ac:dyDescent="0.35">
      <c r="A689" s="1">
        <v>665</v>
      </c>
      <c r="B689" s="1">
        <v>2.3796315677059609E-3</v>
      </c>
      <c r="C689" s="1">
        <v>2.2786293568801959E-3</v>
      </c>
    </row>
    <row r="690" spans="1:3" x14ac:dyDescent="0.35">
      <c r="A690" s="1">
        <v>666</v>
      </c>
      <c r="B690" s="1">
        <v>2.2337636524235381E-3</v>
      </c>
      <c r="C690" s="1">
        <v>5.8116054554746078E-4</v>
      </c>
    </row>
    <row r="691" spans="1:3" x14ac:dyDescent="0.35">
      <c r="A691" s="1">
        <v>667</v>
      </c>
      <c r="B691" s="1">
        <v>4.8862391334996641E-3</v>
      </c>
      <c r="C691" s="1">
        <v>-5.8769090744709655E-3</v>
      </c>
    </row>
    <row r="692" spans="1:3" x14ac:dyDescent="0.35">
      <c r="A692" s="1">
        <v>668</v>
      </c>
      <c r="B692" s="1">
        <v>1.4514281586675915E-3</v>
      </c>
      <c r="C692" s="1">
        <v>-1.9473562741699304E-3</v>
      </c>
    </row>
    <row r="693" spans="1:3" x14ac:dyDescent="0.35">
      <c r="A693" s="1">
        <v>669</v>
      </c>
      <c r="B693" s="1">
        <v>-2.9575799230230717E-4</v>
      </c>
      <c r="C693" s="1">
        <v>-1.028797661971884E-2</v>
      </c>
    </row>
    <row r="694" spans="1:3" x14ac:dyDescent="0.35">
      <c r="A694" s="1">
        <v>670</v>
      </c>
      <c r="B694" s="1">
        <v>7.9695468747022159E-4</v>
      </c>
      <c r="C694" s="1">
        <v>-9.4882509314971816E-3</v>
      </c>
    </row>
    <row r="695" spans="1:3" x14ac:dyDescent="0.35">
      <c r="A695" s="1">
        <v>671</v>
      </c>
      <c r="B695" s="1">
        <v>-1.1314421129954939E-3</v>
      </c>
      <c r="C695" s="1">
        <v>-7.1302459016237925E-3</v>
      </c>
    </row>
    <row r="696" spans="1:3" x14ac:dyDescent="0.35">
      <c r="A696" s="1">
        <v>672</v>
      </c>
      <c r="B696" s="1">
        <v>-2.0251008250874404E-3</v>
      </c>
      <c r="C696" s="1">
        <v>1.3450005289943751E-3</v>
      </c>
    </row>
    <row r="697" spans="1:3" x14ac:dyDescent="0.35">
      <c r="A697" s="1">
        <v>673</v>
      </c>
      <c r="B697" s="1">
        <v>-8.151819554871486E-4</v>
      </c>
      <c r="C697" s="1">
        <v>-6.8402965393761193E-3</v>
      </c>
    </row>
    <row r="698" spans="1:3" x14ac:dyDescent="0.35">
      <c r="A698" s="1">
        <v>674</v>
      </c>
      <c r="B698" s="1">
        <v>6.7709748804161644E-4</v>
      </c>
      <c r="C698" s="1">
        <v>-6.7709748804161644E-4</v>
      </c>
    </row>
    <row r="699" spans="1:3" x14ac:dyDescent="0.35">
      <c r="A699" s="1">
        <v>675</v>
      </c>
      <c r="B699" s="1">
        <v>2.3813971352667478E-3</v>
      </c>
      <c r="C699" s="1">
        <v>7.0476380277370767E-3</v>
      </c>
    </row>
    <row r="700" spans="1:3" x14ac:dyDescent="0.35">
      <c r="A700" s="1">
        <v>676</v>
      </c>
      <c r="B700" s="1">
        <v>-1.6146292400389633E-3</v>
      </c>
      <c r="C700" s="1">
        <v>-8.2360422341323375E-3</v>
      </c>
    </row>
    <row r="701" spans="1:3" x14ac:dyDescent="0.35">
      <c r="A701" s="1">
        <v>677</v>
      </c>
      <c r="B701" s="1">
        <v>6.1757531425802551E-4</v>
      </c>
      <c r="C701" s="1">
        <v>1.7839013717421397E-3</v>
      </c>
    </row>
    <row r="702" spans="1:3" x14ac:dyDescent="0.35">
      <c r="A702" s="1">
        <v>678</v>
      </c>
      <c r="B702" s="1">
        <v>2.9304668179041698E-3</v>
      </c>
      <c r="C702" s="1">
        <v>5.3482526992418237E-3</v>
      </c>
    </row>
    <row r="703" spans="1:3" x14ac:dyDescent="0.35">
      <c r="A703" s="1">
        <v>679</v>
      </c>
      <c r="B703" s="1">
        <v>-3.694387691760673E-3</v>
      </c>
      <c r="C703" s="1">
        <v>-5.20063264599613E-3</v>
      </c>
    </row>
    <row r="704" spans="1:3" x14ac:dyDescent="0.35">
      <c r="A704" s="1">
        <v>680</v>
      </c>
      <c r="B704" s="1">
        <v>4.5015008462222038E-4</v>
      </c>
      <c r="C704" s="1">
        <v>5.7631763769335417E-3</v>
      </c>
    </row>
    <row r="705" spans="1:3" x14ac:dyDescent="0.35">
      <c r="A705" s="1">
        <v>681</v>
      </c>
      <c r="B705" s="1">
        <v>-4.7403598546050219E-4</v>
      </c>
      <c r="C705" s="1">
        <v>-1.5842138493325528E-3</v>
      </c>
    </row>
    <row r="706" spans="1:3" x14ac:dyDescent="0.35">
      <c r="A706" s="1">
        <v>682</v>
      </c>
      <c r="B706" s="1">
        <v>-2.8047842310623358E-3</v>
      </c>
      <c r="C706" s="1">
        <v>7.2736284969502924E-3</v>
      </c>
    </row>
    <row r="707" spans="1:3" x14ac:dyDescent="0.35">
      <c r="A707" s="1">
        <v>683</v>
      </c>
      <c r="B707" s="1">
        <v>-5.0590682598252151E-3</v>
      </c>
      <c r="C707" s="1">
        <v>-1.0341277987766217E-2</v>
      </c>
    </row>
    <row r="708" spans="1:3" x14ac:dyDescent="0.35">
      <c r="A708" s="1">
        <v>684</v>
      </c>
      <c r="B708" s="1">
        <v>-5.2055830026408038E-4</v>
      </c>
      <c r="C708" s="1">
        <v>1.5632405665399651E-3</v>
      </c>
    </row>
    <row r="709" spans="1:3" x14ac:dyDescent="0.35">
      <c r="A709" s="1">
        <v>685</v>
      </c>
      <c r="B709" s="1">
        <v>1.5125245674898146E-3</v>
      </c>
      <c r="C709" s="1">
        <v>-1.1929265746022752E-2</v>
      </c>
    </row>
    <row r="710" spans="1:3" x14ac:dyDescent="0.35">
      <c r="A710" s="1">
        <v>686</v>
      </c>
      <c r="B710" s="1">
        <v>-4.5228900622549719E-3</v>
      </c>
      <c r="C710" s="1">
        <v>-3.7226798011507703E-3</v>
      </c>
    </row>
    <row r="711" spans="1:3" x14ac:dyDescent="0.35">
      <c r="A711" s="1">
        <v>687</v>
      </c>
      <c r="B711" s="1">
        <v>2.9185347944804226E-4</v>
      </c>
      <c r="C711" s="1">
        <v>-1.0551872291080967E-2</v>
      </c>
    </row>
    <row r="712" spans="1:3" x14ac:dyDescent="0.35">
      <c r="A712" s="1">
        <v>688</v>
      </c>
      <c r="B712" s="1">
        <v>2.1142477812436844E-3</v>
      </c>
      <c r="C712" s="1">
        <v>-4.6163613114470654E-3</v>
      </c>
    </row>
    <row r="713" spans="1:3" x14ac:dyDescent="0.35">
      <c r="A713" s="1">
        <v>689</v>
      </c>
      <c r="B713" s="1">
        <v>-6.537609794429255E-4</v>
      </c>
      <c r="C713" s="1">
        <v>3.699688992303731E-3</v>
      </c>
    </row>
    <row r="714" spans="1:3" x14ac:dyDescent="0.35">
      <c r="A714" s="1">
        <v>690</v>
      </c>
      <c r="B714" s="1">
        <v>2.4360689239339144E-4</v>
      </c>
      <c r="C714" s="1">
        <v>-9.1753229083348757E-3</v>
      </c>
    </row>
    <row r="715" spans="1:3" x14ac:dyDescent="0.35">
      <c r="A715" s="1">
        <v>691</v>
      </c>
      <c r="B715" s="1">
        <v>-4.2042005733681454E-3</v>
      </c>
      <c r="C715" s="1">
        <v>-6.6105108753798545E-3</v>
      </c>
    </row>
    <row r="716" spans="1:3" x14ac:dyDescent="0.35">
      <c r="A716" s="1">
        <v>692</v>
      </c>
      <c r="B716" s="1">
        <v>2.8274513663283547E-3</v>
      </c>
      <c r="C716" s="1">
        <v>8.7976690032339887E-5</v>
      </c>
    </row>
    <row r="717" spans="1:3" x14ac:dyDescent="0.35">
      <c r="A717" s="1">
        <v>693</v>
      </c>
      <c r="B717" s="1">
        <v>-2.015129448328694E-4</v>
      </c>
      <c r="C717" s="1">
        <v>-4.812701684889726E-2</v>
      </c>
    </row>
    <row r="718" spans="1:3" x14ac:dyDescent="0.35">
      <c r="A718" s="1">
        <v>694</v>
      </c>
      <c r="B718" s="1">
        <v>4.0196105954825173E-3</v>
      </c>
      <c r="C718" s="1">
        <v>1.0489723809703021E-2</v>
      </c>
    </row>
    <row r="719" spans="1:3" x14ac:dyDescent="0.35">
      <c r="A719" s="1">
        <v>695</v>
      </c>
      <c r="B719" s="1">
        <v>2.2463876522209035E-3</v>
      </c>
      <c r="C719" s="1">
        <v>-7.1389978785446877E-3</v>
      </c>
    </row>
    <row r="720" spans="1:3" x14ac:dyDescent="0.35">
      <c r="A720" s="1">
        <v>696</v>
      </c>
      <c r="B720" s="1">
        <v>1.893784390488652E-3</v>
      </c>
      <c r="C720" s="1">
        <v>1.9853548542358913E-2</v>
      </c>
    </row>
    <row r="721" spans="1:3" x14ac:dyDescent="0.35">
      <c r="A721" s="1">
        <v>697</v>
      </c>
      <c r="B721" s="1">
        <v>1.5993810812215893E-3</v>
      </c>
      <c r="C721" s="1">
        <v>-7.5220436103369277E-3</v>
      </c>
    </row>
    <row r="722" spans="1:3" x14ac:dyDescent="0.35">
      <c r="A722" s="1">
        <v>698</v>
      </c>
      <c r="B722" s="1">
        <v>-1.7917728803374122E-3</v>
      </c>
      <c r="C722" s="1">
        <v>-1.4964736845733127E-2</v>
      </c>
    </row>
    <row r="723" spans="1:3" x14ac:dyDescent="0.35">
      <c r="A723" s="1">
        <v>699</v>
      </c>
      <c r="B723" s="1">
        <v>-1.3967901818670325E-3</v>
      </c>
      <c r="C723" s="1">
        <v>2.9114490719236007E-3</v>
      </c>
    </row>
    <row r="724" spans="1:3" x14ac:dyDescent="0.35">
      <c r="A724" s="1">
        <v>700</v>
      </c>
      <c r="B724" s="1">
        <v>3.626896882941111E-3</v>
      </c>
      <c r="C724" s="1">
        <v>6.5830537252190768E-3</v>
      </c>
    </row>
    <row r="725" spans="1:3" x14ac:dyDescent="0.35">
      <c r="A725" s="1">
        <v>701</v>
      </c>
      <c r="B725" s="1">
        <v>1.8645851257905729E-4</v>
      </c>
      <c r="C725" s="1">
        <v>1.1791809045965135E-2</v>
      </c>
    </row>
    <row r="726" spans="1:3" x14ac:dyDescent="0.35">
      <c r="A726" s="1">
        <v>702</v>
      </c>
      <c r="B726" s="1">
        <v>-4.0934347828079131E-3</v>
      </c>
      <c r="C726" s="1">
        <v>3.7235186307198395E-3</v>
      </c>
    </row>
    <row r="727" spans="1:3" x14ac:dyDescent="0.35">
      <c r="A727" s="1">
        <v>703</v>
      </c>
      <c r="B727" s="1">
        <v>-2.5113578071751896E-3</v>
      </c>
      <c r="C727" s="1">
        <v>8.0617760433414429E-3</v>
      </c>
    </row>
    <row r="728" spans="1:3" x14ac:dyDescent="0.35">
      <c r="A728" s="1">
        <v>704</v>
      </c>
      <c r="B728" s="1">
        <v>-3.8313508117323231E-3</v>
      </c>
      <c r="C728" s="1">
        <v>7.8791652966469661E-3</v>
      </c>
    </row>
    <row r="729" spans="1:3" x14ac:dyDescent="0.35">
      <c r="A729" s="1">
        <v>705</v>
      </c>
      <c r="B729" s="1">
        <v>-3.2427650707727565E-4</v>
      </c>
      <c r="C729" s="1">
        <v>-8.6549945822872454E-3</v>
      </c>
    </row>
    <row r="730" spans="1:3" x14ac:dyDescent="0.35">
      <c r="A730" s="1">
        <v>706</v>
      </c>
      <c r="B730" s="1">
        <v>2.5558992809588577E-3</v>
      </c>
      <c r="C730" s="1">
        <v>2.6290189286680428E-2</v>
      </c>
    </row>
    <row r="731" spans="1:3" x14ac:dyDescent="0.35">
      <c r="A731" s="1">
        <v>707</v>
      </c>
      <c r="B731" s="1">
        <v>-4.3958259509584976E-3</v>
      </c>
      <c r="C731" s="1">
        <v>1.3022716666720478E-2</v>
      </c>
    </row>
    <row r="732" spans="1:3" x14ac:dyDescent="0.35">
      <c r="A732" s="1">
        <v>708</v>
      </c>
      <c r="B732" s="1">
        <v>-3.5891427577876005E-3</v>
      </c>
      <c r="C732" s="1">
        <v>-2.4691363123825892E-3</v>
      </c>
    </row>
    <row r="733" spans="1:3" x14ac:dyDescent="0.35">
      <c r="A733" s="1">
        <v>709</v>
      </c>
      <c r="B733" s="1">
        <v>-1.3264606539115785E-3</v>
      </c>
      <c r="C733" s="1">
        <v>-8.3545771816610683E-3</v>
      </c>
    </row>
    <row r="734" spans="1:3" x14ac:dyDescent="0.35">
      <c r="A734" s="1">
        <v>710</v>
      </c>
      <c r="B734" s="1">
        <v>4.0823950533821337E-3</v>
      </c>
      <c r="C734" s="1">
        <v>1.239130439334055E-2</v>
      </c>
    </row>
    <row r="735" spans="1:3" x14ac:dyDescent="0.35">
      <c r="A735" s="1">
        <v>711</v>
      </c>
      <c r="B735" s="1">
        <v>2.3014415386981208E-3</v>
      </c>
      <c r="C735" s="1">
        <v>3.7535998137698209E-3</v>
      </c>
    </row>
    <row r="736" spans="1:3" x14ac:dyDescent="0.35">
      <c r="A736" s="1">
        <v>712</v>
      </c>
      <c r="B736" s="1">
        <v>3.5984630562859287E-3</v>
      </c>
      <c r="C736" s="1">
        <v>-4.4834554910622897E-3</v>
      </c>
    </row>
    <row r="737" spans="1:3" x14ac:dyDescent="0.35">
      <c r="A737" s="1">
        <v>713</v>
      </c>
      <c r="B737" s="1">
        <v>6.2859684997036841E-3</v>
      </c>
      <c r="C737" s="1">
        <v>5.2307140550418001E-3</v>
      </c>
    </row>
    <row r="738" spans="1:3" x14ac:dyDescent="0.35">
      <c r="A738" s="1">
        <v>714</v>
      </c>
      <c r="B738" s="1">
        <v>3.2405811849467595E-3</v>
      </c>
      <c r="C738" s="1">
        <v>-9.371277626402677E-3</v>
      </c>
    </row>
    <row r="739" spans="1:3" x14ac:dyDescent="0.35">
      <c r="A739" s="1">
        <v>715</v>
      </c>
      <c r="B739" s="1">
        <v>7.8210966875926565E-4</v>
      </c>
      <c r="C739" s="1">
        <v>3.2714932826253332E-3</v>
      </c>
    </row>
    <row r="740" spans="1:3" x14ac:dyDescent="0.35">
      <c r="A740" s="1">
        <v>716</v>
      </c>
      <c r="B740" s="1">
        <v>1.131901831808331E-3</v>
      </c>
      <c r="C740" s="1">
        <v>2.5541782232297071E-3</v>
      </c>
    </row>
    <row r="741" spans="1:3" x14ac:dyDescent="0.35">
      <c r="A741" s="1">
        <v>717</v>
      </c>
      <c r="B741" s="1">
        <v>5.4140971671006745E-4</v>
      </c>
      <c r="C741" s="1">
        <v>-2.1153158498062033E-3</v>
      </c>
    </row>
    <row r="742" spans="1:3" x14ac:dyDescent="0.35">
      <c r="A742" s="1">
        <v>718</v>
      </c>
      <c r="B742" s="1">
        <v>-2.3829732908998385E-3</v>
      </c>
      <c r="C742" s="1">
        <v>-5.1490435686761555E-3</v>
      </c>
    </row>
    <row r="743" spans="1:3" x14ac:dyDescent="0.35">
      <c r="A743" s="1">
        <v>719</v>
      </c>
      <c r="B743" s="1">
        <v>5.2427904656953597E-3</v>
      </c>
      <c r="C743" s="1">
        <v>-4.183841998355778E-3</v>
      </c>
    </row>
    <row r="744" spans="1:3" x14ac:dyDescent="0.35">
      <c r="A744" s="1">
        <v>720</v>
      </c>
      <c r="B744" s="1">
        <v>-5.0868413136508349E-5</v>
      </c>
      <c r="C744" s="1">
        <v>3.7532673990935189E-3</v>
      </c>
    </row>
    <row r="745" spans="1:3" x14ac:dyDescent="0.35">
      <c r="A745" s="1">
        <v>721</v>
      </c>
      <c r="B745" s="1">
        <v>6.3556164828344128E-3</v>
      </c>
      <c r="C745" s="1">
        <v>-3.3695399460627424E-3</v>
      </c>
    </row>
    <row r="746" spans="1:3" x14ac:dyDescent="0.35">
      <c r="A746" s="1">
        <v>722</v>
      </c>
      <c r="B746" s="1">
        <v>7.3192177395344676E-4</v>
      </c>
      <c r="C746" s="1">
        <v>1.1946190514791235E-3</v>
      </c>
    </row>
    <row r="747" spans="1:3" x14ac:dyDescent="0.35">
      <c r="A747" s="1">
        <v>723</v>
      </c>
      <c r="B747" s="1">
        <v>6.0109966898662598E-4</v>
      </c>
      <c r="C747" s="1">
        <v>-1.6498676660747966E-3</v>
      </c>
    </row>
    <row r="748" spans="1:3" x14ac:dyDescent="0.35">
      <c r="A748" s="1">
        <v>724</v>
      </c>
      <c r="B748" s="1">
        <v>6.305798085931391E-4</v>
      </c>
      <c r="C748" s="1">
        <v>1.293989797197997E-3</v>
      </c>
    </row>
    <row r="749" spans="1:3" x14ac:dyDescent="0.35">
      <c r="A749" s="1">
        <v>725</v>
      </c>
      <c r="B749" s="1">
        <v>2.5959536126166616E-3</v>
      </c>
      <c r="C749" s="1">
        <v>-1.5079844097944323E-4</v>
      </c>
    </row>
    <row r="750" spans="1:3" x14ac:dyDescent="0.35">
      <c r="A750" s="1">
        <v>726</v>
      </c>
      <c r="B750" s="1">
        <v>-4.3218184030165672E-4</v>
      </c>
      <c r="C750" s="1">
        <v>1.1407723906627767E-2</v>
      </c>
    </row>
    <row r="751" spans="1:3" x14ac:dyDescent="0.35">
      <c r="A751" s="1">
        <v>727</v>
      </c>
      <c r="B751" s="1">
        <v>1.5247720965904283E-3</v>
      </c>
      <c r="C751" s="1">
        <v>5.1958921498427048E-3</v>
      </c>
    </row>
    <row r="752" spans="1:3" x14ac:dyDescent="0.35">
      <c r="A752" s="1">
        <v>728</v>
      </c>
      <c r="B752" s="1">
        <v>4.1011885439306076E-4</v>
      </c>
      <c r="C752" s="1">
        <v>2.1575657617886844E-3</v>
      </c>
    </row>
    <row r="753" spans="1:3" x14ac:dyDescent="0.35">
      <c r="A753" s="1">
        <v>729</v>
      </c>
      <c r="B753" s="1">
        <v>-4.1069682381692592E-4</v>
      </c>
      <c r="C753" s="1">
        <v>-1.4674215474389514E-3</v>
      </c>
    </row>
    <row r="754" spans="1:3" x14ac:dyDescent="0.35">
      <c r="A754" s="1">
        <v>730</v>
      </c>
      <c r="B754" s="1">
        <v>5.3343107437910531E-4</v>
      </c>
      <c r="C754" s="1">
        <v>1.519185409773572E-3</v>
      </c>
    </row>
    <row r="755" spans="1:3" x14ac:dyDescent="0.35">
      <c r="A755" s="1">
        <v>731</v>
      </c>
      <c r="B755" s="1">
        <v>-8.6393740121482612E-5</v>
      </c>
      <c r="C755" s="1">
        <v>-5.8882975966236652E-3</v>
      </c>
    </row>
    <row r="756" spans="1:3" x14ac:dyDescent="0.35">
      <c r="A756" s="1">
        <v>732</v>
      </c>
      <c r="B756" s="1">
        <v>1.4356269052468106E-3</v>
      </c>
      <c r="C756" s="1">
        <v>1.0162084727751968E-2</v>
      </c>
    </row>
    <row r="757" spans="1:3" x14ac:dyDescent="0.35">
      <c r="A757" s="1">
        <v>733</v>
      </c>
      <c r="B757" s="1">
        <v>2.1079954646287783E-3</v>
      </c>
      <c r="C757" s="1">
        <v>1.3143159810181091E-3</v>
      </c>
    </row>
    <row r="758" spans="1:3" x14ac:dyDescent="0.35">
      <c r="A758" s="1">
        <v>734</v>
      </c>
      <c r="B758" s="1">
        <v>-1.522163444738586E-3</v>
      </c>
      <c r="C758" s="1">
        <v>3.2850529973484912E-4</v>
      </c>
    </row>
    <row r="759" spans="1:3" x14ac:dyDescent="0.35">
      <c r="A759" s="1">
        <v>735</v>
      </c>
      <c r="B759" s="1">
        <v>3.503114297901888E-5</v>
      </c>
      <c r="C759" s="1">
        <v>1.5015457724489368E-3</v>
      </c>
    </row>
    <row r="760" spans="1:3" x14ac:dyDescent="0.35">
      <c r="A760" s="1">
        <v>736</v>
      </c>
      <c r="B760" s="1">
        <v>-1.0387837700790419E-3</v>
      </c>
      <c r="C760" s="1">
        <v>1.5947792608212016E-5</v>
      </c>
    </row>
    <row r="761" spans="1:3" x14ac:dyDescent="0.35">
      <c r="A761" s="1">
        <v>737</v>
      </c>
      <c r="B761" s="1">
        <v>2.7819013302685189E-3</v>
      </c>
      <c r="C761" s="1">
        <v>-3.9281741051886256E-4</v>
      </c>
    </row>
    <row r="762" spans="1:3" x14ac:dyDescent="0.35">
      <c r="A762" s="1">
        <v>738</v>
      </c>
      <c r="B762" s="1">
        <v>1.5358304510450932E-3</v>
      </c>
      <c r="C762" s="1">
        <v>-3.748968281004841E-3</v>
      </c>
    </row>
    <row r="763" spans="1:3" x14ac:dyDescent="0.35">
      <c r="A763" s="1">
        <v>739</v>
      </c>
      <c r="B763" s="1">
        <v>1.4808086305230816E-3</v>
      </c>
      <c r="C763" s="1">
        <v>5.8559188346476989E-3</v>
      </c>
    </row>
    <row r="764" spans="1:3" x14ac:dyDescent="0.35">
      <c r="A764" s="1">
        <v>740</v>
      </c>
      <c r="B764" s="1">
        <v>1.6979515536997469E-3</v>
      </c>
      <c r="C764" s="1">
        <v>4.7382690177337631E-3</v>
      </c>
    </row>
    <row r="765" spans="1:3" x14ac:dyDescent="0.35">
      <c r="A765" s="1">
        <v>741</v>
      </c>
      <c r="B765" s="1">
        <v>4.6102892775355189E-3</v>
      </c>
      <c r="C765" s="1">
        <v>3.9727182555996075E-3</v>
      </c>
    </row>
    <row r="766" spans="1:3" x14ac:dyDescent="0.35">
      <c r="A766" s="1">
        <v>742</v>
      </c>
      <c r="B766" s="1">
        <v>1.0697842617760857E-3</v>
      </c>
      <c r="C766" s="1">
        <v>-1.592038948952838E-2</v>
      </c>
    </row>
    <row r="767" spans="1:3" x14ac:dyDescent="0.35">
      <c r="A767" s="1">
        <v>743</v>
      </c>
      <c r="B767" s="1">
        <v>1.9353575605996626E-4</v>
      </c>
      <c r="C767" s="1">
        <v>-7.6462145464201046E-3</v>
      </c>
    </row>
    <row r="768" spans="1:3" x14ac:dyDescent="0.35">
      <c r="A768" s="1">
        <v>744</v>
      </c>
      <c r="B768" s="1">
        <v>1.6751025253393863E-3</v>
      </c>
      <c r="C768" s="1">
        <v>5.4921492339095827E-3</v>
      </c>
    </row>
    <row r="769" spans="1:3" x14ac:dyDescent="0.35">
      <c r="A769" s="1">
        <v>745</v>
      </c>
      <c r="B769" s="1">
        <v>2.1056355590978056E-3</v>
      </c>
      <c r="C769" s="1">
        <v>-5.3249395059082076E-3</v>
      </c>
    </row>
    <row r="770" spans="1:3" x14ac:dyDescent="0.35">
      <c r="A770" s="1">
        <v>746</v>
      </c>
      <c r="B770" s="1">
        <v>-4.5067161904702949E-3</v>
      </c>
      <c r="C770" s="1">
        <v>-1.6230942449078835E-2</v>
      </c>
    </row>
    <row r="771" spans="1:3" x14ac:dyDescent="0.35">
      <c r="A771" s="1">
        <v>747</v>
      </c>
      <c r="B771" s="1">
        <v>3.5326533009171495E-3</v>
      </c>
      <c r="C771" s="1">
        <v>3.0633984536282198E-3</v>
      </c>
    </row>
    <row r="772" spans="1:3" x14ac:dyDescent="0.35">
      <c r="A772" s="1">
        <v>748</v>
      </c>
      <c r="B772" s="1">
        <v>7.522074749379959E-4</v>
      </c>
      <c r="C772" s="1">
        <v>4.9382822550177834E-3</v>
      </c>
    </row>
    <row r="773" spans="1:3" x14ac:dyDescent="0.35">
      <c r="A773" s="1">
        <v>749</v>
      </c>
      <c r="B773" s="1">
        <v>1.5796512563435981E-3</v>
      </c>
      <c r="C773" s="1">
        <v>2.5357535693584015E-3</v>
      </c>
    </row>
    <row r="774" spans="1:3" x14ac:dyDescent="0.35">
      <c r="A774" s="1">
        <v>750</v>
      </c>
      <c r="B774" s="1">
        <v>6.7833147846767803E-4</v>
      </c>
      <c r="C774" s="1">
        <v>1.8830904334457199E-3</v>
      </c>
    </row>
    <row r="775" spans="1:3" x14ac:dyDescent="0.35">
      <c r="A775" s="1">
        <v>751</v>
      </c>
      <c r="B775" s="1">
        <v>3.3717653261190121E-4</v>
      </c>
      <c r="C775" s="1">
        <v>3.4417936010093238E-4</v>
      </c>
    </row>
    <row r="776" spans="1:3" x14ac:dyDescent="0.35">
      <c r="A776" s="1">
        <v>752</v>
      </c>
      <c r="B776" s="1">
        <v>-6.91372336610549E-4</v>
      </c>
      <c r="C776" s="1">
        <v>3.755110616729953E-3</v>
      </c>
    </row>
    <row r="777" spans="1:3" x14ac:dyDescent="0.35">
      <c r="A777" s="1">
        <v>753</v>
      </c>
      <c r="B777" s="1">
        <v>-1.6032690167489256E-3</v>
      </c>
      <c r="C777" s="1">
        <v>1.6705948985955867E-2</v>
      </c>
    </row>
    <row r="778" spans="1:3" x14ac:dyDescent="0.35">
      <c r="A778" s="1">
        <v>754</v>
      </c>
      <c r="B778" s="1">
        <v>-2.3612467550798485E-3</v>
      </c>
      <c r="C778" s="1">
        <v>4.7016066029970539E-3</v>
      </c>
    </row>
    <row r="779" spans="1:3" x14ac:dyDescent="0.35">
      <c r="A779" s="1">
        <v>755</v>
      </c>
      <c r="B779" s="1">
        <v>-8.8504070920719994E-4</v>
      </c>
      <c r="C779" s="1">
        <v>-2.4503794413480127E-3</v>
      </c>
    </row>
    <row r="780" spans="1:3" x14ac:dyDescent="0.35">
      <c r="A780" s="1">
        <v>756</v>
      </c>
      <c r="B780" s="1">
        <v>8.0549950655326775E-4</v>
      </c>
      <c r="C780" s="1">
        <v>-2.3116816936462909E-3</v>
      </c>
    </row>
    <row r="781" spans="1:3" x14ac:dyDescent="0.35">
      <c r="A781" s="1">
        <v>757</v>
      </c>
      <c r="B781" s="1">
        <v>4.7595700128300507E-3</v>
      </c>
      <c r="C781" s="1">
        <v>2.6143563835597412E-3</v>
      </c>
    </row>
    <row r="782" spans="1:3" x14ac:dyDescent="0.35">
      <c r="A782" s="1">
        <v>758</v>
      </c>
      <c r="B782" s="1">
        <v>-2.5745720698860898E-4</v>
      </c>
      <c r="C782" s="1">
        <v>-1.5724292051258865E-3</v>
      </c>
    </row>
    <row r="783" spans="1:3" x14ac:dyDescent="0.35">
      <c r="A783" s="1">
        <v>759</v>
      </c>
      <c r="B783" s="1">
        <v>2.0411436396755986E-3</v>
      </c>
      <c r="C783" s="1">
        <v>1.2920525389707124E-3</v>
      </c>
    </row>
    <row r="784" spans="1:3" x14ac:dyDescent="0.35">
      <c r="A784" s="1">
        <v>760</v>
      </c>
      <c r="B784" s="1">
        <v>2.1519580093840214E-6</v>
      </c>
      <c r="C784" s="1">
        <v>-6.4804092468978515E-3</v>
      </c>
    </row>
    <row r="785" spans="1:3" x14ac:dyDescent="0.35">
      <c r="A785" s="1">
        <v>761</v>
      </c>
      <c r="B785" s="1">
        <v>4.5970242660088253E-4</v>
      </c>
      <c r="C785" s="1">
        <v>9.2377133010900746E-3</v>
      </c>
    </row>
    <row r="786" spans="1:3" x14ac:dyDescent="0.35">
      <c r="A786" s="1">
        <v>762</v>
      </c>
      <c r="B786" s="1">
        <v>-9.8252029742066857E-4</v>
      </c>
      <c r="C786" s="1">
        <v>-5.641222102291195E-3</v>
      </c>
    </row>
    <row r="787" spans="1:3" x14ac:dyDescent="0.35">
      <c r="A787" s="1">
        <v>763</v>
      </c>
      <c r="B787" s="1">
        <v>-1.5892139888561731E-3</v>
      </c>
      <c r="C787" s="1">
        <v>1.5892139888561731E-3</v>
      </c>
    </row>
    <row r="788" spans="1:3" x14ac:dyDescent="0.35">
      <c r="A788" s="1">
        <v>764</v>
      </c>
      <c r="B788" s="1">
        <v>3.0512361970719271E-3</v>
      </c>
      <c r="C788" s="1">
        <v>-2.1739514934441704E-4</v>
      </c>
    </row>
    <row r="789" spans="1:3" x14ac:dyDescent="0.35">
      <c r="A789" s="1">
        <v>765</v>
      </c>
      <c r="B789" s="1">
        <v>4.1800424853517346E-3</v>
      </c>
      <c r="C789" s="1">
        <v>-9.6654079932900518E-3</v>
      </c>
    </row>
    <row r="790" spans="1:3" x14ac:dyDescent="0.35">
      <c r="A790" s="1">
        <v>766</v>
      </c>
      <c r="B790" s="1">
        <v>9.2411223021168862E-4</v>
      </c>
      <c r="C790" s="1">
        <v>-5.2698163295865422E-3</v>
      </c>
    </row>
    <row r="791" spans="1:3" x14ac:dyDescent="0.35">
      <c r="A791" s="1">
        <v>767</v>
      </c>
      <c r="B791" s="1">
        <v>1.1580463790903004E-3</v>
      </c>
      <c r="C791" s="1">
        <v>3.5423170049811064E-3</v>
      </c>
    </row>
    <row r="792" spans="1:3" x14ac:dyDescent="0.35">
      <c r="A792" s="1">
        <v>768</v>
      </c>
      <c r="B792" s="1">
        <v>4.7931448758927147E-4</v>
      </c>
      <c r="C792" s="1">
        <v>-1.6185243452106247E-2</v>
      </c>
    </row>
    <row r="793" spans="1:3" x14ac:dyDescent="0.35">
      <c r="A793" s="1">
        <v>769</v>
      </c>
      <c r="B793" s="1">
        <v>1.9106363759542279E-3</v>
      </c>
      <c r="C793" s="1">
        <v>2.3331742983716923E-3</v>
      </c>
    </row>
    <row r="794" spans="1:3" x14ac:dyDescent="0.35">
      <c r="A794" s="1">
        <v>770</v>
      </c>
      <c r="B794" s="1">
        <v>8.3523782382049615E-6</v>
      </c>
      <c r="C794" s="1">
        <v>3.5414197519627703E-3</v>
      </c>
    </row>
    <row r="795" spans="1:3" x14ac:dyDescent="0.35">
      <c r="A795" s="1">
        <v>771</v>
      </c>
      <c r="B795" s="1">
        <v>2.6495253773537062E-3</v>
      </c>
      <c r="C795" s="1">
        <v>3.4141660487781965E-3</v>
      </c>
    </row>
    <row r="796" spans="1:3" x14ac:dyDescent="0.35">
      <c r="A796" s="1">
        <v>772</v>
      </c>
      <c r="B796" s="1">
        <v>2.4805564119609319E-5</v>
      </c>
      <c r="C796" s="1">
        <v>2.8211672846953939E-3</v>
      </c>
    </row>
    <row r="797" spans="1:3" x14ac:dyDescent="0.35">
      <c r="A797" s="1">
        <v>773</v>
      </c>
      <c r="B797" s="1">
        <v>-4.9640886219361018E-3</v>
      </c>
      <c r="C797" s="1">
        <v>-1.88059125158134E-3</v>
      </c>
    </row>
    <row r="798" spans="1:3" x14ac:dyDescent="0.35">
      <c r="A798" s="1">
        <v>774</v>
      </c>
      <c r="B798" s="1">
        <v>4.2380186040361766E-3</v>
      </c>
      <c r="C798" s="1">
        <v>2.0808147500329513E-2</v>
      </c>
    </row>
    <row r="799" spans="1:3" x14ac:dyDescent="0.35">
      <c r="A799" s="1">
        <v>775</v>
      </c>
      <c r="B799" s="1">
        <v>3.6558797968203648E-3</v>
      </c>
      <c r="C799" s="1">
        <v>-1.0871329568285739E-2</v>
      </c>
    </row>
    <row r="800" spans="1:3" x14ac:dyDescent="0.35">
      <c r="A800" s="1">
        <v>776</v>
      </c>
      <c r="B800" s="1">
        <v>-8.0716104018530531E-4</v>
      </c>
      <c r="C800" s="1">
        <v>-7.4518696737180447E-3</v>
      </c>
    </row>
    <row r="801" spans="1:3" x14ac:dyDescent="0.35">
      <c r="A801" s="1">
        <v>777</v>
      </c>
      <c r="B801" s="1">
        <v>9.6146370823806712E-4</v>
      </c>
      <c r="C801" s="1">
        <v>-2.6269179262113575E-3</v>
      </c>
    </row>
    <row r="802" spans="1:3" x14ac:dyDescent="0.35">
      <c r="A802" s="1">
        <v>778</v>
      </c>
      <c r="B802" s="1">
        <v>2.8698279454731808E-3</v>
      </c>
      <c r="C802" s="1">
        <v>-2.0357454143127432E-3</v>
      </c>
    </row>
    <row r="803" spans="1:3" x14ac:dyDescent="0.35">
      <c r="A803" s="1">
        <v>779</v>
      </c>
      <c r="B803" s="1">
        <v>4.0165962239815532E-4</v>
      </c>
      <c r="C803" s="1">
        <v>-3.0687287365471477E-3</v>
      </c>
    </row>
    <row r="804" spans="1:3" x14ac:dyDescent="0.35">
      <c r="A804" s="1">
        <v>780</v>
      </c>
      <c r="B804" s="1">
        <v>2.0657162279780145E-3</v>
      </c>
      <c r="C804" s="1">
        <v>-6.578502953093663E-3</v>
      </c>
    </row>
    <row r="805" spans="1:3" x14ac:dyDescent="0.35">
      <c r="A805" s="1">
        <v>781</v>
      </c>
      <c r="B805" s="1">
        <v>-8.7264021613193071E-5</v>
      </c>
      <c r="C805" s="1">
        <v>2.4378401682665315E-3</v>
      </c>
    </row>
    <row r="806" spans="1:3" x14ac:dyDescent="0.35">
      <c r="A806" s="1">
        <v>782</v>
      </c>
      <c r="B806" s="1">
        <v>-4.1817366471450512E-3</v>
      </c>
      <c r="C806" s="1">
        <v>-1.680990883438295E-3</v>
      </c>
    </row>
    <row r="807" spans="1:3" x14ac:dyDescent="0.35">
      <c r="A807" s="1">
        <v>783</v>
      </c>
      <c r="B807" s="1">
        <v>3.3004388181178687E-3</v>
      </c>
      <c r="C807" s="1">
        <v>-4.3113152180899979E-3</v>
      </c>
    </row>
    <row r="808" spans="1:3" x14ac:dyDescent="0.35">
      <c r="A808" s="1">
        <v>784</v>
      </c>
      <c r="B808" s="1">
        <v>2.0911058951567627E-3</v>
      </c>
      <c r="C808" s="1">
        <v>-2.3584340100787872E-4</v>
      </c>
    </row>
    <row r="809" spans="1:3" x14ac:dyDescent="0.35">
      <c r="A809" s="1">
        <v>785</v>
      </c>
      <c r="B809" s="1">
        <v>-1.3274869426553081E-3</v>
      </c>
      <c r="C809" s="1">
        <v>1.1590585228928067E-3</v>
      </c>
    </row>
    <row r="810" spans="1:3" x14ac:dyDescent="0.35">
      <c r="A810" s="1">
        <v>786</v>
      </c>
      <c r="B810" s="1">
        <v>-1.7141929267033608E-3</v>
      </c>
      <c r="C810" s="1">
        <v>2.3771810874058514E-2</v>
      </c>
    </row>
    <row r="811" spans="1:3" x14ac:dyDescent="0.35">
      <c r="A811" s="1">
        <v>787</v>
      </c>
      <c r="B811" s="1">
        <v>6.2483663473302149E-4</v>
      </c>
      <c r="C811" s="1">
        <v>8.2714425393571912E-3</v>
      </c>
    </row>
    <row r="812" spans="1:3" x14ac:dyDescent="0.35">
      <c r="A812" s="1">
        <v>788</v>
      </c>
      <c r="B812" s="1">
        <v>7.0145347117363428E-3</v>
      </c>
      <c r="C812" s="1">
        <v>-8.4841185169056282E-3</v>
      </c>
    </row>
    <row r="813" spans="1:3" x14ac:dyDescent="0.35">
      <c r="A813" s="1">
        <v>789</v>
      </c>
      <c r="B813" s="1">
        <v>3.3002478729288144E-4</v>
      </c>
      <c r="C813" s="1">
        <v>4.8768578459634532E-4</v>
      </c>
    </row>
    <row r="814" spans="1:3" x14ac:dyDescent="0.35">
      <c r="A814" s="1">
        <v>790</v>
      </c>
      <c r="B814" s="1">
        <v>-1.0003492939743013E-3</v>
      </c>
      <c r="C814" s="1">
        <v>-7.0062701056887097E-3</v>
      </c>
    </row>
    <row r="815" spans="1:3" x14ac:dyDescent="0.35">
      <c r="A815" s="1">
        <v>791</v>
      </c>
      <c r="B815" s="1">
        <v>7.6710205875985514E-4</v>
      </c>
      <c r="C815" s="1">
        <v>-6.8616159895916826E-3</v>
      </c>
    </row>
    <row r="816" spans="1:3" x14ac:dyDescent="0.35">
      <c r="A816" s="1">
        <v>792</v>
      </c>
      <c r="B816" s="1">
        <v>-3.1545555889199385E-4</v>
      </c>
      <c r="C816" s="1">
        <v>1.3097463684290577E-3</v>
      </c>
    </row>
    <row r="817" spans="1:3" x14ac:dyDescent="0.35">
      <c r="A817" s="1">
        <v>793</v>
      </c>
      <c r="B817" s="1">
        <v>1.9005747672567548E-3</v>
      </c>
      <c r="C817" s="1">
        <v>-8.1919415997342843E-3</v>
      </c>
    </row>
    <row r="818" spans="1:3" x14ac:dyDescent="0.35">
      <c r="A818" s="1">
        <v>794</v>
      </c>
      <c r="B818" s="1">
        <v>2.7946557572532931E-3</v>
      </c>
      <c r="C818" s="1">
        <v>-1.0958687020532192E-2</v>
      </c>
    </row>
    <row r="819" spans="1:3" x14ac:dyDescent="0.35">
      <c r="A819" s="1">
        <v>795</v>
      </c>
      <c r="B819" s="1">
        <v>-1.6587236501233772E-4</v>
      </c>
      <c r="C819" s="1">
        <v>4.869530226219069E-3</v>
      </c>
    </row>
    <row r="820" spans="1:3" x14ac:dyDescent="0.35">
      <c r="A820" s="1">
        <v>796</v>
      </c>
      <c r="B820" s="1">
        <v>-3.0616459193053241E-3</v>
      </c>
      <c r="C820" s="1">
        <v>-1.7870619445409107E-3</v>
      </c>
    </row>
    <row r="821" spans="1:3" x14ac:dyDescent="0.35">
      <c r="A821" s="1">
        <v>797</v>
      </c>
      <c r="B821" s="1">
        <v>1.8722628064854147E-3</v>
      </c>
      <c r="C821" s="1">
        <v>-1.3682002855971744E-3</v>
      </c>
    </row>
    <row r="822" spans="1:3" x14ac:dyDescent="0.35">
      <c r="A822" s="1">
        <v>798</v>
      </c>
      <c r="B822" s="1">
        <v>3.5335091940898429E-3</v>
      </c>
      <c r="C822" s="1">
        <v>-5.3808072836143798E-3</v>
      </c>
    </row>
    <row r="823" spans="1:3" x14ac:dyDescent="0.35">
      <c r="A823" s="1">
        <v>799</v>
      </c>
      <c r="B823" s="1">
        <v>-1.8825359929952187E-3</v>
      </c>
      <c r="C823" s="1">
        <v>3.2285119314289035E-3</v>
      </c>
    </row>
    <row r="824" spans="1:3" x14ac:dyDescent="0.35">
      <c r="A824" s="1">
        <v>800</v>
      </c>
      <c r="B824" s="1">
        <v>-1.4301979133457627E-4</v>
      </c>
      <c r="C824" s="1">
        <v>1.2239772324516403E-2</v>
      </c>
    </row>
    <row r="825" spans="1:3" x14ac:dyDescent="0.35">
      <c r="A825" s="1">
        <v>801</v>
      </c>
      <c r="B825" s="1">
        <v>3.8223389369437168E-3</v>
      </c>
      <c r="C825" s="1">
        <v>4.9365343359675327E-4</v>
      </c>
    </row>
    <row r="826" spans="1:3" x14ac:dyDescent="0.35">
      <c r="A826" s="1">
        <v>802</v>
      </c>
      <c r="B826" s="1">
        <v>-4.0116385029803419E-4</v>
      </c>
      <c r="C826" s="1">
        <v>1.0649111976185911E-2</v>
      </c>
    </row>
    <row r="827" spans="1:3" x14ac:dyDescent="0.35">
      <c r="A827" s="1">
        <v>803</v>
      </c>
      <c r="B827" s="1">
        <v>-7.0572810806182043E-4</v>
      </c>
      <c r="C827" s="1">
        <v>-1.5206887454029803E-3</v>
      </c>
    </row>
    <row r="828" spans="1:3" x14ac:dyDescent="0.35">
      <c r="A828" s="1">
        <v>804</v>
      </c>
      <c r="B828" s="1">
        <v>-1.8678632694621368E-3</v>
      </c>
      <c r="C828" s="1">
        <v>-8.3799954525477366E-3</v>
      </c>
    </row>
    <row r="829" spans="1:3" x14ac:dyDescent="0.35">
      <c r="A829" s="1">
        <v>805</v>
      </c>
      <c r="B829" s="1">
        <v>2.2509583067920036E-3</v>
      </c>
      <c r="C829" s="1">
        <v>1.9241669664117711E-3</v>
      </c>
    </row>
    <row r="830" spans="1:3" x14ac:dyDescent="0.35">
      <c r="A830" s="1">
        <v>806</v>
      </c>
      <c r="B830" s="1">
        <v>2.0357309785293538E-3</v>
      </c>
      <c r="C830" s="1">
        <v>-3.7274473868033819E-4</v>
      </c>
    </row>
    <row r="831" spans="1:3" x14ac:dyDescent="0.35">
      <c r="A831" s="1">
        <v>807</v>
      </c>
      <c r="B831" s="1">
        <v>3.0830622640722824E-3</v>
      </c>
      <c r="C831" s="1">
        <v>5.550375986878988E-3</v>
      </c>
    </row>
    <row r="832" spans="1:3" x14ac:dyDescent="0.35">
      <c r="A832" s="1">
        <v>808</v>
      </c>
      <c r="B832" s="1">
        <v>1.2594521107583791E-3</v>
      </c>
      <c r="C832" s="1">
        <v>-5.8684250148669757E-3</v>
      </c>
    </row>
    <row r="833" spans="1:3" x14ac:dyDescent="0.35">
      <c r="A833" s="1">
        <v>809</v>
      </c>
      <c r="B833" s="1">
        <v>-2.3309595032289891E-4</v>
      </c>
      <c r="C833" s="1">
        <v>5.6382317174318605E-4</v>
      </c>
    </row>
    <row r="834" spans="1:3" x14ac:dyDescent="0.35">
      <c r="A834" s="1">
        <v>810</v>
      </c>
      <c r="B834" s="1">
        <v>-7.6489073549009955E-4</v>
      </c>
      <c r="C834" s="1">
        <v>-7.2298927511230918E-4</v>
      </c>
    </row>
    <row r="835" spans="1:3" x14ac:dyDescent="0.35">
      <c r="A835" s="1">
        <v>811</v>
      </c>
      <c r="B835" s="1">
        <v>-6.8278784237459978E-4</v>
      </c>
      <c r="C835" s="1">
        <v>3.0006945005816256E-3</v>
      </c>
    </row>
    <row r="836" spans="1:3" x14ac:dyDescent="0.35">
      <c r="A836" s="1">
        <v>812</v>
      </c>
      <c r="B836" s="1">
        <v>2.995046119420519E-3</v>
      </c>
      <c r="C836" s="1">
        <v>5.0987667694530692E-3</v>
      </c>
    </row>
    <row r="837" spans="1:3" x14ac:dyDescent="0.35">
      <c r="A837" s="1">
        <v>813</v>
      </c>
      <c r="B837" s="1">
        <v>5.7730833164266679E-4</v>
      </c>
      <c r="C837" s="1">
        <v>1.8804843956209344E-3</v>
      </c>
    </row>
    <row r="838" spans="1:3" x14ac:dyDescent="0.35">
      <c r="A838" s="1">
        <v>814</v>
      </c>
      <c r="B838" s="1">
        <v>-4.2981797499474237E-4</v>
      </c>
      <c r="C838" s="1">
        <v>-7.7427380005807688E-3</v>
      </c>
    </row>
    <row r="839" spans="1:3" x14ac:dyDescent="0.35">
      <c r="A839" s="1">
        <v>815</v>
      </c>
      <c r="B839" s="1">
        <v>-2.1111582110476135E-3</v>
      </c>
      <c r="C839" s="1">
        <v>-6.6232120052152326E-3</v>
      </c>
    </row>
    <row r="840" spans="1:3" x14ac:dyDescent="0.35">
      <c r="A840" s="1">
        <v>816</v>
      </c>
      <c r="B840" s="1">
        <v>5.6914743557933713E-4</v>
      </c>
      <c r="C840" s="1">
        <v>-5.8891350198950598E-3</v>
      </c>
    </row>
    <row r="841" spans="1:3" x14ac:dyDescent="0.35">
      <c r="A841" s="1">
        <v>817</v>
      </c>
      <c r="B841" s="1">
        <v>-3.7506063471983036E-3</v>
      </c>
      <c r="C841" s="1">
        <v>-5.1079864072434041E-3</v>
      </c>
    </row>
    <row r="842" spans="1:3" x14ac:dyDescent="0.35">
      <c r="A842" s="1">
        <v>818</v>
      </c>
      <c r="B842" s="1">
        <v>3.7893284760921642E-3</v>
      </c>
      <c r="C842" s="1">
        <v>-2.4800714744269321E-4</v>
      </c>
    </row>
    <row r="843" spans="1:3" x14ac:dyDescent="0.35">
      <c r="A843" s="1">
        <v>819</v>
      </c>
      <c r="B843" s="1">
        <v>9.7529057081237748E-5</v>
      </c>
      <c r="C843" s="1">
        <v>-4.1303461882924832E-3</v>
      </c>
    </row>
    <row r="844" spans="1:3" x14ac:dyDescent="0.35">
      <c r="A844" s="1">
        <v>820</v>
      </c>
      <c r="B844" s="1">
        <v>6.8316923501647337E-4</v>
      </c>
      <c r="C844" s="1">
        <v>6.9090907189354334E-3</v>
      </c>
    </row>
    <row r="845" spans="1:3" x14ac:dyDescent="0.35">
      <c r="A845" s="1">
        <v>821</v>
      </c>
      <c r="B845" s="1">
        <v>-2.8247930297995577E-3</v>
      </c>
      <c r="C845" s="1">
        <v>-1.0570974282076468E-2</v>
      </c>
    </row>
    <row r="846" spans="1:3" x14ac:dyDescent="0.35">
      <c r="A846" s="1">
        <v>822</v>
      </c>
      <c r="B846" s="1">
        <v>2.613495783057761E-3</v>
      </c>
      <c r="C846" s="1">
        <v>-4.0711397119987504E-4</v>
      </c>
    </row>
    <row r="847" spans="1:3" x14ac:dyDescent="0.35">
      <c r="A847" s="1">
        <v>823</v>
      </c>
      <c r="B847" s="1">
        <v>-4.4637362274405311E-3</v>
      </c>
      <c r="C847" s="1">
        <v>-8.5760360400976184E-3</v>
      </c>
    </row>
    <row r="848" spans="1:3" x14ac:dyDescent="0.35">
      <c r="A848" s="1">
        <v>824</v>
      </c>
      <c r="B848" s="1">
        <v>-3.6499019828197159E-3</v>
      </c>
      <c r="C848" s="1">
        <v>1.2476789499602913E-3</v>
      </c>
    </row>
    <row r="849" spans="1:3" x14ac:dyDescent="0.35">
      <c r="A849" s="1">
        <v>825</v>
      </c>
      <c r="B849" s="1">
        <v>-4.4362865019036883E-4</v>
      </c>
      <c r="C849" s="1">
        <v>-9.3236582953424663E-4</v>
      </c>
    </row>
    <row r="850" spans="1:3" x14ac:dyDescent="0.35">
      <c r="A850" s="1">
        <v>826</v>
      </c>
      <c r="B850" s="1">
        <v>-1.641887634420485E-3</v>
      </c>
      <c r="C850" s="1">
        <v>9.3925127679303829E-3</v>
      </c>
    </row>
    <row r="851" spans="1:3" x14ac:dyDescent="0.35">
      <c r="A851" s="1">
        <v>827</v>
      </c>
      <c r="B851" s="1">
        <v>-4.9242432222788477E-4</v>
      </c>
      <c r="C851" s="1">
        <v>7.3288210668278073E-3</v>
      </c>
    </row>
    <row r="852" spans="1:3" x14ac:dyDescent="0.35">
      <c r="A852" s="1">
        <v>828</v>
      </c>
      <c r="B852" s="1">
        <v>-2.6000665633474892E-3</v>
      </c>
      <c r="C852" s="1">
        <v>2.3988523778357106E-2</v>
      </c>
    </row>
    <row r="853" spans="1:3" x14ac:dyDescent="0.35">
      <c r="A853" s="1">
        <v>829</v>
      </c>
      <c r="B853" s="1">
        <v>3.0274220134026164E-3</v>
      </c>
      <c r="C853" s="1">
        <v>3.288126955574133E-3</v>
      </c>
    </row>
    <row r="854" spans="1:3" x14ac:dyDescent="0.35">
      <c r="A854" s="1">
        <v>830</v>
      </c>
      <c r="B854" s="1">
        <v>4.067772404310421E-3</v>
      </c>
      <c r="C854" s="1">
        <v>-2.581433000646915E-3</v>
      </c>
    </row>
    <row r="855" spans="1:3" x14ac:dyDescent="0.35">
      <c r="A855" s="1">
        <v>831</v>
      </c>
      <c r="B855" s="1">
        <v>2.8660748306612495E-4</v>
      </c>
      <c r="C855" s="1">
        <v>1.4720057709729622E-2</v>
      </c>
    </row>
    <row r="856" spans="1:3" x14ac:dyDescent="0.35">
      <c r="A856" s="1">
        <v>832</v>
      </c>
      <c r="B856" s="1">
        <v>-1.2544351057924273E-3</v>
      </c>
      <c r="C856" s="1">
        <v>4.3413767204425443E-3</v>
      </c>
    </row>
    <row r="857" spans="1:3" x14ac:dyDescent="0.35">
      <c r="A857" s="1">
        <v>833</v>
      </c>
      <c r="B857" s="1">
        <v>3.5029469181325993E-3</v>
      </c>
      <c r="C857" s="1">
        <v>-3.5029469181325993E-3</v>
      </c>
    </row>
    <row r="858" spans="1:3" x14ac:dyDescent="0.35">
      <c r="A858" s="1">
        <v>834</v>
      </c>
      <c r="B858" s="1">
        <v>1.2407622189504548E-3</v>
      </c>
      <c r="C858" s="1">
        <v>3.6182946955781556E-3</v>
      </c>
    </row>
    <row r="859" spans="1:3" x14ac:dyDescent="0.35">
      <c r="A859" s="1">
        <v>835</v>
      </c>
      <c r="B859" s="1">
        <v>-4.8433548957720054E-3</v>
      </c>
      <c r="C859" s="1">
        <v>4.912985366839805E-4</v>
      </c>
    </row>
    <row r="860" spans="1:3" x14ac:dyDescent="0.35">
      <c r="A860" s="1">
        <v>836</v>
      </c>
      <c r="B860" s="1">
        <v>-8.8731146824866912E-4</v>
      </c>
      <c r="C860" s="1">
        <v>3.4776410129486999E-3</v>
      </c>
    </row>
    <row r="861" spans="1:3" x14ac:dyDescent="0.35">
      <c r="A861" s="1">
        <v>837</v>
      </c>
      <c r="B861" s="1">
        <v>3.1552208137544634E-3</v>
      </c>
      <c r="C861" s="1">
        <v>-2.1864298477648615E-3</v>
      </c>
    </row>
    <row r="862" spans="1:3" x14ac:dyDescent="0.35">
      <c r="A862" s="1">
        <v>838</v>
      </c>
      <c r="B862" s="1">
        <v>4.2583059757575568E-3</v>
      </c>
      <c r="C862" s="1">
        <v>-1.354681250761033E-3</v>
      </c>
    </row>
    <row r="863" spans="1:3" x14ac:dyDescent="0.35">
      <c r="A863" s="1">
        <v>839</v>
      </c>
      <c r="B863" s="1">
        <v>3.5405866073796059E-3</v>
      </c>
      <c r="C863" s="1">
        <v>-6.452393449235946E-4</v>
      </c>
    </row>
    <row r="864" spans="1:3" x14ac:dyDescent="0.35">
      <c r="A864" s="1">
        <v>840</v>
      </c>
      <c r="B864" s="1">
        <v>6.5032952714858829E-4</v>
      </c>
      <c r="C864" s="1">
        <v>3.6800887197621897E-3</v>
      </c>
    </row>
    <row r="865" spans="1:3" x14ac:dyDescent="0.35">
      <c r="A865" s="1">
        <v>841</v>
      </c>
      <c r="B865" s="1">
        <v>2.1619208664706583E-4</v>
      </c>
      <c r="C865" s="1">
        <v>3.4566822332528875E-3</v>
      </c>
    </row>
    <row r="866" spans="1:3" x14ac:dyDescent="0.35">
      <c r="A866" s="1">
        <v>842</v>
      </c>
      <c r="B866" s="1">
        <v>1.8561247913269617E-3</v>
      </c>
      <c r="C866" s="1">
        <v>-1.3787240286231039E-3</v>
      </c>
    </row>
    <row r="867" spans="1:3" x14ac:dyDescent="0.35">
      <c r="A867" s="1">
        <v>843</v>
      </c>
      <c r="B867" s="1">
        <v>7.4877764132500336E-4</v>
      </c>
      <c r="C867" s="1">
        <v>5.294391538039912E-3</v>
      </c>
    </row>
    <row r="868" spans="1:3" x14ac:dyDescent="0.35">
      <c r="A868" s="1">
        <v>844</v>
      </c>
      <c r="B868" s="1">
        <v>1.4042811065656589E-4</v>
      </c>
      <c r="C868" s="1">
        <v>4.9182080720913696E-3</v>
      </c>
    </row>
    <row r="869" spans="1:3" x14ac:dyDescent="0.35">
      <c r="A869" s="1">
        <v>845</v>
      </c>
      <c r="B869" s="1">
        <v>1.7746766468239019E-3</v>
      </c>
      <c r="C869" s="1">
        <v>-9.3243131179753004E-3</v>
      </c>
    </row>
    <row r="870" spans="1:3" x14ac:dyDescent="0.35">
      <c r="A870" s="1">
        <v>846</v>
      </c>
      <c r="B870" s="1">
        <v>3.9877676691248585E-3</v>
      </c>
      <c r="C870" s="1">
        <v>-3.5122583705417161E-3</v>
      </c>
    </row>
    <row r="871" spans="1:3" x14ac:dyDescent="0.35">
      <c r="A871" s="1">
        <v>847</v>
      </c>
      <c r="B871" s="1">
        <v>-4.5172429798951471E-4</v>
      </c>
      <c r="C871" s="1">
        <v>3.4614066449132602E-3</v>
      </c>
    </row>
    <row r="872" spans="1:3" x14ac:dyDescent="0.35">
      <c r="A872" s="1">
        <v>848</v>
      </c>
      <c r="B872" s="1">
        <v>5.9284536480984839E-4</v>
      </c>
      <c r="C872" s="1">
        <v>-5.1728302683411217E-3</v>
      </c>
    </row>
    <row r="873" spans="1:3" x14ac:dyDescent="0.35">
      <c r="A873" s="1">
        <v>849</v>
      </c>
      <c r="B873" s="1">
        <v>5.1292584392656449E-4</v>
      </c>
      <c r="C873" s="1">
        <v>-7.8110827772649542E-3</v>
      </c>
    </row>
    <row r="874" spans="1:3" x14ac:dyDescent="0.35">
      <c r="A874" s="1">
        <v>850</v>
      </c>
      <c r="B874" s="1">
        <v>1.0230686977537591E-3</v>
      </c>
      <c r="C874" s="1">
        <v>4.4109152822532152E-3</v>
      </c>
    </row>
    <row r="875" spans="1:3" x14ac:dyDescent="0.35">
      <c r="A875" s="1">
        <v>851</v>
      </c>
      <c r="B875" s="1">
        <v>-6.5264801106552049E-4</v>
      </c>
      <c r="C875" s="1">
        <v>2.0832927585399418E-3</v>
      </c>
    </row>
    <row r="876" spans="1:3" x14ac:dyDescent="0.35">
      <c r="A876" s="1">
        <v>852</v>
      </c>
      <c r="B876" s="1">
        <v>-2.1567611626591805E-3</v>
      </c>
      <c r="C876" s="1">
        <v>-1.2287811594145957E-2</v>
      </c>
    </row>
    <row r="877" spans="1:3" x14ac:dyDescent="0.35">
      <c r="A877" s="1">
        <v>853</v>
      </c>
      <c r="B877" s="1">
        <v>2.4707138398960024E-3</v>
      </c>
      <c r="C877" s="1">
        <v>-3.9201234062833084E-3</v>
      </c>
    </row>
    <row r="878" spans="1:3" x14ac:dyDescent="0.35">
      <c r="A878" s="1">
        <v>854</v>
      </c>
      <c r="B878" s="1">
        <v>2.9812378663658499E-4</v>
      </c>
      <c r="C878" s="1">
        <v>-3.201409631162366E-3</v>
      </c>
    </row>
    <row r="879" spans="1:3" x14ac:dyDescent="0.35">
      <c r="A879" s="1">
        <v>855</v>
      </c>
      <c r="B879" s="1">
        <v>-2.1523392529449233E-3</v>
      </c>
      <c r="C879" s="1">
        <v>2.1124456309007324E-4</v>
      </c>
    </row>
    <row r="880" spans="1:3" x14ac:dyDescent="0.35">
      <c r="A880" s="1">
        <v>856</v>
      </c>
      <c r="B880" s="1">
        <v>-1.7044480663613243E-3</v>
      </c>
      <c r="C880" s="1">
        <v>6.0804215343456388E-3</v>
      </c>
    </row>
    <row r="881" spans="1:3" x14ac:dyDescent="0.35">
      <c r="A881" s="1">
        <v>857</v>
      </c>
      <c r="B881" s="1">
        <v>2.8011062196860695E-3</v>
      </c>
      <c r="C881" s="1">
        <v>1.2690258134646103E-2</v>
      </c>
    </row>
    <row r="882" spans="1:3" x14ac:dyDescent="0.35">
      <c r="A882" s="1">
        <v>858</v>
      </c>
      <c r="B882" s="1">
        <v>5.7717859872803549E-4</v>
      </c>
      <c r="C882" s="1">
        <v>-5.7717859872803549E-4</v>
      </c>
    </row>
    <row r="883" spans="1:3" x14ac:dyDescent="0.35">
      <c r="A883" s="1">
        <v>859</v>
      </c>
      <c r="B883" s="1">
        <v>7.0161117464317502E-4</v>
      </c>
      <c r="C883" s="1">
        <v>1.5348024387172433E-2</v>
      </c>
    </row>
    <row r="884" spans="1:3" x14ac:dyDescent="0.35">
      <c r="A884" s="1">
        <v>860</v>
      </c>
      <c r="B884" s="1">
        <v>4.0301503076099364E-3</v>
      </c>
      <c r="C884" s="1">
        <v>-4.342991889392034E-3</v>
      </c>
    </row>
    <row r="885" spans="1:3" x14ac:dyDescent="0.35">
      <c r="A885" s="1">
        <v>861</v>
      </c>
      <c r="B885" s="1">
        <v>1.5377705456773644E-4</v>
      </c>
      <c r="C885" s="1">
        <v>3.4444616652411415E-3</v>
      </c>
    </row>
    <row r="886" spans="1:3" x14ac:dyDescent="0.35">
      <c r="A886" s="1">
        <v>862</v>
      </c>
      <c r="B886" s="1">
        <v>-1.4076160231321776E-4</v>
      </c>
      <c r="C886" s="1">
        <v>-3.60042237156856E-3</v>
      </c>
    </row>
    <row r="887" spans="1:3" x14ac:dyDescent="0.35">
      <c r="A887" s="1">
        <v>863</v>
      </c>
      <c r="B887" s="1">
        <v>1.0484813553924617E-3</v>
      </c>
      <c r="C887" s="1">
        <v>-6.0556052662078209E-3</v>
      </c>
    </row>
    <row r="888" spans="1:3" x14ac:dyDescent="0.35">
      <c r="A888" s="1">
        <v>864</v>
      </c>
      <c r="B888" s="1">
        <v>1.0901576125376784E-3</v>
      </c>
      <c r="C888" s="1">
        <v>-1.7190951809658919E-3</v>
      </c>
    </row>
    <row r="889" spans="1:3" x14ac:dyDescent="0.35">
      <c r="A889" s="1">
        <v>865</v>
      </c>
      <c r="B889" s="1">
        <v>2.954197710924803E-3</v>
      </c>
      <c r="C889" s="1">
        <v>-1.3497063931807642E-2</v>
      </c>
    </row>
    <row r="890" spans="1:3" x14ac:dyDescent="0.35">
      <c r="A890" s="1">
        <v>866</v>
      </c>
      <c r="B890" s="1">
        <v>9.7248237664420865E-4</v>
      </c>
      <c r="C890" s="1">
        <v>7.7689639818101725E-4</v>
      </c>
    </row>
    <row r="891" spans="1:3" x14ac:dyDescent="0.35">
      <c r="A891" s="1">
        <v>867</v>
      </c>
      <c r="B891" s="1">
        <v>9.134178082273998E-5</v>
      </c>
      <c r="C891" s="1">
        <v>6.2861760314296303E-4</v>
      </c>
    </row>
    <row r="892" spans="1:3" x14ac:dyDescent="0.35">
      <c r="A892" s="1">
        <v>868</v>
      </c>
      <c r="B892" s="1">
        <v>2.6841502812044362E-3</v>
      </c>
      <c r="C892" s="1">
        <v>-1.5651465817659762E-3</v>
      </c>
    </row>
    <row r="893" spans="1:3" x14ac:dyDescent="0.35">
      <c r="A893" s="1">
        <v>869</v>
      </c>
      <c r="B893" s="1">
        <v>1.0293279570350001E-3</v>
      </c>
      <c r="C893" s="1">
        <v>-8.6956716430731343E-4</v>
      </c>
    </row>
    <row r="894" spans="1:3" x14ac:dyDescent="0.35">
      <c r="A894" s="1">
        <v>870</v>
      </c>
      <c r="B894" s="1">
        <v>-5.9467000618575129E-4</v>
      </c>
      <c r="C894" s="1">
        <v>-6.5904274243789567E-3</v>
      </c>
    </row>
    <row r="895" spans="1:3" x14ac:dyDescent="0.35">
      <c r="A895" s="1">
        <v>871</v>
      </c>
      <c r="B895" s="1">
        <v>-2.8455882253047241E-4</v>
      </c>
      <c r="C895" s="1">
        <v>9.7731084051463635E-3</v>
      </c>
    </row>
    <row r="896" spans="1:3" x14ac:dyDescent="0.35">
      <c r="A896" s="1">
        <v>872</v>
      </c>
      <c r="B896" s="1">
        <v>-7.6817502731197729E-4</v>
      </c>
      <c r="C896" s="1">
        <v>1.9885723050634154E-2</v>
      </c>
    </row>
    <row r="897" spans="1:3" x14ac:dyDescent="0.35">
      <c r="A897" s="1">
        <v>873</v>
      </c>
      <c r="B897" s="1">
        <v>1.483735302379901E-3</v>
      </c>
      <c r="C897" s="1">
        <v>-3.5160480220627578E-3</v>
      </c>
    </row>
    <row r="898" spans="1:3" x14ac:dyDescent="0.35">
      <c r="A898" s="1">
        <v>874</v>
      </c>
      <c r="B898" s="1">
        <v>7.2401259684926761E-4</v>
      </c>
      <c r="C898" s="1">
        <v>2.5655388926823564E-3</v>
      </c>
    </row>
    <row r="899" spans="1:3" x14ac:dyDescent="0.35">
      <c r="A899" s="1">
        <v>875</v>
      </c>
      <c r="B899" s="1">
        <v>5.1000793563590299E-4</v>
      </c>
      <c r="C899" s="1">
        <v>-2.6958518159982932E-3</v>
      </c>
    </row>
    <row r="900" spans="1:3" x14ac:dyDescent="0.35">
      <c r="A900" s="1">
        <v>876</v>
      </c>
      <c r="B900" s="1">
        <v>-1.095879741033808E-3</v>
      </c>
      <c r="C900" s="1">
        <v>-2.972374974015023E-3</v>
      </c>
    </row>
    <row r="901" spans="1:3" x14ac:dyDescent="0.35">
      <c r="A901" s="1">
        <v>877</v>
      </c>
      <c r="B901" s="1">
        <v>1.0789548791618666E-3</v>
      </c>
      <c r="C901" s="1">
        <v>-6.8920072937814058E-3</v>
      </c>
    </row>
    <row r="902" spans="1:3" x14ac:dyDescent="0.35">
      <c r="A902" s="1">
        <v>878</v>
      </c>
      <c r="B902" s="1">
        <v>2.2114651679462733E-3</v>
      </c>
      <c r="C902" s="1">
        <v>-4.2658124082229605E-3</v>
      </c>
    </row>
    <row r="903" spans="1:3" x14ac:dyDescent="0.35">
      <c r="A903" s="1">
        <v>879</v>
      </c>
      <c r="B903" s="1">
        <v>1.8540323245472257E-3</v>
      </c>
      <c r="C903" s="1">
        <v>9.9645449665934638E-4</v>
      </c>
    </row>
    <row r="904" spans="1:3" x14ac:dyDescent="0.35">
      <c r="A904" s="1">
        <v>880</v>
      </c>
      <c r="B904" s="1">
        <v>1.9712555288232498E-3</v>
      </c>
      <c r="C904" s="1">
        <v>4.8184207157575603E-3</v>
      </c>
    </row>
    <row r="905" spans="1:3" x14ac:dyDescent="0.35">
      <c r="A905" s="1">
        <v>881</v>
      </c>
      <c r="B905" s="1">
        <v>5.4520117460612463E-4</v>
      </c>
      <c r="C905" s="1">
        <v>-1.3092299815823936E-2</v>
      </c>
    </row>
    <row r="906" spans="1:3" x14ac:dyDescent="0.35">
      <c r="A906" s="1">
        <v>882</v>
      </c>
      <c r="B906" s="1">
        <v>4.5651577792279259E-4</v>
      </c>
      <c r="C906" s="1">
        <v>-4.7449913659350623E-3</v>
      </c>
    </row>
    <row r="907" spans="1:3" x14ac:dyDescent="0.35">
      <c r="A907" s="1">
        <v>883</v>
      </c>
      <c r="B907" s="1">
        <v>3.5026002915248314E-3</v>
      </c>
      <c r="C907" s="1">
        <v>-1.269272618675492E-3</v>
      </c>
    </row>
    <row r="908" spans="1:3" x14ac:dyDescent="0.35">
      <c r="A908" s="1">
        <v>884</v>
      </c>
      <c r="B908" s="1">
        <v>-2.6015082417799921E-3</v>
      </c>
      <c r="C908" s="1">
        <v>6.898793262912737E-3</v>
      </c>
    </row>
    <row r="909" spans="1:3" x14ac:dyDescent="0.35">
      <c r="A909" s="1">
        <v>885</v>
      </c>
      <c r="B909" s="1">
        <v>1.9932194403549939E-3</v>
      </c>
      <c r="C909" s="1">
        <v>7.515532605787527E-3</v>
      </c>
    </row>
    <row r="910" spans="1:3" x14ac:dyDescent="0.35">
      <c r="A910" s="1">
        <v>886</v>
      </c>
      <c r="B910" s="1">
        <v>1.1274240883006258E-3</v>
      </c>
      <c r="C910" s="1">
        <v>-5.6800594430305102E-3</v>
      </c>
    </row>
    <row r="911" spans="1:3" x14ac:dyDescent="0.35">
      <c r="A911" s="1">
        <v>887</v>
      </c>
      <c r="B911" s="1">
        <v>2.2739048065987251E-3</v>
      </c>
      <c r="C911" s="1">
        <v>1.1288631867479604E-2</v>
      </c>
    </row>
    <row r="912" spans="1:3" x14ac:dyDescent="0.35">
      <c r="A912" s="1">
        <v>888</v>
      </c>
      <c r="B912" s="1">
        <v>-4.2632339995594742E-3</v>
      </c>
      <c r="C912" s="1">
        <v>1.8889129799722494E-2</v>
      </c>
    </row>
    <row r="913" spans="1:3" x14ac:dyDescent="0.35">
      <c r="A913" s="1">
        <v>889</v>
      </c>
      <c r="B913" s="1">
        <v>-2.2969237683363244E-3</v>
      </c>
      <c r="C913" s="1">
        <v>1.9900929143733116E-3</v>
      </c>
    </row>
    <row r="914" spans="1:3" x14ac:dyDescent="0.35">
      <c r="A914" s="1">
        <v>890</v>
      </c>
      <c r="B914" s="1">
        <v>-2.0793705719602384E-3</v>
      </c>
      <c r="C914" s="1">
        <v>3.6133845511670611E-3</v>
      </c>
    </row>
    <row r="915" spans="1:3" x14ac:dyDescent="0.35">
      <c r="A915" s="1">
        <v>891</v>
      </c>
      <c r="B915" s="1">
        <v>3.6904976201709997E-3</v>
      </c>
      <c r="C915" s="1">
        <v>-1.165496935278644E-2</v>
      </c>
    </row>
    <row r="916" spans="1:3" x14ac:dyDescent="0.35">
      <c r="A916" s="1">
        <v>892</v>
      </c>
      <c r="B916" s="1">
        <v>-2.832628551099793E-4</v>
      </c>
      <c r="C916" s="1">
        <v>3.2168506857442334E-3</v>
      </c>
    </row>
    <row r="917" spans="1:3" x14ac:dyDescent="0.35">
      <c r="A917" s="1">
        <v>893</v>
      </c>
      <c r="B917" s="1">
        <v>-7.2303451731493386E-3</v>
      </c>
      <c r="C917" s="1">
        <v>2.0315199388308978E-2</v>
      </c>
    </row>
    <row r="918" spans="1:3" x14ac:dyDescent="0.35">
      <c r="A918" s="1">
        <v>894</v>
      </c>
      <c r="B918" s="1">
        <v>-1.4366114440902765E-3</v>
      </c>
      <c r="C918" s="1">
        <v>5.3874723243260841E-3</v>
      </c>
    </row>
    <row r="919" spans="1:3" x14ac:dyDescent="0.35">
      <c r="A919" s="1">
        <v>895</v>
      </c>
      <c r="B919" s="1">
        <v>3.7865209819081592E-3</v>
      </c>
      <c r="C919" s="1">
        <v>1.1046159772487948E-2</v>
      </c>
    </row>
    <row r="920" spans="1:3" x14ac:dyDescent="0.35">
      <c r="A920" s="1">
        <v>896</v>
      </c>
      <c r="B920" s="1">
        <v>4.7975904490278869E-4</v>
      </c>
      <c r="C920" s="1">
        <v>-3.7608512829433974E-3</v>
      </c>
    </row>
    <row r="921" spans="1:3" x14ac:dyDescent="0.35">
      <c r="A921" s="1">
        <v>897</v>
      </c>
      <c r="B921" s="1">
        <v>-1.3779071737222539E-3</v>
      </c>
      <c r="C921" s="1">
        <v>1.4096569355174934E-2</v>
      </c>
    </row>
    <row r="922" spans="1:3" x14ac:dyDescent="0.35">
      <c r="A922" s="1">
        <v>898</v>
      </c>
      <c r="B922" s="1">
        <v>5.2997281415749125E-3</v>
      </c>
      <c r="C922" s="1">
        <v>-1.9188535269922053E-2</v>
      </c>
    </row>
    <row r="923" spans="1:3" x14ac:dyDescent="0.35">
      <c r="A923" s="1">
        <v>899</v>
      </c>
      <c r="B923" s="1">
        <v>-4.1879296374669629E-3</v>
      </c>
      <c r="C923" s="1">
        <v>2.246783710518576E-2</v>
      </c>
    </row>
    <row r="924" spans="1:3" x14ac:dyDescent="0.35">
      <c r="A924" s="1">
        <v>900</v>
      </c>
      <c r="B924" s="1">
        <v>-5.6964480595443978E-3</v>
      </c>
      <c r="C924" s="1">
        <v>2.5855490773517106E-2</v>
      </c>
    </row>
    <row r="925" spans="1:3" x14ac:dyDescent="0.35">
      <c r="A925" s="1">
        <v>901</v>
      </c>
      <c r="B925" s="1">
        <v>-9.4246423570827267E-3</v>
      </c>
      <c r="C925" s="1">
        <v>-8.3167833426583977E-3</v>
      </c>
    </row>
    <row r="926" spans="1:3" x14ac:dyDescent="0.35">
      <c r="A926" s="1">
        <v>902</v>
      </c>
      <c r="B926" s="1">
        <v>3.5495836242620746E-3</v>
      </c>
      <c r="C926" s="1">
        <v>-4.2835814364262986E-3</v>
      </c>
    </row>
    <row r="927" spans="1:3" x14ac:dyDescent="0.35">
      <c r="A927" s="1">
        <v>903</v>
      </c>
      <c r="B927" s="1">
        <v>-2.2706180430182182E-3</v>
      </c>
      <c r="C927" s="1">
        <v>8.2953901937034107E-3</v>
      </c>
    </row>
    <row r="928" spans="1:3" x14ac:dyDescent="0.35">
      <c r="A928" s="1">
        <v>904</v>
      </c>
      <c r="B928" s="1">
        <v>7.6322231157802383E-3</v>
      </c>
      <c r="C928" s="1">
        <v>-3.6881042246766681E-3</v>
      </c>
    </row>
    <row r="929" spans="1:3" x14ac:dyDescent="0.35">
      <c r="A929" s="1">
        <v>905</v>
      </c>
      <c r="B929" s="1">
        <v>1.7212208575378149E-3</v>
      </c>
      <c r="C929" s="1">
        <v>-2.4488382745372901E-3</v>
      </c>
    </row>
    <row r="930" spans="1:3" x14ac:dyDescent="0.35">
      <c r="A930" s="1">
        <v>906</v>
      </c>
      <c r="B930" s="1">
        <v>2.3191629352028973E-4</v>
      </c>
      <c r="C930" s="1">
        <v>-7.6576025804056579E-3</v>
      </c>
    </row>
    <row r="931" spans="1:3" x14ac:dyDescent="0.35">
      <c r="A931" s="1">
        <v>907</v>
      </c>
      <c r="B931" s="1">
        <v>5.6389196966212876E-3</v>
      </c>
      <c r="C931" s="1">
        <v>-1.3849823235858455E-3</v>
      </c>
    </row>
    <row r="932" spans="1:3" x14ac:dyDescent="0.35">
      <c r="A932" s="1">
        <v>908</v>
      </c>
      <c r="B932" s="1">
        <v>1.4483863771069545E-3</v>
      </c>
      <c r="C932" s="1">
        <v>3.0450362171389913E-4</v>
      </c>
    </row>
    <row r="933" spans="1:3" x14ac:dyDescent="0.35">
      <c r="A933" s="1">
        <v>909</v>
      </c>
      <c r="B933" s="1">
        <v>5.409077401923458E-3</v>
      </c>
      <c r="C933" s="1">
        <v>-4.3881150830664961E-3</v>
      </c>
    </row>
    <row r="934" spans="1:3" x14ac:dyDescent="0.35">
      <c r="A934" s="1">
        <v>910</v>
      </c>
      <c r="B934" s="1">
        <v>8.5829789364197048E-4</v>
      </c>
      <c r="C934" s="1">
        <v>6.8617393003356656E-3</v>
      </c>
    </row>
    <row r="935" spans="1:3" x14ac:dyDescent="0.35">
      <c r="A935" s="1">
        <v>911</v>
      </c>
      <c r="B935" s="1">
        <v>3.3462963133061305E-3</v>
      </c>
      <c r="C935" s="1">
        <v>-6.2372586896744901E-3</v>
      </c>
    </row>
    <row r="936" spans="1:3" x14ac:dyDescent="0.35">
      <c r="A936" s="1">
        <v>912</v>
      </c>
      <c r="B936" s="1">
        <v>-4.2047762378085308E-4</v>
      </c>
      <c r="C936" s="1">
        <v>6.2192816832551609E-3</v>
      </c>
    </row>
    <row r="937" spans="1:3" x14ac:dyDescent="0.35">
      <c r="A937" s="1">
        <v>913</v>
      </c>
      <c r="B937" s="1">
        <v>1.5822213007443797E-3</v>
      </c>
      <c r="C937" s="1">
        <v>1.1562700069229087E-3</v>
      </c>
    </row>
    <row r="938" spans="1:3" x14ac:dyDescent="0.35">
      <c r="A938" s="1">
        <v>914</v>
      </c>
      <c r="B938" s="1">
        <v>-2.6561353341092351E-3</v>
      </c>
      <c r="C938" s="1">
        <v>-7.9348021209118191E-4</v>
      </c>
    </row>
    <row r="939" spans="1:3" x14ac:dyDescent="0.35">
      <c r="A939" s="1">
        <v>915</v>
      </c>
      <c r="B939" s="1">
        <v>3.9129404968853126E-3</v>
      </c>
      <c r="C939" s="1">
        <v>2.7219203363110676E-3</v>
      </c>
    </row>
    <row r="940" spans="1:3" x14ac:dyDescent="0.35">
      <c r="A940" s="1">
        <v>916</v>
      </c>
      <c r="B940" s="1">
        <v>-7.9666824545760807E-4</v>
      </c>
      <c r="C940" s="1">
        <v>1.5841702531252361E-2</v>
      </c>
    </row>
    <row r="941" spans="1:3" x14ac:dyDescent="0.35">
      <c r="A941" s="1">
        <v>917</v>
      </c>
      <c r="B941" s="1">
        <v>7.3133743200585783E-4</v>
      </c>
      <c r="C941" s="1">
        <v>8.58542891173294E-3</v>
      </c>
    </row>
    <row r="942" spans="1:3" x14ac:dyDescent="0.35">
      <c r="A942" s="1">
        <v>918</v>
      </c>
      <c r="B942" s="1">
        <v>-1.7047497498649423E-3</v>
      </c>
      <c r="C942" s="1">
        <v>5.2013362456066504E-3</v>
      </c>
    </row>
    <row r="943" spans="1:3" x14ac:dyDescent="0.35">
      <c r="A943" s="1">
        <v>919</v>
      </c>
      <c r="B943" s="1">
        <v>2.0539916439733983E-4</v>
      </c>
      <c r="C943" s="1">
        <v>3.9758844108104324E-3</v>
      </c>
    </row>
    <row r="944" spans="1:3" x14ac:dyDescent="0.35">
      <c r="A944" s="1">
        <v>920</v>
      </c>
      <c r="B944" s="1">
        <v>3.4655936915424907E-3</v>
      </c>
      <c r="C944" s="1">
        <v>2.3634970623145272E-3</v>
      </c>
    </row>
    <row r="945" spans="1:3" x14ac:dyDescent="0.35">
      <c r="A945" s="1">
        <v>921</v>
      </c>
      <c r="B945" s="1">
        <v>-6.5874657004484135E-3</v>
      </c>
      <c r="C945" s="1">
        <v>1.403889189939881E-2</v>
      </c>
    </row>
    <row r="946" spans="1:3" x14ac:dyDescent="0.35">
      <c r="A946" s="1">
        <v>922</v>
      </c>
      <c r="B946" s="1">
        <v>-2.9756213465024161E-4</v>
      </c>
      <c r="C946" s="1">
        <v>-5.8659047999482152E-3</v>
      </c>
    </row>
    <row r="947" spans="1:3" x14ac:dyDescent="0.35">
      <c r="A947" s="1">
        <v>923</v>
      </c>
      <c r="B947" s="1">
        <v>-7.530027445483762E-4</v>
      </c>
      <c r="C947" s="1">
        <v>-1.8403570374576492E-2</v>
      </c>
    </row>
    <row r="948" spans="1:3" x14ac:dyDescent="0.35">
      <c r="A948" s="1">
        <v>924</v>
      </c>
      <c r="B948" s="1">
        <v>-5.3355603068968747E-3</v>
      </c>
      <c r="C948" s="1">
        <v>4.9140244249573136E-3</v>
      </c>
    </row>
    <row r="949" spans="1:3" x14ac:dyDescent="0.35">
      <c r="A949" s="1">
        <v>925</v>
      </c>
      <c r="B949" s="1">
        <v>3.944054393413542E-3</v>
      </c>
      <c r="C949" s="1">
        <v>6.0362779572645485E-3</v>
      </c>
    </row>
    <row r="950" spans="1:3" x14ac:dyDescent="0.35">
      <c r="A950" s="1">
        <v>926</v>
      </c>
      <c r="B950" s="1">
        <v>1.6571896383508339E-3</v>
      </c>
      <c r="C950" s="1">
        <v>-5.8325427118135261E-3</v>
      </c>
    </row>
    <row r="951" spans="1:3" x14ac:dyDescent="0.35">
      <c r="A951" s="1">
        <v>927</v>
      </c>
      <c r="B951" s="1">
        <v>3.6496311631334095E-3</v>
      </c>
      <c r="C951" s="1">
        <v>-1.0218396501862348E-2</v>
      </c>
    </row>
    <row r="952" spans="1:3" x14ac:dyDescent="0.35">
      <c r="A952" s="1">
        <v>928</v>
      </c>
      <c r="B952" s="1">
        <v>2.6297460800532579E-3</v>
      </c>
      <c r="C952" s="1">
        <v>-5.1939814449461063E-4</v>
      </c>
    </row>
    <row r="953" spans="1:3" x14ac:dyDescent="0.35">
      <c r="A953" s="1">
        <v>929</v>
      </c>
      <c r="B953" s="1">
        <v>1.9580461895266233E-3</v>
      </c>
      <c r="C953" s="1">
        <v>7.4417236992380311E-3</v>
      </c>
    </row>
    <row r="954" spans="1:3" x14ac:dyDescent="0.35">
      <c r="A954" s="1">
        <v>930</v>
      </c>
      <c r="B954" s="1">
        <v>6.2240086469924326E-4</v>
      </c>
      <c r="C954" s="1">
        <v>9.0401560539750021E-3</v>
      </c>
    </row>
    <row r="955" spans="1:3" x14ac:dyDescent="0.35">
      <c r="A955" s="1">
        <v>931</v>
      </c>
      <c r="B955" s="1">
        <v>3.0319090287858727E-4</v>
      </c>
      <c r="C955" s="1">
        <v>-4.4639448921801814E-3</v>
      </c>
    </row>
    <row r="956" spans="1:3" x14ac:dyDescent="0.35">
      <c r="A956" s="1">
        <v>932</v>
      </c>
      <c r="B956" s="1">
        <v>-7.1388920131507062E-4</v>
      </c>
      <c r="C956" s="1">
        <v>1.7385870686214937E-5</v>
      </c>
    </row>
    <row r="957" spans="1:3" x14ac:dyDescent="0.35">
      <c r="A957" s="1">
        <v>933</v>
      </c>
      <c r="B957" s="1">
        <v>5.6805144990506014E-3</v>
      </c>
      <c r="C957" s="1">
        <v>-2.1429549121600767E-2</v>
      </c>
    </row>
    <row r="958" spans="1:3" x14ac:dyDescent="0.35">
      <c r="A958" s="1">
        <v>934</v>
      </c>
      <c r="B958" s="1">
        <v>-4.0647211141200891E-4</v>
      </c>
      <c r="C958" s="1">
        <v>1.4850022522915361E-2</v>
      </c>
    </row>
    <row r="959" spans="1:3" x14ac:dyDescent="0.35">
      <c r="A959" s="1">
        <v>935</v>
      </c>
      <c r="B959" s="1">
        <v>1.1219768391117727E-3</v>
      </c>
      <c r="C959" s="1">
        <v>1.3417564019114711E-4</v>
      </c>
    </row>
    <row r="960" spans="1:3" x14ac:dyDescent="0.35">
      <c r="A960" s="1">
        <v>936</v>
      </c>
      <c r="B960" s="1">
        <v>1.0260625820975866E-3</v>
      </c>
      <c r="C960" s="1">
        <v>-6.6025344891161237E-3</v>
      </c>
    </row>
    <row r="961" spans="1:3" x14ac:dyDescent="0.35">
      <c r="A961" s="1">
        <v>937</v>
      </c>
      <c r="B961" s="1">
        <v>-3.808027146938942E-4</v>
      </c>
      <c r="C961" s="1">
        <v>2.0630258587867184E-3</v>
      </c>
    </row>
    <row r="962" spans="1:3" x14ac:dyDescent="0.35">
      <c r="A962" s="1">
        <v>938</v>
      </c>
      <c r="B962" s="1">
        <v>1.5175474462161382E-3</v>
      </c>
      <c r="C962" s="1">
        <v>-2.2173520038062337E-3</v>
      </c>
    </row>
    <row r="963" spans="1:3" x14ac:dyDescent="0.35">
      <c r="A963" s="1">
        <v>939</v>
      </c>
      <c r="B963" s="1">
        <v>-1.8516332605302197E-4</v>
      </c>
      <c r="C963" s="1">
        <v>5.6474170798838314E-3</v>
      </c>
    </row>
    <row r="964" spans="1:3" x14ac:dyDescent="0.35">
      <c r="A964" s="1">
        <v>940</v>
      </c>
      <c r="B964" s="1">
        <v>1.5812159839850384E-3</v>
      </c>
      <c r="C964" s="1">
        <v>-6.0604148386180087E-4</v>
      </c>
    </row>
    <row r="965" spans="1:3" x14ac:dyDescent="0.35">
      <c r="A965" s="1">
        <v>941</v>
      </c>
      <c r="B965" s="1">
        <v>-2.7820398568028735E-3</v>
      </c>
      <c r="C965" s="1">
        <v>6.9438454503796933E-4</v>
      </c>
    </row>
    <row r="966" spans="1:3" x14ac:dyDescent="0.35">
      <c r="A966" s="1">
        <v>942</v>
      </c>
      <c r="B966" s="1">
        <v>2.6259814762803649E-4</v>
      </c>
      <c r="C966" s="1">
        <v>-1.0024009775172983E-2</v>
      </c>
    </row>
    <row r="967" spans="1:3" x14ac:dyDescent="0.35">
      <c r="A967" s="1">
        <v>943</v>
      </c>
      <c r="B967" s="1">
        <v>-3.2293918355703324E-4</v>
      </c>
      <c r="C967" s="1">
        <v>-6.5774840810385576E-3</v>
      </c>
    </row>
    <row r="968" spans="1:3" x14ac:dyDescent="0.35">
      <c r="A968" s="1">
        <v>944</v>
      </c>
      <c r="B968" s="1">
        <v>3.1043226502570922E-3</v>
      </c>
      <c r="C968" s="1">
        <v>-8.0674440490490253E-3</v>
      </c>
    </row>
    <row r="969" spans="1:3" x14ac:dyDescent="0.35">
      <c r="A969" s="1">
        <v>945</v>
      </c>
      <c r="B969" s="1">
        <v>-2.866313262565296E-3</v>
      </c>
      <c r="C969" s="1">
        <v>-1.3665016243175601E-2</v>
      </c>
    </row>
    <row r="970" spans="1:3" x14ac:dyDescent="0.35">
      <c r="A970" s="1">
        <v>946</v>
      </c>
      <c r="B970" s="1">
        <v>3.3356985136297371E-3</v>
      </c>
      <c r="C970" s="1">
        <v>-8.7214464967933295E-4</v>
      </c>
    </row>
    <row r="971" spans="1:3" x14ac:dyDescent="0.35">
      <c r="A971" s="1">
        <v>947</v>
      </c>
      <c r="B971" s="1">
        <v>2.5068696276453924E-3</v>
      </c>
      <c r="C971" s="1">
        <v>3.1305536469873113E-3</v>
      </c>
    </row>
    <row r="972" spans="1:3" x14ac:dyDescent="0.35">
      <c r="A972" s="1">
        <v>948</v>
      </c>
      <c r="B972" s="1">
        <v>-4.4800963368818122E-4</v>
      </c>
      <c r="C972" s="1">
        <v>-4.1517461987364522E-3</v>
      </c>
    </row>
    <row r="973" spans="1:3" x14ac:dyDescent="0.35">
      <c r="A973" s="1">
        <v>949</v>
      </c>
      <c r="B973" s="1">
        <v>2.165302373185653E-3</v>
      </c>
      <c r="C973" s="1">
        <v>2.4557089831771105E-3</v>
      </c>
    </row>
    <row r="974" spans="1:3" x14ac:dyDescent="0.35">
      <c r="A974" s="1">
        <v>950</v>
      </c>
      <c r="B974" s="1">
        <v>2.6980761624804369E-3</v>
      </c>
      <c r="C974" s="1">
        <v>8.369890789807214E-3</v>
      </c>
    </row>
    <row r="975" spans="1:3" x14ac:dyDescent="0.35">
      <c r="A975" s="1">
        <v>951</v>
      </c>
      <c r="B975" s="1">
        <v>-2.2303398455447107E-3</v>
      </c>
      <c r="C975" s="1">
        <v>2.2303398455447107E-3</v>
      </c>
    </row>
    <row r="976" spans="1:3" x14ac:dyDescent="0.35">
      <c r="A976" s="1">
        <v>952</v>
      </c>
      <c r="B976" s="1">
        <v>1.7236241329336047E-3</v>
      </c>
      <c r="C976" s="1">
        <v>1.5460730614460859E-3</v>
      </c>
    </row>
    <row r="977" spans="1:3" x14ac:dyDescent="0.35">
      <c r="A977" s="1">
        <v>953</v>
      </c>
      <c r="B977" s="1">
        <v>1.6299740001199975E-4</v>
      </c>
      <c r="C977" s="1">
        <v>-9.6570671810155603E-3</v>
      </c>
    </row>
    <row r="978" spans="1:3" x14ac:dyDescent="0.35">
      <c r="A978" s="1">
        <v>954</v>
      </c>
      <c r="B978" s="1">
        <v>1.495950095402081E-3</v>
      </c>
      <c r="C978" s="1">
        <v>6.2294865677126714E-3</v>
      </c>
    </row>
    <row r="979" spans="1:3" x14ac:dyDescent="0.35">
      <c r="A979" s="1">
        <v>955</v>
      </c>
      <c r="B979" s="1">
        <v>-3.6842167389953781E-4</v>
      </c>
      <c r="C979" s="1">
        <v>-1.3686112759957212E-2</v>
      </c>
    </row>
    <row r="980" spans="1:3" x14ac:dyDescent="0.35">
      <c r="A980" s="1">
        <v>956</v>
      </c>
      <c r="B980" s="1">
        <v>6.5281508891241877E-5</v>
      </c>
      <c r="C980" s="1">
        <v>-6.5281508891241877E-5</v>
      </c>
    </row>
    <row r="981" spans="1:3" x14ac:dyDescent="0.35">
      <c r="A981" s="1">
        <v>957</v>
      </c>
      <c r="B981" s="1">
        <v>-2.7393156012702241E-3</v>
      </c>
      <c r="C981" s="1">
        <v>-1.7995065867363026E-2</v>
      </c>
    </row>
    <row r="982" spans="1:3" x14ac:dyDescent="0.35">
      <c r="A982" s="1">
        <v>958</v>
      </c>
      <c r="B982" s="1">
        <v>9.0848982395740085E-4</v>
      </c>
      <c r="C982" s="1">
        <v>-1.1347927887271287E-2</v>
      </c>
    </row>
    <row r="983" spans="1:3" x14ac:dyDescent="0.35">
      <c r="A983" s="1">
        <v>959</v>
      </c>
      <c r="B983" s="1">
        <v>1.2172008721611047E-4</v>
      </c>
      <c r="C983" s="1">
        <v>-5.7682187218345369E-3</v>
      </c>
    </row>
    <row r="984" spans="1:3" x14ac:dyDescent="0.35">
      <c r="A984" s="1">
        <v>960</v>
      </c>
      <c r="B984" s="1">
        <v>1.071193922975479E-3</v>
      </c>
      <c r="C984" s="1">
        <v>-4.8070748298569459E-3</v>
      </c>
    </row>
    <row r="985" spans="1:3" x14ac:dyDescent="0.35">
      <c r="A985" s="1">
        <v>961</v>
      </c>
      <c r="B985" s="1">
        <v>7.3742866932313233E-4</v>
      </c>
      <c r="C985" s="1">
        <v>-1.7386691208752587E-2</v>
      </c>
    </row>
    <row r="986" spans="1:3" x14ac:dyDescent="0.35">
      <c r="A986" s="1">
        <v>962</v>
      </c>
      <c r="B986" s="1">
        <v>-8.4380819394906865E-4</v>
      </c>
      <c r="C986" s="1">
        <v>6.3351237008061976E-3</v>
      </c>
    </row>
    <row r="987" spans="1:3" x14ac:dyDescent="0.35">
      <c r="A987" s="1">
        <v>963</v>
      </c>
      <c r="B987" s="1">
        <v>-5.771366317297499E-3</v>
      </c>
      <c r="C987" s="1">
        <v>-3.4823331485565982E-3</v>
      </c>
    </row>
    <row r="988" spans="1:3" x14ac:dyDescent="0.35">
      <c r="A988" s="1">
        <v>964</v>
      </c>
      <c r="B988" s="1">
        <v>1.5348689980976831E-3</v>
      </c>
      <c r="C988" s="1">
        <v>-6.1282594550078947E-3</v>
      </c>
    </row>
    <row r="989" spans="1:3" x14ac:dyDescent="0.35">
      <c r="A989" s="1">
        <v>965</v>
      </c>
      <c r="B989" s="1">
        <v>-6.8674174844098827E-4</v>
      </c>
      <c r="C989" s="1">
        <v>2.2249374341278116E-3</v>
      </c>
    </row>
    <row r="990" spans="1:3" x14ac:dyDescent="0.35">
      <c r="A990" s="1">
        <v>966</v>
      </c>
      <c r="B990" s="1">
        <v>4.1646436913554555E-3</v>
      </c>
      <c r="C990" s="1">
        <v>-1.7139209572094444E-4</v>
      </c>
    </row>
    <row r="991" spans="1:3" x14ac:dyDescent="0.35">
      <c r="A991" s="1">
        <v>967</v>
      </c>
      <c r="B991" s="1">
        <v>8.3572464593900456E-3</v>
      </c>
      <c r="C991" s="1">
        <v>-3.3904151338008087E-2</v>
      </c>
    </row>
    <row r="992" spans="1:3" x14ac:dyDescent="0.35">
      <c r="A992" s="1">
        <v>968</v>
      </c>
      <c r="B992" s="1">
        <v>2.6091301851941169E-3</v>
      </c>
      <c r="C992" s="1">
        <v>-3.2371611645760183E-3</v>
      </c>
    </row>
    <row r="993" spans="1:3" x14ac:dyDescent="0.35">
      <c r="A993" s="1">
        <v>969</v>
      </c>
      <c r="B993" s="1">
        <v>1.42686229916959E-3</v>
      </c>
      <c r="C993" s="1">
        <v>2.6574071563225474E-3</v>
      </c>
    </row>
    <row r="994" spans="1:3" x14ac:dyDescent="0.35">
      <c r="A994" s="1">
        <v>970</v>
      </c>
      <c r="B994" s="1">
        <v>5.2987402044545105E-4</v>
      </c>
      <c r="C994" s="1">
        <v>-9.2908079315439564E-3</v>
      </c>
    </row>
    <row r="995" spans="1:3" x14ac:dyDescent="0.35">
      <c r="A995" s="1">
        <v>971</v>
      </c>
      <c r="B995" s="1">
        <v>-7.1266780558349439E-4</v>
      </c>
      <c r="C995" s="1">
        <v>-1.8126243048560526E-3</v>
      </c>
    </row>
    <row r="996" spans="1:3" x14ac:dyDescent="0.35">
      <c r="A996" s="1">
        <v>972</v>
      </c>
      <c r="B996" s="1">
        <v>2.927909655335005E-4</v>
      </c>
      <c r="C996" s="1">
        <v>-3.457350701474602E-3</v>
      </c>
    </row>
    <row r="997" spans="1:3" x14ac:dyDescent="0.35">
      <c r="A997" s="1">
        <v>973</v>
      </c>
      <c r="B997" s="1">
        <v>-1.7284831566702701E-3</v>
      </c>
      <c r="C997" s="1">
        <v>-5.4143959696877058E-3</v>
      </c>
    </row>
    <row r="998" spans="1:3" x14ac:dyDescent="0.35">
      <c r="A998" s="1">
        <v>974</v>
      </c>
      <c r="B998" s="1">
        <v>-4.030263813889076E-3</v>
      </c>
      <c r="C998" s="1">
        <v>-8.9192521347136143E-3</v>
      </c>
    </row>
    <row r="999" spans="1:3" x14ac:dyDescent="0.35">
      <c r="A999" s="1">
        <v>975</v>
      </c>
      <c r="B999" s="1">
        <v>1.4786593345137481E-3</v>
      </c>
      <c r="C999" s="1">
        <v>4.6492549602485133E-4</v>
      </c>
    </row>
    <row r="1000" spans="1:3" x14ac:dyDescent="0.35">
      <c r="A1000" s="1">
        <v>976</v>
      </c>
      <c r="B1000" s="1">
        <v>1.4933863398693917E-3</v>
      </c>
      <c r="C1000" s="1">
        <v>1.0307403236651616E-2</v>
      </c>
    </row>
    <row r="1001" spans="1:3" x14ac:dyDescent="0.35">
      <c r="A1001" s="1">
        <v>977</v>
      </c>
      <c r="B1001" s="1">
        <v>2.2513260265639935E-4</v>
      </c>
      <c r="C1001" s="1">
        <v>6.1656702451919378E-3</v>
      </c>
    </row>
    <row r="1002" spans="1:3" x14ac:dyDescent="0.35">
      <c r="A1002" s="1">
        <v>978</v>
      </c>
      <c r="B1002" s="1">
        <v>1.9364079954242157E-3</v>
      </c>
      <c r="C1002" s="1">
        <v>1.0287793474763727E-2</v>
      </c>
    </row>
    <row r="1003" spans="1:3" x14ac:dyDescent="0.35">
      <c r="A1003" s="1">
        <v>979</v>
      </c>
      <c r="B1003" s="1">
        <v>1.3339146318206783E-3</v>
      </c>
      <c r="C1003" s="1">
        <v>1.1754729191125076E-3</v>
      </c>
    </row>
    <row r="1004" spans="1:3" x14ac:dyDescent="0.35">
      <c r="A1004" s="1">
        <v>980</v>
      </c>
      <c r="B1004" s="1">
        <v>1.1899345474545408E-3</v>
      </c>
      <c r="C1004" s="1">
        <v>6.0065734106511314E-3</v>
      </c>
    </row>
    <row r="1005" spans="1:3" x14ac:dyDescent="0.35">
      <c r="A1005" s="1">
        <v>981</v>
      </c>
      <c r="B1005" s="1">
        <v>2.0591730109524925E-3</v>
      </c>
      <c r="C1005" s="1">
        <v>5.8148994093370349E-4</v>
      </c>
    </row>
    <row r="1006" spans="1:3" x14ac:dyDescent="0.35">
      <c r="A1006" s="1">
        <v>982</v>
      </c>
      <c r="B1006" s="1">
        <v>-1.0050105010266054E-3</v>
      </c>
      <c r="C1006" s="1">
        <v>-8.5414977130320122E-4</v>
      </c>
    </row>
    <row r="1007" spans="1:3" x14ac:dyDescent="0.35">
      <c r="A1007" s="1">
        <v>983</v>
      </c>
      <c r="B1007" s="1">
        <v>2.0224217276700795E-3</v>
      </c>
      <c r="C1007" s="1">
        <v>8.8813259428735525E-5</v>
      </c>
    </row>
    <row r="1008" spans="1:3" x14ac:dyDescent="0.35">
      <c r="A1008" s="1">
        <v>984</v>
      </c>
      <c r="B1008" s="1">
        <v>1.0058810782888263E-3</v>
      </c>
      <c r="C1008" s="1">
        <v>-7.7162699912052346E-3</v>
      </c>
    </row>
    <row r="1009" spans="1:3" x14ac:dyDescent="0.35">
      <c r="A1009" s="1">
        <v>985</v>
      </c>
      <c r="B1009" s="1">
        <v>3.6332728294447979E-4</v>
      </c>
      <c r="C1009" s="1">
        <v>-2.405740647739134E-3</v>
      </c>
    </row>
    <row r="1010" spans="1:3" x14ac:dyDescent="0.35">
      <c r="A1010" s="1">
        <v>986</v>
      </c>
      <c r="B1010" s="1">
        <v>2.1651641215155357E-3</v>
      </c>
      <c r="C1010" s="1">
        <v>-2.2788632553793015E-2</v>
      </c>
    </row>
    <row r="1011" spans="1:3" x14ac:dyDescent="0.35">
      <c r="A1011" s="1">
        <v>987</v>
      </c>
      <c r="B1011" s="1">
        <v>-3.8354625471786281E-4</v>
      </c>
      <c r="C1011" s="1">
        <v>1.1796541460021652E-2</v>
      </c>
    </row>
    <row r="1012" spans="1:3" x14ac:dyDescent="0.35">
      <c r="A1012" s="1">
        <v>988</v>
      </c>
      <c r="B1012" s="1">
        <v>1.0210029459751765E-3</v>
      </c>
      <c r="C1012" s="1">
        <v>-7.2193938996831753E-3</v>
      </c>
    </row>
    <row r="1013" spans="1:3" x14ac:dyDescent="0.35">
      <c r="A1013" s="1">
        <v>989</v>
      </c>
      <c r="B1013" s="1">
        <v>-1.7588826124968094E-3</v>
      </c>
      <c r="C1013" s="1">
        <v>2.8783951092383763E-3</v>
      </c>
    </row>
    <row r="1014" spans="1:3" x14ac:dyDescent="0.35">
      <c r="A1014" s="1">
        <v>990</v>
      </c>
      <c r="B1014" s="1">
        <v>-7.3558460895466237E-4</v>
      </c>
      <c r="C1014" s="1">
        <v>5.6876126411910706E-3</v>
      </c>
    </row>
    <row r="1015" spans="1:3" x14ac:dyDescent="0.35">
      <c r="A1015" s="1">
        <v>991</v>
      </c>
      <c r="B1015" s="1">
        <v>2.8454798072788576E-3</v>
      </c>
      <c r="C1015" s="1">
        <v>-7.1372934178399097E-3</v>
      </c>
    </row>
    <row r="1016" spans="1:3" x14ac:dyDescent="0.35">
      <c r="A1016" s="1">
        <v>992</v>
      </c>
      <c r="B1016" s="1">
        <v>-1.5239373822955595E-3</v>
      </c>
      <c r="C1016" s="1">
        <v>2.0681035834038471E-2</v>
      </c>
    </row>
    <row r="1017" spans="1:3" x14ac:dyDescent="0.35">
      <c r="A1017" s="1">
        <v>993</v>
      </c>
      <c r="B1017" s="1">
        <v>2.0955386890709316E-4</v>
      </c>
      <c r="C1017" s="1">
        <v>-1.1487706110736323E-2</v>
      </c>
    </row>
    <row r="1018" spans="1:3" x14ac:dyDescent="0.35">
      <c r="A1018" s="1">
        <v>994</v>
      </c>
      <c r="B1018" s="1">
        <v>1.4405437946453056E-3</v>
      </c>
      <c r="C1018" s="1">
        <v>-1.0470963317175291E-2</v>
      </c>
    </row>
    <row r="1019" spans="1:3" x14ac:dyDescent="0.35">
      <c r="A1019" s="1">
        <v>995</v>
      </c>
      <c r="B1019" s="1">
        <v>-1.025203053400208E-3</v>
      </c>
      <c r="C1019" s="1">
        <v>1.461428080923707E-2</v>
      </c>
    </row>
    <row r="1020" spans="1:3" x14ac:dyDescent="0.35">
      <c r="A1020" s="1">
        <v>996</v>
      </c>
      <c r="B1020" s="1">
        <v>-9.2715007678428434E-3</v>
      </c>
      <c r="C1020" s="1">
        <v>5.9638111235419886E-4</v>
      </c>
    </row>
    <row r="1021" spans="1:3" x14ac:dyDescent="0.35">
      <c r="A1021" s="1">
        <v>997</v>
      </c>
      <c r="B1021" s="1">
        <v>-6.0287415481020235E-5</v>
      </c>
      <c r="C1021" s="1">
        <v>-6.3040341920876045E-3</v>
      </c>
    </row>
    <row r="1022" spans="1:3" x14ac:dyDescent="0.35">
      <c r="A1022" s="1">
        <v>998</v>
      </c>
      <c r="B1022" s="1">
        <v>3.7153014090749283E-3</v>
      </c>
      <c r="C1022" s="1">
        <v>-2.1139671147562002E-3</v>
      </c>
    </row>
    <row r="1023" spans="1:3" x14ac:dyDescent="0.35">
      <c r="A1023" s="1">
        <v>999</v>
      </c>
      <c r="B1023" s="1">
        <v>2.5628109996809981E-3</v>
      </c>
      <c r="C1023" s="1">
        <v>-5.2806767793791409E-3</v>
      </c>
    </row>
    <row r="1024" spans="1:3" x14ac:dyDescent="0.35">
      <c r="A1024" s="1">
        <v>1000</v>
      </c>
      <c r="B1024" s="1">
        <v>3.7711700648209541E-3</v>
      </c>
      <c r="C1024" s="1">
        <v>3.6029565280237662E-3</v>
      </c>
    </row>
    <row r="1025" spans="1:3" x14ac:dyDescent="0.35">
      <c r="A1025" s="1">
        <v>1001</v>
      </c>
      <c r="B1025" s="1">
        <v>8.7545620911949721E-5</v>
      </c>
      <c r="C1025" s="1">
        <v>-4.3841399995912488E-3</v>
      </c>
    </row>
    <row r="1026" spans="1:3" x14ac:dyDescent="0.35">
      <c r="A1026" s="1">
        <v>1002</v>
      </c>
      <c r="B1026" s="1">
        <v>-3.3392060279063872E-3</v>
      </c>
      <c r="C1026" s="1">
        <v>1.4213404598893051E-3</v>
      </c>
    </row>
    <row r="1027" spans="1:3" x14ac:dyDescent="0.35">
      <c r="A1027" s="1">
        <v>1003</v>
      </c>
      <c r="B1027" s="1">
        <v>-3.225387125112859E-3</v>
      </c>
      <c r="C1027" s="1">
        <v>-3.4999779434503556E-3</v>
      </c>
    </row>
    <row r="1028" spans="1:3" x14ac:dyDescent="0.35">
      <c r="A1028" s="1">
        <v>1004</v>
      </c>
      <c r="B1028" s="1">
        <v>-1.1606006863626359E-3</v>
      </c>
      <c r="C1028" s="1">
        <v>4.8684679747864421E-3</v>
      </c>
    </row>
    <row r="1029" spans="1:3" x14ac:dyDescent="0.35">
      <c r="A1029" s="1">
        <v>1005</v>
      </c>
      <c r="B1029" s="1">
        <v>-4.974844393638196E-4</v>
      </c>
      <c r="C1029" s="1">
        <v>-6.2484045548854986E-3</v>
      </c>
    </row>
    <row r="1030" spans="1:3" x14ac:dyDescent="0.35">
      <c r="A1030" s="1">
        <v>1006</v>
      </c>
      <c r="B1030" s="1">
        <v>4.2709468723529384E-3</v>
      </c>
      <c r="C1030" s="1">
        <v>-5.7263258557848891E-3</v>
      </c>
    </row>
    <row r="1031" spans="1:3" x14ac:dyDescent="0.35">
      <c r="A1031" s="1">
        <v>1007</v>
      </c>
      <c r="B1031" s="1">
        <v>1.9999821397674003E-3</v>
      </c>
      <c r="C1031" s="1">
        <v>-1.7222677192909746E-2</v>
      </c>
    </row>
    <row r="1032" spans="1:3" x14ac:dyDescent="0.35">
      <c r="A1032" s="1">
        <v>1008</v>
      </c>
      <c r="B1032" s="1">
        <v>-3.3547073294578084E-3</v>
      </c>
      <c r="C1032" s="1">
        <v>3.8481153275631902E-3</v>
      </c>
    </row>
    <row r="1033" spans="1:3" x14ac:dyDescent="0.35">
      <c r="A1033" s="1">
        <v>1009</v>
      </c>
      <c r="B1033" s="1">
        <v>7.2012869560114342E-4</v>
      </c>
      <c r="C1033" s="1">
        <v>1.3579581027934605E-2</v>
      </c>
    </row>
    <row r="1034" spans="1:3" x14ac:dyDescent="0.35">
      <c r="A1034" s="1">
        <v>1010</v>
      </c>
      <c r="B1034" s="1">
        <v>-4.7407558405591519E-3</v>
      </c>
      <c r="C1034" s="1">
        <v>-5.6302601725531148E-3</v>
      </c>
    </row>
    <row r="1035" spans="1:3" x14ac:dyDescent="0.35">
      <c r="A1035" s="1">
        <v>1011</v>
      </c>
      <c r="B1035" s="1">
        <v>7.2498206952779074E-4</v>
      </c>
      <c r="C1035" s="1">
        <v>8.7722973482705809E-3</v>
      </c>
    </row>
    <row r="1036" spans="1:3" x14ac:dyDescent="0.35">
      <c r="A1036" s="1">
        <v>1012</v>
      </c>
      <c r="B1036" s="1">
        <v>5.8689483218050216E-4</v>
      </c>
      <c r="C1036" s="1">
        <v>5.7391202599011756E-3</v>
      </c>
    </row>
    <row r="1037" spans="1:3" x14ac:dyDescent="0.35">
      <c r="A1037" s="1">
        <v>1013</v>
      </c>
      <c r="B1037" s="1">
        <v>6.1103641108586383E-3</v>
      </c>
      <c r="C1037" s="1">
        <v>-1.0462425913668718E-2</v>
      </c>
    </row>
    <row r="1038" spans="1:3" x14ac:dyDescent="0.35">
      <c r="A1038" s="1">
        <v>1014</v>
      </c>
      <c r="B1038" s="1">
        <v>-4.6170579558245709E-4</v>
      </c>
      <c r="C1038" s="1">
        <v>8.2324600571378852E-3</v>
      </c>
    </row>
    <row r="1039" spans="1:3" x14ac:dyDescent="0.35">
      <c r="A1039" s="1">
        <v>1015</v>
      </c>
      <c r="B1039" s="1">
        <v>3.4327766479086532E-3</v>
      </c>
      <c r="C1039" s="1">
        <v>3.9568763238130439E-3</v>
      </c>
    </row>
    <row r="1040" spans="1:3" x14ac:dyDescent="0.35">
      <c r="A1040" s="1">
        <v>1016</v>
      </c>
      <c r="B1040" s="1">
        <v>3.0393202680585808E-3</v>
      </c>
      <c r="C1040" s="1">
        <v>-7.6638981097647899E-3</v>
      </c>
    </row>
    <row r="1041" spans="1:3" x14ac:dyDescent="0.35">
      <c r="A1041" s="1">
        <v>1017</v>
      </c>
      <c r="B1041" s="1">
        <v>2.1930038543701313E-3</v>
      </c>
      <c r="C1041" s="1">
        <v>-1.2446054373307196E-2</v>
      </c>
    </row>
    <row r="1042" spans="1:3" x14ac:dyDescent="0.35">
      <c r="A1042" s="1">
        <v>1018</v>
      </c>
      <c r="B1042" s="1">
        <v>1.9277284545793673E-3</v>
      </c>
      <c r="C1042" s="1">
        <v>-5.974352932303746E-3</v>
      </c>
    </row>
    <row r="1043" spans="1:3" x14ac:dyDescent="0.35">
      <c r="A1043" s="1">
        <v>1019</v>
      </c>
      <c r="B1043" s="1">
        <v>-7.0059305652645431E-4</v>
      </c>
      <c r="C1043" s="1">
        <v>7.0390094883219529E-3</v>
      </c>
    </row>
    <row r="1044" spans="1:3" x14ac:dyDescent="0.35">
      <c r="A1044" s="1">
        <v>1020</v>
      </c>
      <c r="B1044" s="1">
        <v>-4.4733977419424394E-3</v>
      </c>
      <c r="C1044" s="1">
        <v>3.5965550390691332E-2</v>
      </c>
    </row>
    <row r="1045" spans="1:3" x14ac:dyDescent="0.35">
      <c r="A1045" s="1">
        <v>1021</v>
      </c>
      <c r="B1045" s="1">
        <v>3.1839964590368508E-3</v>
      </c>
      <c r="C1045" s="1">
        <v>-2.6825732476571499E-2</v>
      </c>
    </row>
    <row r="1046" spans="1:3" x14ac:dyDescent="0.35">
      <c r="A1046" s="1">
        <v>1022</v>
      </c>
      <c r="B1046" s="1">
        <v>-1.2874041672284533E-3</v>
      </c>
      <c r="C1046" s="1">
        <v>8.8242982768811963E-3</v>
      </c>
    </row>
    <row r="1047" spans="1:3" x14ac:dyDescent="0.35">
      <c r="A1047" s="1">
        <v>1023</v>
      </c>
      <c r="B1047" s="1">
        <v>1.9154785006309011E-3</v>
      </c>
      <c r="C1047" s="1">
        <v>1.7502030604440857E-2</v>
      </c>
    </row>
    <row r="1048" spans="1:3" x14ac:dyDescent="0.35">
      <c r="A1048" s="1">
        <v>1024</v>
      </c>
      <c r="B1048" s="1">
        <v>-1.4057887791615834E-3</v>
      </c>
      <c r="C1048" s="1">
        <v>-7.4936327112281051E-3</v>
      </c>
    </row>
    <row r="1049" spans="1:3" x14ac:dyDescent="0.35">
      <c r="A1049" s="1">
        <v>1025</v>
      </c>
      <c r="B1049" s="1">
        <v>-2.23006035609626E-3</v>
      </c>
      <c r="C1049" s="1">
        <v>1.8230091425473901E-4</v>
      </c>
    </row>
    <row r="1050" spans="1:3" x14ac:dyDescent="0.35">
      <c r="A1050" s="1">
        <v>1026</v>
      </c>
      <c r="B1050" s="1">
        <v>2.5427360192081328E-3</v>
      </c>
      <c r="C1050" s="1">
        <v>-1.3276787691935386E-2</v>
      </c>
    </row>
    <row r="1051" spans="1:3" x14ac:dyDescent="0.35">
      <c r="A1051" s="1">
        <v>1027</v>
      </c>
      <c r="B1051" s="1">
        <v>1.475717956831575E-3</v>
      </c>
      <c r="C1051" s="1">
        <v>5.7048020134560368E-3</v>
      </c>
    </row>
    <row r="1052" spans="1:3" x14ac:dyDescent="0.35">
      <c r="A1052" s="1">
        <v>1028</v>
      </c>
      <c r="B1052" s="1">
        <v>1.3906533881102722E-3</v>
      </c>
      <c r="C1052" s="1">
        <v>2.4116547134514924E-3</v>
      </c>
    </row>
    <row r="1053" spans="1:3" x14ac:dyDescent="0.35">
      <c r="A1053" s="1">
        <v>1029</v>
      </c>
      <c r="B1053" s="1">
        <v>-2.8272993956568286E-3</v>
      </c>
      <c r="C1053" s="1">
        <v>1.0402986066616181E-2</v>
      </c>
    </row>
    <row r="1054" spans="1:3" x14ac:dyDescent="0.35">
      <c r="A1054" s="1">
        <v>1030</v>
      </c>
      <c r="B1054" s="1">
        <v>2.3778860679508841E-3</v>
      </c>
      <c r="C1054" s="1">
        <v>8.7437054843406328E-3</v>
      </c>
    </row>
    <row r="1055" spans="1:3" x14ac:dyDescent="0.35">
      <c r="A1055" s="1">
        <v>1031</v>
      </c>
      <c r="B1055" s="1">
        <v>3.2733334841358327E-4</v>
      </c>
      <c r="C1055" s="1">
        <v>4.6922848047027906E-2</v>
      </c>
    </row>
    <row r="1056" spans="1:3" x14ac:dyDescent="0.35">
      <c r="A1056" s="1">
        <v>1032</v>
      </c>
      <c r="B1056" s="1">
        <v>-6.5835721671963349E-4</v>
      </c>
      <c r="C1056" s="1">
        <v>1.7078417017713635E-2</v>
      </c>
    </row>
    <row r="1057" spans="1:3" x14ac:dyDescent="0.35">
      <c r="A1057" s="1">
        <v>1033</v>
      </c>
      <c r="B1057" s="1">
        <v>3.5728165696617162E-3</v>
      </c>
      <c r="C1057" s="1">
        <v>7.9248446885235701E-3</v>
      </c>
    </row>
    <row r="1058" spans="1:3" x14ac:dyDescent="0.35">
      <c r="A1058" s="1">
        <v>1034</v>
      </c>
      <c r="B1058" s="1">
        <v>1.9492121693014141E-4</v>
      </c>
      <c r="C1058" s="1">
        <v>-9.2595637541621079E-3</v>
      </c>
    </row>
    <row r="1059" spans="1:3" x14ac:dyDescent="0.35">
      <c r="A1059" s="1">
        <v>1035</v>
      </c>
      <c r="B1059" s="1">
        <v>1.0047650097046589E-3</v>
      </c>
      <c r="C1059" s="1">
        <v>1.6086448908936E-3</v>
      </c>
    </row>
    <row r="1060" spans="1:3" x14ac:dyDescent="0.35">
      <c r="A1060" s="1">
        <v>1036</v>
      </c>
      <c r="B1060" s="1">
        <v>9.8287952923634733E-4</v>
      </c>
      <c r="C1060" s="1">
        <v>1.3789130467631677E-2</v>
      </c>
    </row>
    <row r="1061" spans="1:3" x14ac:dyDescent="0.35">
      <c r="A1061" s="1">
        <v>1037</v>
      </c>
      <c r="B1061" s="1">
        <v>-1.1764906112130191E-3</v>
      </c>
      <c r="C1061" s="1">
        <v>7.4828826296009972E-4</v>
      </c>
    </row>
    <row r="1062" spans="1:3" x14ac:dyDescent="0.35">
      <c r="A1062" s="1">
        <v>1038</v>
      </c>
      <c r="B1062" s="1">
        <v>-5.2724560735947336E-3</v>
      </c>
      <c r="C1062" s="1">
        <v>2.3976093405329975E-2</v>
      </c>
    </row>
    <row r="1063" spans="1:3" x14ac:dyDescent="0.35">
      <c r="A1063" s="1">
        <v>1039</v>
      </c>
      <c r="B1063" s="1">
        <v>-1.3807819543576363E-3</v>
      </c>
      <c r="C1063" s="1">
        <v>-9.2709367856654065E-3</v>
      </c>
    </row>
    <row r="1064" spans="1:3" x14ac:dyDescent="0.35">
      <c r="A1064" s="1">
        <v>1040</v>
      </c>
      <c r="B1064" s="1">
        <v>-1.2876729234338844E-3</v>
      </c>
      <c r="C1064" s="1">
        <v>1.4037332996292284E-2</v>
      </c>
    </row>
    <row r="1065" spans="1:3" x14ac:dyDescent="0.35">
      <c r="A1065" s="1">
        <v>1041</v>
      </c>
      <c r="B1065" s="1">
        <v>2.6183669261264442E-4</v>
      </c>
      <c r="C1065" s="1">
        <v>-9.9134398253540468E-3</v>
      </c>
    </row>
    <row r="1066" spans="1:3" x14ac:dyDescent="0.35">
      <c r="A1066" s="1">
        <v>1042</v>
      </c>
      <c r="B1066" s="1">
        <v>-4.8864834113527093E-3</v>
      </c>
      <c r="C1066" s="1">
        <v>5.8750614575985181E-3</v>
      </c>
    </row>
    <row r="1067" spans="1:3" x14ac:dyDescent="0.35">
      <c r="A1067" s="1">
        <v>1043</v>
      </c>
      <c r="B1067" s="1">
        <v>5.3192736376748932E-3</v>
      </c>
      <c r="C1067" s="1">
        <v>-5.2168599702732618E-4</v>
      </c>
    </row>
    <row r="1068" spans="1:3" x14ac:dyDescent="0.35">
      <c r="A1068" s="1">
        <v>1044</v>
      </c>
      <c r="B1068" s="1">
        <v>-5.4438286714643585E-3</v>
      </c>
      <c r="C1068" s="1">
        <v>2.1031361028067252E-2</v>
      </c>
    </row>
    <row r="1069" spans="1:3" x14ac:dyDescent="0.35">
      <c r="A1069" s="1">
        <v>1045</v>
      </c>
      <c r="B1069" s="1">
        <v>-3.7185883058717946E-3</v>
      </c>
      <c r="C1069" s="1">
        <v>-2.573378598784146E-2</v>
      </c>
    </row>
    <row r="1070" spans="1:3" x14ac:dyDescent="0.35">
      <c r="A1070" s="1">
        <v>1046</v>
      </c>
      <c r="B1070" s="1">
        <v>3.8086609343033549E-3</v>
      </c>
      <c r="C1070" s="1">
        <v>-5.3757536874165625E-3</v>
      </c>
    </row>
    <row r="1071" spans="1:3" x14ac:dyDescent="0.35">
      <c r="A1071" s="1">
        <v>1047</v>
      </c>
      <c r="B1071" s="1">
        <v>-5.5153451333508222E-3</v>
      </c>
      <c r="C1071" s="1">
        <v>1.0937832569029957E-2</v>
      </c>
    </row>
    <row r="1072" spans="1:3" x14ac:dyDescent="0.35">
      <c r="A1072" s="1">
        <v>1048</v>
      </c>
      <c r="B1072" s="1">
        <v>1.9943747199083059E-3</v>
      </c>
      <c r="C1072" s="1">
        <v>1.1772155539258315E-2</v>
      </c>
    </row>
    <row r="1073" spans="1:3" x14ac:dyDescent="0.35">
      <c r="A1073" s="1">
        <v>1049</v>
      </c>
      <c r="B1073" s="1">
        <v>-8.4607484257537332E-3</v>
      </c>
      <c r="C1073" s="1">
        <v>8.7407081581761803E-3</v>
      </c>
    </row>
    <row r="1074" spans="1:3" x14ac:dyDescent="0.35">
      <c r="A1074" s="1">
        <v>1050</v>
      </c>
      <c r="B1074" s="1">
        <v>-2.216954409818683E-3</v>
      </c>
      <c r="C1074" s="1">
        <v>-3.5212733958132811E-3</v>
      </c>
    </row>
    <row r="1075" spans="1:3" x14ac:dyDescent="0.35">
      <c r="A1075" s="1">
        <v>1051</v>
      </c>
      <c r="B1075" s="1">
        <v>1.7904611050401046E-3</v>
      </c>
      <c r="C1075" s="1">
        <v>-1.7274768052722853E-2</v>
      </c>
    </row>
    <row r="1076" spans="1:3" x14ac:dyDescent="0.35">
      <c r="A1076" s="1">
        <v>1052</v>
      </c>
      <c r="B1076" s="1">
        <v>-4.2514708584834018E-3</v>
      </c>
      <c r="C1076" s="1">
        <v>-3.2376241777099315E-4</v>
      </c>
    </row>
    <row r="1077" spans="1:3" x14ac:dyDescent="0.35">
      <c r="A1077" s="1">
        <v>1053</v>
      </c>
      <c r="B1077" s="1">
        <v>7.0605412697272874E-3</v>
      </c>
      <c r="C1077" s="1">
        <v>-6.3370304744906417E-3</v>
      </c>
    </row>
    <row r="1078" spans="1:3" x14ac:dyDescent="0.35">
      <c r="A1078" s="1">
        <v>1054</v>
      </c>
      <c r="B1078" s="1">
        <v>2.2825135624521937E-3</v>
      </c>
      <c r="C1078" s="1">
        <v>1.159833179540482E-2</v>
      </c>
    </row>
    <row r="1079" spans="1:3" x14ac:dyDescent="0.35">
      <c r="A1079" s="1">
        <v>1055</v>
      </c>
      <c r="B1079" s="1">
        <v>-3.2097870940239336E-3</v>
      </c>
      <c r="C1079" s="1">
        <v>-7.3436694826881071E-3</v>
      </c>
    </row>
    <row r="1080" spans="1:3" x14ac:dyDescent="0.35">
      <c r="A1080" s="1">
        <v>1056</v>
      </c>
      <c r="B1080" s="1">
        <v>3.6925761785947695E-3</v>
      </c>
      <c r="C1080" s="1">
        <v>-5.1338542939134112E-3</v>
      </c>
    </row>
    <row r="1081" spans="1:3" x14ac:dyDescent="0.35">
      <c r="A1081" s="1">
        <v>1057</v>
      </c>
      <c r="B1081" s="1">
        <v>-4.849379448908709E-4</v>
      </c>
      <c r="C1081" s="1">
        <v>6.6915478623440676E-3</v>
      </c>
    </row>
    <row r="1082" spans="1:3" x14ac:dyDescent="0.35">
      <c r="A1082" s="1">
        <v>1058</v>
      </c>
      <c r="B1082" s="1">
        <v>4.8340888370539483E-4</v>
      </c>
      <c r="C1082" s="1">
        <v>-1.5402415008074311E-2</v>
      </c>
    </row>
    <row r="1083" spans="1:3" x14ac:dyDescent="0.35">
      <c r="A1083" s="1">
        <v>1059</v>
      </c>
      <c r="B1083" s="1">
        <v>5.8958181176630613E-3</v>
      </c>
      <c r="C1083" s="1">
        <v>-1.8182868906914933E-3</v>
      </c>
    </row>
    <row r="1084" spans="1:3" x14ac:dyDescent="0.35">
      <c r="A1084" s="1">
        <v>1060</v>
      </c>
      <c r="B1084" s="1">
        <v>7.2462469476382351E-4</v>
      </c>
      <c r="C1084" s="1">
        <v>-2.7549978559787179E-3</v>
      </c>
    </row>
    <row r="1085" spans="1:3" x14ac:dyDescent="0.35">
      <c r="A1085" s="1">
        <v>1061</v>
      </c>
      <c r="B1085" s="1">
        <v>-3.3717675954377264E-3</v>
      </c>
      <c r="C1085" s="1">
        <v>2.0956431231481651E-2</v>
      </c>
    </row>
    <row r="1086" spans="1:3" x14ac:dyDescent="0.35">
      <c r="A1086" s="1">
        <v>1062</v>
      </c>
      <c r="B1086" s="1">
        <v>-8.4597904814361546E-4</v>
      </c>
      <c r="C1086" s="1">
        <v>1.1128664654944687E-2</v>
      </c>
    </row>
    <row r="1087" spans="1:3" x14ac:dyDescent="0.35">
      <c r="A1087" s="1">
        <v>1063</v>
      </c>
      <c r="B1087" s="1">
        <v>-6.1325465037462947E-3</v>
      </c>
      <c r="C1087" s="1">
        <v>9.0228574240734574E-4</v>
      </c>
    </row>
    <row r="1088" spans="1:3" x14ac:dyDescent="0.35">
      <c r="A1088" s="1">
        <v>1064</v>
      </c>
      <c r="B1088" s="1">
        <v>2.0001354945992506E-3</v>
      </c>
      <c r="C1088" s="1">
        <v>1.5763100980183565E-2</v>
      </c>
    </row>
    <row r="1089" spans="1:3" x14ac:dyDescent="0.35">
      <c r="A1089" s="1">
        <v>1065</v>
      </c>
      <c r="B1089" s="1">
        <v>1.4347138840002088E-3</v>
      </c>
      <c r="C1089" s="1">
        <v>2.0559500813500742E-3</v>
      </c>
    </row>
    <row r="1090" spans="1:3" x14ac:dyDescent="0.35">
      <c r="A1090" s="1">
        <v>1066</v>
      </c>
      <c r="B1090" s="1">
        <v>2.3829227776090813E-3</v>
      </c>
      <c r="C1090" s="1">
        <v>-9.8965034298080165E-3</v>
      </c>
    </row>
    <row r="1091" spans="1:3" x14ac:dyDescent="0.35">
      <c r="A1091" s="1">
        <v>1067</v>
      </c>
      <c r="B1091" s="1">
        <v>-1.535363089152725E-2</v>
      </c>
      <c r="C1091" s="1">
        <v>4.1289387666088799E-2</v>
      </c>
    </row>
    <row r="1092" spans="1:3" x14ac:dyDescent="0.35">
      <c r="A1092" s="1">
        <v>1068</v>
      </c>
      <c r="B1092" s="1">
        <v>-1.9006866585298755E-2</v>
      </c>
      <c r="C1092" s="1">
        <v>-2.540430983659266E-2</v>
      </c>
    </row>
    <row r="1093" spans="1:3" x14ac:dyDescent="0.35">
      <c r="A1093" s="1">
        <v>1069</v>
      </c>
      <c r="B1093" s="1">
        <v>-5.321010875023258E-4</v>
      </c>
      <c r="C1093" s="1">
        <v>-2.1775671154597467E-2</v>
      </c>
    </row>
    <row r="1094" spans="1:3" x14ac:dyDescent="0.35">
      <c r="A1094" s="1">
        <v>1070</v>
      </c>
      <c r="B1094" s="1">
        <v>-4.8337056129122971E-3</v>
      </c>
      <c r="C1094" s="1">
        <v>5.5649331811484974E-3</v>
      </c>
    </row>
    <row r="1095" spans="1:3" x14ac:dyDescent="0.35">
      <c r="A1095" s="1">
        <v>1071</v>
      </c>
      <c r="B1095" s="1">
        <v>3.0834626877444187E-2</v>
      </c>
      <c r="C1095" s="1">
        <v>-8.4728147399131641E-3</v>
      </c>
    </row>
    <row r="1096" spans="1:3" x14ac:dyDescent="0.35">
      <c r="A1096" s="1">
        <v>1072</v>
      </c>
      <c r="B1096" s="1">
        <v>-1.0917209014445116E-2</v>
      </c>
      <c r="C1096" s="1">
        <v>2.2496932176500138E-2</v>
      </c>
    </row>
    <row r="1097" spans="1:3" x14ac:dyDescent="0.35">
      <c r="A1097" s="1">
        <v>1073</v>
      </c>
      <c r="B1097" s="1">
        <v>6.039352939551778E-3</v>
      </c>
      <c r="C1097" s="1">
        <v>3.4292678126063431E-3</v>
      </c>
    </row>
    <row r="1098" spans="1:3" x14ac:dyDescent="0.35">
      <c r="A1098" s="1">
        <v>1074</v>
      </c>
      <c r="B1098" s="1">
        <v>2.7743475398474072E-3</v>
      </c>
      <c r="C1098" s="1">
        <v>1.1505322672032407E-2</v>
      </c>
    </row>
    <row r="1099" spans="1:3" x14ac:dyDescent="0.35">
      <c r="A1099" s="1">
        <v>1075</v>
      </c>
      <c r="B1099" s="1">
        <v>-3.3785826125108654E-4</v>
      </c>
      <c r="C1099" s="1">
        <v>-7.8056219610800059E-3</v>
      </c>
    </row>
    <row r="1100" spans="1:3" x14ac:dyDescent="0.35">
      <c r="A1100" s="1">
        <v>1076</v>
      </c>
      <c r="B1100" s="1">
        <v>-6.9920116556553688E-3</v>
      </c>
      <c r="C1100" s="1">
        <v>4.4871361214724372E-3</v>
      </c>
    </row>
    <row r="1101" spans="1:3" x14ac:dyDescent="0.35">
      <c r="A1101" s="1">
        <v>1077</v>
      </c>
      <c r="B1101" s="1">
        <v>6.4499099582291492E-4</v>
      </c>
      <c r="C1101" s="1">
        <v>1.7770187818406679E-2</v>
      </c>
    </row>
    <row r="1102" spans="1:3" x14ac:dyDescent="0.35">
      <c r="A1102" s="1">
        <v>1078</v>
      </c>
      <c r="B1102" s="1">
        <v>-7.3649686770282559E-3</v>
      </c>
      <c r="C1102" s="1">
        <v>4.2141469587448572E-3</v>
      </c>
    </row>
    <row r="1103" spans="1:3" x14ac:dyDescent="0.35">
      <c r="A1103" s="1">
        <v>1079</v>
      </c>
      <c r="B1103" s="1">
        <v>8.2997408844215637E-3</v>
      </c>
      <c r="C1103" s="1">
        <v>7.2288000552436088E-3</v>
      </c>
    </row>
    <row r="1104" spans="1:3" x14ac:dyDescent="0.35">
      <c r="A1104" s="1">
        <v>1080</v>
      </c>
      <c r="B1104" s="1">
        <v>5.5789306151512843E-3</v>
      </c>
      <c r="C1104" s="1">
        <v>-1.369799117887191E-2</v>
      </c>
    </row>
    <row r="1105" spans="1:3" x14ac:dyDescent="0.35">
      <c r="A1105" s="1">
        <v>1081</v>
      </c>
      <c r="B1105" s="1">
        <v>6.7366093872564068E-3</v>
      </c>
      <c r="C1105" s="1">
        <v>-1.7377901472429038E-2</v>
      </c>
    </row>
    <row r="1106" spans="1:3" x14ac:dyDescent="0.35">
      <c r="A1106" s="1">
        <v>1082</v>
      </c>
      <c r="B1106" s="1">
        <v>2.5904371813462884E-3</v>
      </c>
      <c r="C1106" s="1">
        <v>-1.1001831392379818E-2</v>
      </c>
    </row>
    <row r="1107" spans="1:3" x14ac:dyDescent="0.35">
      <c r="A1107" s="1">
        <v>1083</v>
      </c>
      <c r="B1107" s="1">
        <v>4.2422246654862431E-4</v>
      </c>
      <c r="C1107" s="1">
        <v>-2.0930144730019074E-3</v>
      </c>
    </row>
    <row r="1108" spans="1:3" x14ac:dyDescent="0.35">
      <c r="A1108" s="1">
        <v>1084</v>
      </c>
      <c r="B1108" s="1">
        <v>2.085043981028769E-3</v>
      </c>
      <c r="C1108" s="1">
        <v>5.7153801973099331E-3</v>
      </c>
    </row>
    <row r="1109" spans="1:3" x14ac:dyDescent="0.35">
      <c r="A1109" s="1">
        <v>1085</v>
      </c>
      <c r="B1109" s="1">
        <v>6.9426937284772726E-4</v>
      </c>
      <c r="C1109" s="1">
        <v>2.0701722265463358E-3</v>
      </c>
    </row>
    <row r="1110" spans="1:3" x14ac:dyDescent="0.35">
      <c r="A1110" s="1">
        <v>1086</v>
      </c>
      <c r="B1110" s="1">
        <v>2.2448586158747524E-3</v>
      </c>
      <c r="C1110" s="1">
        <v>-1.961222612309358E-2</v>
      </c>
    </row>
    <row r="1111" spans="1:3" x14ac:dyDescent="0.35">
      <c r="A1111" s="1">
        <v>1087</v>
      </c>
      <c r="B1111" s="1">
        <v>4.9564683562138469E-3</v>
      </c>
      <c r="C1111" s="1">
        <v>9.3447866777368604E-5</v>
      </c>
    </row>
    <row r="1112" spans="1:3" x14ac:dyDescent="0.35">
      <c r="A1112" s="1">
        <v>1088</v>
      </c>
      <c r="B1112" s="1">
        <v>-1.8352627850632423E-3</v>
      </c>
      <c r="C1112" s="1">
        <v>2.5330161866930962E-3</v>
      </c>
    </row>
    <row r="1113" spans="1:3" x14ac:dyDescent="0.35">
      <c r="A1113" s="1">
        <v>1089</v>
      </c>
      <c r="B1113" s="1">
        <v>-2.2572946398463057E-3</v>
      </c>
      <c r="C1113" s="1">
        <v>2.5362231411729889E-3</v>
      </c>
    </row>
    <row r="1114" spans="1:3" x14ac:dyDescent="0.35">
      <c r="A1114" s="1">
        <v>1090</v>
      </c>
      <c r="B1114" s="1">
        <v>1.6165462680121892E-3</v>
      </c>
      <c r="C1114" s="1">
        <v>7.8647044182444687E-3</v>
      </c>
    </row>
    <row r="1115" spans="1:3" x14ac:dyDescent="0.35">
      <c r="A1115" s="1">
        <v>1091</v>
      </c>
      <c r="B1115" s="1">
        <v>2.0841959479192926E-3</v>
      </c>
      <c r="C1115" s="1">
        <v>-1.9073145495304356E-2</v>
      </c>
    </row>
    <row r="1116" spans="1:3" x14ac:dyDescent="0.35">
      <c r="A1116" s="1">
        <v>1092</v>
      </c>
      <c r="B1116" s="1">
        <v>-1.0855218869291008E-5</v>
      </c>
      <c r="C1116" s="1">
        <v>-9.1222131912803636E-3</v>
      </c>
    </row>
    <row r="1117" spans="1:3" x14ac:dyDescent="0.35">
      <c r="A1117" s="1">
        <v>1093</v>
      </c>
      <c r="B1117" s="1">
        <v>1.0694130928673454E-2</v>
      </c>
      <c r="C1117" s="1">
        <v>-2.4732620129312762E-2</v>
      </c>
    </row>
    <row r="1118" spans="1:3" x14ac:dyDescent="0.35">
      <c r="A1118" s="1">
        <v>1094</v>
      </c>
      <c r="B1118" s="1">
        <v>2.5502391705588138E-3</v>
      </c>
      <c r="C1118" s="1">
        <v>-1.0748193079860732E-2</v>
      </c>
    </row>
    <row r="1119" spans="1:3" x14ac:dyDescent="0.35">
      <c r="A1119" s="1">
        <v>1095</v>
      </c>
      <c r="B1119" s="1">
        <v>5.4768399867881237E-4</v>
      </c>
      <c r="C1119" s="1">
        <v>2.3526544608240638E-3</v>
      </c>
    </row>
    <row r="1120" spans="1:3" x14ac:dyDescent="0.35">
      <c r="A1120" s="1">
        <v>1096</v>
      </c>
      <c r="B1120" s="1">
        <v>1.547682214513745E-3</v>
      </c>
      <c r="C1120" s="1">
        <v>3.3877362517039974E-2</v>
      </c>
    </row>
    <row r="1121" spans="1:3" x14ac:dyDescent="0.35">
      <c r="A1121" s="1">
        <v>1097</v>
      </c>
      <c r="B1121" s="1">
        <v>2.4720747875348922E-3</v>
      </c>
      <c r="C1121" s="1">
        <v>2.9740302331515609E-3</v>
      </c>
    </row>
    <row r="1122" spans="1:3" x14ac:dyDescent="0.35">
      <c r="A1122" s="1">
        <v>1098</v>
      </c>
      <c r="B1122" s="1">
        <v>4.9996646883390813E-4</v>
      </c>
      <c r="C1122" s="1">
        <v>-1.47209443279915E-3</v>
      </c>
    </row>
    <row r="1123" spans="1:3" x14ac:dyDescent="0.35">
      <c r="A1123" s="1">
        <v>1099</v>
      </c>
      <c r="B1123" s="1">
        <v>-1.0304266411068986E-3</v>
      </c>
      <c r="C1123" s="1">
        <v>-2.3061210049365737E-3</v>
      </c>
    </row>
    <row r="1124" spans="1:3" x14ac:dyDescent="0.35">
      <c r="A1124" s="1">
        <v>1100</v>
      </c>
      <c r="B1124" s="1">
        <v>-4.9735438156773342E-3</v>
      </c>
      <c r="C1124" s="1">
        <v>7.2052829527803428E-3</v>
      </c>
    </row>
    <row r="1125" spans="1:3" x14ac:dyDescent="0.35">
      <c r="A1125" s="1">
        <v>1101</v>
      </c>
      <c r="B1125" s="1">
        <v>7.4928769846585716E-5</v>
      </c>
      <c r="C1125" s="1">
        <v>-9.9567070558701318E-3</v>
      </c>
    </row>
    <row r="1126" spans="1:3" x14ac:dyDescent="0.35">
      <c r="A1126" s="1">
        <v>1102</v>
      </c>
      <c r="B1126" s="1">
        <v>-1.9403813602789164E-3</v>
      </c>
      <c r="C1126" s="1">
        <v>1.0796286957785532E-2</v>
      </c>
    </row>
    <row r="1127" spans="1:3" x14ac:dyDescent="0.35">
      <c r="A1127" s="1">
        <v>1103</v>
      </c>
      <c r="B1127" s="1">
        <v>6.800942409192671E-3</v>
      </c>
      <c r="C1127" s="1">
        <v>-6.6616685042454223E-3</v>
      </c>
    </row>
    <row r="1128" spans="1:3" x14ac:dyDescent="0.35">
      <c r="A1128" s="1">
        <v>1104</v>
      </c>
      <c r="B1128" s="1">
        <v>-1.5745187304772837E-3</v>
      </c>
      <c r="C1128" s="1">
        <v>-7.2023172267314285E-3</v>
      </c>
    </row>
    <row r="1129" spans="1:3" x14ac:dyDescent="0.35">
      <c r="A1129" s="1">
        <v>1105</v>
      </c>
      <c r="B1129" s="1">
        <v>1.5087050790829541E-3</v>
      </c>
      <c r="C1129" s="1">
        <v>3.2699536133262643E-3</v>
      </c>
    </row>
    <row r="1130" spans="1:3" x14ac:dyDescent="0.35">
      <c r="A1130" s="1">
        <v>1106</v>
      </c>
      <c r="B1130" s="1">
        <v>1.9194768360606749E-4</v>
      </c>
      <c r="C1130" s="1">
        <v>8.3406346530590248E-3</v>
      </c>
    </row>
    <row r="1131" spans="1:3" x14ac:dyDescent="0.35">
      <c r="A1131" s="1">
        <v>1107</v>
      </c>
      <c r="B1131" s="1">
        <v>1.5379360871596067E-3</v>
      </c>
      <c r="C1131" s="1">
        <v>-2.9248414940456261E-3</v>
      </c>
    </row>
    <row r="1132" spans="1:3" x14ac:dyDescent="0.35">
      <c r="A1132" s="1">
        <v>1108</v>
      </c>
      <c r="B1132" s="1">
        <v>2.0843617954621929E-3</v>
      </c>
      <c r="C1132" s="1">
        <v>-1.3750980272651066E-2</v>
      </c>
    </row>
    <row r="1133" spans="1:3" x14ac:dyDescent="0.35">
      <c r="A1133" s="1">
        <v>1109</v>
      </c>
      <c r="B1133" s="1">
        <v>2.4177930822059839E-4</v>
      </c>
      <c r="C1133" s="1">
        <v>2.7093592643572463E-3</v>
      </c>
    </row>
    <row r="1134" spans="1:3" x14ac:dyDescent="0.35">
      <c r="A1134" s="1">
        <v>1110</v>
      </c>
      <c r="B1134" s="1">
        <v>-1.4799726250758524E-3</v>
      </c>
      <c r="C1134" s="1">
        <v>-4.9653737371841049E-3</v>
      </c>
    </row>
    <row r="1135" spans="1:3" x14ac:dyDescent="0.35">
      <c r="A1135" s="1">
        <v>1111</v>
      </c>
      <c r="B1135" s="1">
        <v>3.5259656051844341E-3</v>
      </c>
      <c r="C1135" s="1">
        <v>2.6790467631671454E-3</v>
      </c>
    </row>
    <row r="1136" spans="1:3" x14ac:dyDescent="0.35">
      <c r="A1136" s="1">
        <v>1112</v>
      </c>
      <c r="B1136" s="1">
        <v>5.1407074813600219E-4</v>
      </c>
      <c r="C1136" s="1">
        <v>5.372489376615391E-3</v>
      </c>
    </row>
    <row r="1137" spans="1:3" x14ac:dyDescent="0.35">
      <c r="A1137" s="1">
        <v>1113</v>
      </c>
      <c r="B1137" s="1">
        <v>1.9822675240521296E-3</v>
      </c>
      <c r="C1137" s="1">
        <v>6.0989867406668063E-3</v>
      </c>
    </row>
    <row r="1138" spans="1:3" x14ac:dyDescent="0.35">
      <c r="A1138" s="1">
        <v>1114</v>
      </c>
      <c r="B1138" s="1">
        <v>-6.6479959016527016E-4</v>
      </c>
      <c r="C1138" s="1">
        <v>-3.2052246682083068E-3</v>
      </c>
    </row>
    <row r="1139" spans="1:3" x14ac:dyDescent="0.35">
      <c r="A1139" s="1">
        <v>1115</v>
      </c>
      <c r="B1139" s="1">
        <v>1.447965414446998E-3</v>
      </c>
      <c r="C1139" s="1">
        <v>9.1080913926312756E-4</v>
      </c>
    </row>
    <row r="1140" spans="1:3" x14ac:dyDescent="0.35">
      <c r="A1140" s="1">
        <v>1116</v>
      </c>
      <c r="B1140" s="1">
        <v>-3.4166351918377782E-3</v>
      </c>
      <c r="C1140" s="1">
        <v>-6.4816267057953292E-3</v>
      </c>
    </row>
    <row r="1141" spans="1:3" x14ac:dyDescent="0.35">
      <c r="A1141" s="1">
        <v>1117</v>
      </c>
      <c r="B1141" s="1">
        <v>3.2402367346386972E-3</v>
      </c>
      <c r="C1141" s="1">
        <v>-1.0280442859857977E-2</v>
      </c>
    </row>
    <row r="1142" spans="1:3" x14ac:dyDescent="0.35">
      <c r="A1142" s="1">
        <v>1118</v>
      </c>
      <c r="B1142" s="1">
        <v>-2.46931571255446E-3</v>
      </c>
      <c r="C1142" s="1">
        <v>-1.0292860056776858E-2</v>
      </c>
    </row>
    <row r="1143" spans="1:3" x14ac:dyDescent="0.35">
      <c r="A1143" s="1">
        <v>1119</v>
      </c>
      <c r="B1143" s="1">
        <v>1.1856907079344768E-4</v>
      </c>
      <c r="C1143" s="1">
        <v>-6.0077308624452456E-3</v>
      </c>
    </row>
    <row r="1144" spans="1:3" x14ac:dyDescent="0.35">
      <c r="A1144" s="1">
        <v>1120</v>
      </c>
      <c r="B1144" s="1">
        <v>-4.8293188488160812E-4</v>
      </c>
      <c r="C1144" s="1">
        <v>-4.8632433955702083E-3</v>
      </c>
    </row>
    <row r="1145" spans="1:3" x14ac:dyDescent="0.35">
      <c r="A1145" s="1">
        <v>1121</v>
      </c>
      <c r="B1145" s="1">
        <v>3.3090429268430198E-3</v>
      </c>
      <c r="C1145" s="1">
        <v>9.7648114000698644E-3</v>
      </c>
    </row>
    <row r="1146" spans="1:3" x14ac:dyDescent="0.35">
      <c r="A1146" s="1">
        <v>1122</v>
      </c>
      <c r="B1146" s="1">
        <v>3.7965764003609092E-3</v>
      </c>
      <c r="C1146" s="1">
        <v>2.9426766291278396E-3</v>
      </c>
    </row>
    <row r="1147" spans="1:3" x14ac:dyDescent="0.35">
      <c r="A1147" s="1">
        <v>1123</v>
      </c>
      <c r="B1147" s="1">
        <v>2.1701236264267177E-4</v>
      </c>
      <c r="C1147" s="1">
        <v>-8.4778372454167427E-3</v>
      </c>
    </row>
    <row r="1148" spans="1:3" x14ac:dyDescent="0.35">
      <c r="A1148" s="1">
        <v>1124</v>
      </c>
      <c r="B1148" s="1">
        <v>2.798610992064513E-3</v>
      </c>
      <c r="C1148" s="1">
        <v>-5.0964987187837162E-3</v>
      </c>
    </row>
    <row r="1149" spans="1:3" x14ac:dyDescent="0.35">
      <c r="A1149" s="1">
        <v>1125</v>
      </c>
      <c r="B1149" s="1">
        <v>1.8973173039482875E-3</v>
      </c>
      <c r="C1149" s="1">
        <v>1.0482039327904799E-2</v>
      </c>
    </row>
    <row r="1150" spans="1:3" x14ac:dyDescent="0.35">
      <c r="A1150" s="1">
        <v>1126</v>
      </c>
      <c r="B1150" s="1">
        <v>1.8797675196749978E-3</v>
      </c>
      <c r="C1150" s="1">
        <v>4.0920556025196269E-3</v>
      </c>
    </row>
    <row r="1151" spans="1:3" x14ac:dyDescent="0.35">
      <c r="A1151" s="1">
        <v>1127</v>
      </c>
      <c r="B1151" s="1">
        <v>-1.4182699728376602E-4</v>
      </c>
      <c r="C1151" s="1">
        <v>1.3145491243515521E-2</v>
      </c>
    </row>
    <row r="1152" spans="1:3" x14ac:dyDescent="0.35">
      <c r="A1152" s="1">
        <v>1128</v>
      </c>
      <c r="B1152" s="1">
        <v>1.7448443657900013E-3</v>
      </c>
      <c r="C1152" s="1">
        <v>-1.2348994790967988E-2</v>
      </c>
    </row>
    <row r="1153" spans="1:3" x14ac:dyDescent="0.35">
      <c r="A1153" s="1">
        <v>1129</v>
      </c>
      <c r="B1153" s="1">
        <v>2.9011984547540831E-3</v>
      </c>
      <c r="C1153" s="1">
        <v>3.3037882876040007E-3</v>
      </c>
    </row>
    <row r="1154" spans="1:3" x14ac:dyDescent="0.35">
      <c r="A1154" s="1">
        <v>1130</v>
      </c>
      <c r="B1154" s="1">
        <v>-2.3116903649251651E-3</v>
      </c>
      <c r="C1154" s="1">
        <v>-2.4534597601975397E-3</v>
      </c>
    </row>
    <row r="1155" spans="1:3" x14ac:dyDescent="0.35">
      <c r="A1155" s="1">
        <v>1131</v>
      </c>
      <c r="B1155" s="1">
        <v>-1.2272836739873183E-5</v>
      </c>
      <c r="C1155" s="1">
        <v>-1.083140711094633E-2</v>
      </c>
    </row>
    <row r="1156" spans="1:3" x14ac:dyDescent="0.35">
      <c r="A1156" s="1">
        <v>1132</v>
      </c>
      <c r="B1156" s="1">
        <v>2.1686022887275952E-3</v>
      </c>
      <c r="C1156" s="1">
        <v>-1.2988531035430972E-2</v>
      </c>
    </row>
    <row r="1157" spans="1:3" x14ac:dyDescent="0.35">
      <c r="A1157" s="1">
        <v>1133</v>
      </c>
      <c r="B1157" s="1">
        <v>1.1016841780653573E-3</v>
      </c>
      <c r="C1157" s="1">
        <v>3.0720130277079724E-3</v>
      </c>
    </row>
    <row r="1158" spans="1:3" x14ac:dyDescent="0.35">
      <c r="A1158" s="1">
        <v>1134</v>
      </c>
      <c r="B1158" s="1">
        <v>-8.4293593379536011E-4</v>
      </c>
      <c r="C1158" s="1">
        <v>2.276358992E-3</v>
      </c>
    </row>
    <row r="1159" spans="1:3" x14ac:dyDescent="0.35">
      <c r="A1159" s="1">
        <v>1135</v>
      </c>
      <c r="B1159" s="1">
        <v>6.7091692790924296E-4</v>
      </c>
      <c r="C1159" s="1">
        <v>-6.3958480962131555E-3</v>
      </c>
    </row>
    <row r="1160" spans="1:3" x14ac:dyDescent="0.35">
      <c r="A1160" s="1">
        <v>1136</v>
      </c>
      <c r="B1160" s="1">
        <v>-1.0549023905385433E-3</v>
      </c>
      <c r="C1160" s="1">
        <v>-5.285827366377806E-4</v>
      </c>
    </row>
    <row r="1161" spans="1:3" x14ac:dyDescent="0.35">
      <c r="A1161" s="1">
        <v>1137</v>
      </c>
      <c r="B1161" s="1">
        <v>1.2456557225410797E-3</v>
      </c>
      <c r="C1161" s="1">
        <v>-2.5432283631678949E-3</v>
      </c>
    </row>
    <row r="1162" spans="1:3" x14ac:dyDescent="0.35">
      <c r="A1162" s="1">
        <v>1138</v>
      </c>
      <c r="B1162" s="1">
        <v>1.9471244206064179E-3</v>
      </c>
      <c r="C1162" s="1">
        <v>1.710877901335817E-2</v>
      </c>
    </row>
    <row r="1163" spans="1:3" x14ac:dyDescent="0.35">
      <c r="A1163" s="1">
        <v>1139</v>
      </c>
      <c r="B1163" s="1">
        <v>1.8895503374761859E-4</v>
      </c>
      <c r="C1163" s="1">
        <v>-1.067205686671114E-2</v>
      </c>
    </row>
    <row r="1164" spans="1:3" x14ac:dyDescent="0.35">
      <c r="A1164" s="1">
        <v>1140</v>
      </c>
      <c r="B1164" s="1">
        <v>6.6825311377671076E-4</v>
      </c>
      <c r="C1164" s="1">
        <v>2.4813774472044791E-3</v>
      </c>
    </row>
    <row r="1165" spans="1:3" x14ac:dyDescent="0.35">
      <c r="A1165" s="1">
        <v>1141</v>
      </c>
      <c r="B1165" s="1">
        <v>4.2320083759654007E-4</v>
      </c>
      <c r="C1165" s="1">
        <v>-6.2744318688535781E-3</v>
      </c>
    </row>
    <row r="1166" spans="1:3" x14ac:dyDescent="0.35">
      <c r="A1166" s="1">
        <v>1142</v>
      </c>
      <c r="B1166" s="1">
        <v>2.7316098120585036E-3</v>
      </c>
      <c r="C1166" s="1">
        <v>-9.9092636062634767E-3</v>
      </c>
    </row>
    <row r="1167" spans="1:3" x14ac:dyDescent="0.35">
      <c r="A1167" s="1">
        <v>1143</v>
      </c>
      <c r="B1167" s="1">
        <v>4.4272905699985053E-4</v>
      </c>
      <c r="C1167" s="1">
        <v>-1.3105028143220376E-3</v>
      </c>
    </row>
    <row r="1168" spans="1:3" x14ac:dyDescent="0.35">
      <c r="A1168" s="1">
        <v>1144</v>
      </c>
      <c r="B1168" s="1">
        <v>1.496842986417027E-3</v>
      </c>
      <c r="C1168" s="1">
        <v>-4.8367300914304591E-4</v>
      </c>
    </row>
    <row r="1169" spans="1:3" x14ac:dyDescent="0.35">
      <c r="A1169" s="1">
        <v>1145</v>
      </c>
      <c r="B1169" s="1">
        <v>2.7497530673170872E-4</v>
      </c>
      <c r="C1169" s="1">
        <v>-1.5888728518300834E-2</v>
      </c>
    </row>
    <row r="1170" spans="1:3" x14ac:dyDescent="0.35">
      <c r="A1170" s="1">
        <v>1146</v>
      </c>
      <c r="B1170" s="1">
        <v>-7.3415571023460475E-4</v>
      </c>
      <c r="C1170" s="1">
        <v>1.9679592171022137E-2</v>
      </c>
    </row>
    <row r="1171" spans="1:3" x14ac:dyDescent="0.35">
      <c r="A1171" s="1">
        <v>1147</v>
      </c>
      <c r="B1171" s="1">
        <v>-1.8394574210556613E-4</v>
      </c>
      <c r="C1171" s="1">
        <v>-8.8963331673200027E-3</v>
      </c>
    </row>
    <row r="1172" spans="1:3" x14ac:dyDescent="0.35">
      <c r="A1172" s="1">
        <v>1148</v>
      </c>
      <c r="B1172" s="1">
        <v>-9.7076933849720955E-4</v>
      </c>
      <c r="C1172" s="1">
        <v>-1.1538457602876603E-2</v>
      </c>
    </row>
    <row r="1173" spans="1:3" x14ac:dyDescent="0.35">
      <c r="A1173" s="1">
        <v>1149</v>
      </c>
      <c r="B1173" s="1">
        <v>-4.9275331413526271E-3</v>
      </c>
      <c r="C1173" s="1">
        <v>1.9215446692935685E-2</v>
      </c>
    </row>
    <row r="1174" spans="1:3" x14ac:dyDescent="0.35">
      <c r="A1174" s="1">
        <v>1150</v>
      </c>
      <c r="B1174" s="1">
        <v>4.9598552183208727E-3</v>
      </c>
      <c r="C1174" s="1">
        <v>-3.507714204140879E-3</v>
      </c>
    </row>
    <row r="1175" spans="1:3" x14ac:dyDescent="0.35">
      <c r="A1175" s="1">
        <v>1151</v>
      </c>
      <c r="B1175" s="1">
        <v>-1.3449893787081946E-3</v>
      </c>
      <c r="C1175" s="1">
        <v>2.6502008277916661E-3</v>
      </c>
    </row>
    <row r="1176" spans="1:3" x14ac:dyDescent="0.35">
      <c r="A1176" s="1">
        <v>1152</v>
      </c>
      <c r="B1176" s="1">
        <v>2.5610844607090112E-3</v>
      </c>
      <c r="C1176" s="1">
        <v>4.1006526520480212E-3</v>
      </c>
    </row>
    <row r="1177" spans="1:3" x14ac:dyDescent="0.35">
      <c r="A1177" s="1">
        <v>1153</v>
      </c>
      <c r="B1177" s="1">
        <v>-3.8526180531192822E-5</v>
      </c>
      <c r="C1177" s="1">
        <v>1.3274164424313981E-2</v>
      </c>
    </row>
    <row r="1178" spans="1:3" x14ac:dyDescent="0.35">
      <c r="A1178" s="1">
        <v>1154</v>
      </c>
      <c r="B1178" s="1">
        <v>2.7276934841849103E-3</v>
      </c>
      <c r="C1178" s="1">
        <v>-4.0057725863653307E-3</v>
      </c>
    </row>
    <row r="1179" spans="1:3" x14ac:dyDescent="0.35">
      <c r="A1179" s="1">
        <v>1155</v>
      </c>
      <c r="B1179" s="1">
        <v>-5.8765439475938551E-4</v>
      </c>
      <c r="C1179" s="1">
        <v>6.4165362794160671E-3</v>
      </c>
    </row>
    <row r="1180" spans="1:3" x14ac:dyDescent="0.35">
      <c r="A1180" s="1">
        <v>1156</v>
      </c>
      <c r="B1180" s="1">
        <v>3.8685588210630711E-3</v>
      </c>
      <c r="C1180" s="1">
        <v>-4.4338546471747791E-3</v>
      </c>
    </row>
    <row r="1181" spans="1:3" x14ac:dyDescent="0.35">
      <c r="A1181" s="1">
        <v>1157</v>
      </c>
      <c r="B1181" s="1">
        <v>1.2573746446422329E-3</v>
      </c>
      <c r="C1181" s="1">
        <v>-4.7929646300711492E-3</v>
      </c>
    </row>
    <row r="1182" spans="1:3" x14ac:dyDescent="0.35">
      <c r="A1182" s="1">
        <v>1158</v>
      </c>
      <c r="B1182" s="1">
        <v>3.1559172713870525E-4</v>
      </c>
      <c r="C1182" s="1">
        <v>-1.3230595594795169E-2</v>
      </c>
    </row>
    <row r="1183" spans="1:3" x14ac:dyDescent="0.35">
      <c r="A1183" s="1">
        <v>1159</v>
      </c>
      <c r="B1183" s="1">
        <v>-7.1410776066956668E-4</v>
      </c>
      <c r="C1183" s="1">
        <v>6.0338138599863806E-3</v>
      </c>
    </row>
    <row r="1184" spans="1:3" x14ac:dyDescent="0.35">
      <c r="A1184" s="1">
        <v>1160</v>
      </c>
      <c r="B1184" s="1">
        <v>1.8564828793268318E-4</v>
      </c>
      <c r="C1184" s="1">
        <v>-1.1484156852912028E-2</v>
      </c>
    </row>
    <row r="1185" spans="1:3" x14ac:dyDescent="0.35">
      <c r="A1185" s="1">
        <v>1161</v>
      </c>
      <c r="B1185" s="1">
        <v>-1.6668240478613929E-3</v>
      </c>
      <c r="C1185" s="1">
        <v>1.6132302301095084E-2</v>
      </c>
    </row>
    <row r="1186" spans="1:3" x14ac:dyDescent="0.35">
      <c r="A1186" s="1">
        <v>1162</v>
      </c>
      <c r="B1186" s="1">
        <v>-5.643402638731515E-4</v>
      </c>
      <c r="C1186" s="1">
        <v>8.6920700909583273E-3</v>
      </c>
    </row>
    <row r="1187" spans="1:3" x14ac:dyDescent="0.35">
      <c r="A1187" s="1">
        <v>1163</v>
      </c>
      <c r="B1187" s="1">
        <v>-1.0703092326657801E-3</v>
      </c>
      <c r="C1187" s="1">
        <v>5.046136439093449E-4</v>
      </c>
    </row>
    <row r="1188" spans="1:3" x14ac:dyDescent="0.35">
      <c r="A1188" s="1">
        <v>1164</v>
      </c>
      <c r="B1188" s="1">
        <v>5.1044356134062434E-3</v>
      </c>
      <c r="C1188" s="1">
        <v>-1.2605185589795679E-2</v>
      </c>
    </row>
    <row r="1189" spans="1:3" x14ac:dyDescent="0.35">
      <c r="A1189" s="1">
        <v>1165</v>
      </c>
      <c r="B1189" s="1">
        <v>-1.1546755857985086E-3</v>
      </c>
      <c r="C1189" s="1">
        <v>-1.5956334576484821E-2</v>
      </c>
    </row>
    <row r="1190" spans="1:3" x14ac:dyDescent="0.35">
      <c r="A1190" s="1">
        <v>1166</v>
      </c>
      <c r="B1190" s="1">
        <v>1.548217308224341E-3</v>
      </c>
      <c r="C1190" s="1">
        <v>-4.4496621902626564E-3</v>
      </c>
    </row>
    <row r="1191" spans="1:3" x14ac:dyDescent="0.35">
      <c r="A1191" s="1">
        <v>1167</v>
      </c>
      <c r="B1191" s="1">
        <v>9.8738896126760942E-4</v>
      </c>
      <c r="C1191" s="1">
        <v>4.674985980918419E-4</v>
      </c>
    </row>
    <row r="1192" spans="1:3" x14ac:dyDescent="0.35">
      <c r="A1192" s="1">
        <v>1168</v>
      </c>
      <c r="B1192" s="1">
        <v>1.2337706508279123E-3</v>
      </c>
      <c r="C1192" s="1">
        <v>-8.0621230931548545E-3</v>
      </c>
    </row>
    <row r="1193" spans="1:3" x14ac:dyDescent="0.35">
      <c r="A1193" s="1">
        <v>1169</v>
      </c>
      <c r="B1193" s="1">
        <v>-1.840599667485048E-3</v>
      </c>
      <c r="C1193" s="1">
        <v>1.1056363885983885E-2</v>
      </c>
    </row>
    <row r="1194" spans="1:3" x14ac:dyDescent="0.35">
      <c r="A1194" s="1">
        <v>1170</v>
      </c>
      <c r="B1194" s="1">
        <v>-2.0092318871082469E-3</v>
      </c>
      <c r="C1194" s="1">
        <v>3.0239050348756895E-3</v>
      </c>
    </row>
    <row r="1195" spans="1:3" x14ac:dyDescent="0.35">
      <c r="A1195" s="1">
        <v>1171</v>
      </c>
      <c r="B1195" s="1">
        <v>1.8590611730840347E-3</v>
      </c>
      <c r="C1195" s="1">
        <v>-2.8727058028642605E-3</v>
      </c>
    </row>
    <row r="1196" spans="1:3" x14ac:dyDescent="0.35">
      <c r="A1196" s="1">
        <v>1172</v>
      </c>
      <c r="B1196" s="1">
        <v>2.9036216461125752E-3</v>
      </c>
      <c r="C1196" s="1">
        <v>-1.3629733511076747E-2</v>
      </c>
    </row>
    <row r="1197" spans="1:3" x14ac:dyDescent="0.35">
      <c r="A1197" s="1">
        <v>1173</v>
      </c>
      <c r="B1197" s="1">
        <v>-8.0034477261826931E-4</v>
      </c>
      <c r="C1197" s="1">
        <v>-3.4486843132331023E-3</v>
      </c>
    </row>
    <row r="1198" spans="1:3" x14ac:dyDescent="0.35">
      <c r="A1198" s="1">
        <v>1174</v>
      </c>
      <c r="B1198" s="1">
        <v>8.9568606752071008E-4</v>
      </c>
      <c r="C1198" s="1">
        <v>-8.6945487732480401E-3</v>
      </c>
    </row>
    <row r="1199" spans="1:3" x14ac:dyDescent="0.35">
      <c r="A1199" s="1">
        <v>1175</v>
      </c>
      <c r="B1199" s="1">
        <v>1.0830056885053391E-3</v>
      </c>
      <c r="C1199" s="1">
        <v>5.2939907395180737E-3</v>
      </c>
    </row>
    <row r="1200" spans="1:3" x14ac:dyDescent="0.35">
      <c r="A1200" s="1">
        <v>1176</v>
      </c>
      <c r="B1200" s="1">
        <v>1.178026187654981E-3</v>
      </c>
      <c r="C1200" s="1">
        <v>-1.7673966416669631E-3</v>
      </c>
    </row>
    <row r="1201" spans="1:3" x14ac:dyDescent="0.35">
      <c r="A1201" s="1">
        <v>1177</v>
      </c>
      <c r="B1201" s="1">
        <v>2.9484760803432986E-3</v>
      </c>
      <c r="C1201" s="1">
        <v>-5.8974086233833795E-3</v>
      </c>
    </row>
    <row r="1202" spans="1:3" x14ac:dyDescent="0.35">
      <c r="A1202" s="1">
        <v>1178</v>
      </c>
      <c r="B1202" s="1">
        <v>6.2737208957203123E-5</v>
      </c>
      <c r="C1202" s="1">
        <v>-9.0838523865460642E-3</v>
      </c>
    </row>
    <row r="1203" spans="1:3" x14ac:dyDescent="0.35">
      <c r="A1203" s="1">
        <v>1179</v>
      </c>
      <c r="B1203" s="1">
        <v>1.7324638955630695E-3</v>
      </c>
      <c r="C1203" s="1">
        <v>-6.0932784673033858E-3</v>
      </c>
    </row>
    <row r="1204" spans="1:3" x14ac:dyDescent="0.35">
      <c r="A1204" s="1">
        <v>1180</v>
      </c>
      <c r="B1204" s="1">
        <v>-1.9633263583709163E-4</v>
      </c>
      <c r="C1204" s="1">
        <v>6.4935122027469665E-4</v>
      </c>
    </row>
    <row r="1205" spans="1:3" x14ac:dyDescent="0.35">
      <c r="A1205" s="1">
        <v>1181</v>
      </c>
      <c r="B1205" s="1">
        <v>-9.4090019381171678E-5</v>
      </c>
      <c r="C1205" s="1">
        <v>1.217147379687576E-2</v>
      </c>
    </row>
    <row r="1206" spans="1:3" x14ac:dyDescent="0.35">
      <c r="A1206" s="1">
        <v>1182</v>
      </c>
      <c r="B1206" s="1">
        <v>1.7590089392957231E-3</v>
      </c>
      <c r="C1206" s="1">
        <v>-1.0410614715697958E-2</v>
      </c>
    </row>
    <row r="1207" spans="1:3" x14ac:dyDescent="0.35">
      <c r="A1207" s="1">
        <v>1183</v>
      </c>
      <c r="B1207" s="1">
        <v>1.7899941673381434E-3</v>
      </c>
      <c r="C1207" s="1">
        <v>-2.2414242759572307E-3</v>
      </c>
    </row>
    <row r="1208" spans="1:3" x14ac:dyDescent="0.35">
      <c r="A1208" s="1">
        <v>1184</v>
      </c>
      <c r="B1208" s="1">
        <v>1.6370391450898033E-3</v>
      </c>
      <c r="C1208" s="1">
        <v>-4.9487133227976762E-3</v>
      </c>
    </row>
    <row r="1209" spans="1:3" x14ac:dyDescent="0.35">
      <c r="A1209" s="1">
        <v>1185</v>
      </c>
      <c r="B1209" s="1">
        <v>-1.5522961096275209E-3</v>
      </c>
      <c r="C1209" s="1">
        <v>9.1040370052766131E-3</v>
      </c>
    </row>
    <row r="1210" spans="1:3" x14ac:dyDescent="0.35">
      <c r="A1210" s="1">
        <v>1186</v>
      </c>
      <c r="B1210" s="1">
        <v>-6.978534279695152E-4</v>
      </c>
      <c r="C1210" s="1">
        <v>-3.1997250911010144E-3</v>
      </c>
    </row>
    <row r="1211" spans="1:3" x14ac:dyDescent="0.35">
      <c r="A1211" s="1">
        <v>1187</v>
      </c>
      <c r="B1211" s="1">
        <v>-1.3936377485501033E-3</v>
      </c>
      <c r="C1211" s="1">
        <v>-5.6792153087731117E-3</v>
      </c>
    </row>
    <row r="1212" spans="1:3" x14ac:dyDescent="0.35">
      <c r="A1212" s="1">
        <v>1188</v>
      </c>
      <c r="B1212" s="1">
        <v>2.1170351312697474E-3</v>
      </c>
      <c r="C1212" s="1">
        <v>-6.8155543815755842E-3</v>
      </c>
    </row>
    <row r="1213" spans="1:3" x14ac:dyDescent="0.35">
      <c r="A1213" s="1">
        <v>1189</v>
      </c>
      <c r="B1213" s="1">
        <v>1.0660781763804823E-3</v>
      </c>
      <c r="C1213" s="1">
        <v>4.5682259012514263E-3</v>
      </c>
    </row>
    <row r="1214" spans="1:3" x14ac:dyDescent="0.35">
      <c r="A1214" s="1">
        <v>1190</v>
      </c>
      <c r="B1214" s="1">
        <v>1.5343344705326595E-3</v>
      </c>
      <c r="C1214" s="1">
        <v>2.7054988120194393E-3</v>
      </c>
    </row>
    <row r="1215" spans="1:3" x14ac:dyDescent="0.35">
      <c r="A1215" s="1">
        <v>1191</v>
      </c>
      <c r="B1215" s="1">
        <v>1.3120227232602142E-3</v>
      </c>
      <c r="C1215" s="1">
        <v>5.6240927948685649E-3</v>
      </c>
    </row>
    <row r="1216" spans="1:3" x14ac:dyDescent="0.35">
      <c r="A1216" s="1">
        <v>1192</v>
      </c>
      <c r="B1216" s="1">
        <v>4.1703056476292152E-4</v>
      </c>
      <c r="C1216" s="1">
        <v>-1.0599799931042778E-2</v>
      </c>
    </row>
    <row r="1217" spans="1:3" x14ac:dyDescent="0.35">
      <c r="A1217" s="1">
        <v>1193</v>
      </c>
      <c r="B1217" s="1">
        <v>2.391489924288375E-4</v>
      </c>
      <c r="C1217" s="1">
        <v>8.0816021498481497E-3</v>
      </c>
    </row>
    <row r="1218" spans="1:3" x14ac:dyDescent="0.35">
      <c r="A1218" s="1">
        <v>1194</v>
      </c>
      <c r="B1218" s="1">
        <v>1.3913912449514158E-3</v>
      </c>
      <c r="C1218" s="1">
        <v>-9.6434788201112207E-3</v>
      </c>
    </row>
    <row r="1219" spans="1:3" x14ac:dyDescent="0.35">
      <c r="A1219" s="1">
        <v>1195</v>
      </c>
      <c r="B1219" s="1">
        <v>-1.0082820180076476E-3</v>
      </c>
      <c r="C1219" s="1">
        <v>1.1447025635379957E-2</v>
      </c>
    </row>
    <row r="1220" spans="1:3" x14ac:dyDescent="0.35">
      <c r="A1220" s="1">
        <v>1196</v>
      </c>
      <c r="B1220" s="1">
        <v>2.09316933090783E-3</v>
      </c>
      <c r="C1220" s="1">
        <v>-1.212452818346044E-2</v>
      </c>
    </row>
    <row r="1221" spans="1:3" x14ac:dyDescent="0.35">
      <c r="A1221" s="1">
        <v>1197</v>
      </c>
      <c r="B1221" s="1">
        <v>-6.6855817469108016E-4</v>
      </c>
      <c r="C1221" s="1">
        <v>4.4495100045359864E-3</v>
      </c>
    </row>
    <row r="1222" spans="1:3" x14ac:dyDescent="0.35">
      <c r="A1222" s="1">
        <v>1198</v>
      </c>
      <c r="B1222" s="1">
        <v>-8.5053383240562119E-3</v>
      </c>
      <c r="C1222" s="1">
        <v>1.8600292664315884E-2</v>
      </c>
    </row>
    <row r="1223" spans="1:3" x14ac:dyDescent="0.35">
      <c r="A1223" s="1">
        <v>1199</v>
      </c>
      <c r="B1223" s="1">
        <v>5.2370730847169479E-3</v>
      </c>
      <c r="C1223" s="1">
        <v>-8.8170399850934066E-3</v>
      </c>
    </row>
    <row r="1224" spans="1:3" x14ac:dyDescent="0.35">
      <c r="A1224" s="1">
        <v>1200</v>
      </c>
      <c r="B1224" s="1">
        <v>-2.8526548266786915E-4</v>
      </c>
      <c r="C1224" s="1">
        <v>1.0914003675976615E-2</v>
      </c>
    </row>
    <row r="1225" spans="1:3" x14ac:dyDescent="0.35">
      <c r="A1225" s="1">
        <v>1201</v>
      </c>
      <c r="B1225" s="1">
        <v>1.5134693327138922E-3</v>
      </c>
      <c r="C1225" s="1">
        <v>-7.8829127563898888E-3</v>
      </c>
    </row>
    <row r="1226" spans="1:3" x14ac:dyDescent="0.35">
      <c r="A1226" s="1">
        <v>1202</v>
      </c>
      <c r="B1226" s="1">
        <v>-1.8072021129022914E-3</v>
      </c>
      <c r="C1226" s="1">
        <v>9.4100098144392665E-3</v>
      </c>
    </row>
    <row r="1227" spans="1:3" x14ac:dyDescent="0.35">
      <c r="A1227" s="1">
        <v>1203</v>
      </c>
      <c r="B1227" s="1">
        <v>1.9139666486103759E-3</v>
      </c>
      <c r="C1227" s="1">
        <v>1.0661958074304673E-2</v>
      </c>
    </row>
    <row r="1228" spans="1:3" x14ac:dyDescent="0.35">
      <c r="A1228" s="1">
        <v>1204</v>
      </c>
      <c r="B1228" s="1">
        <v>3.6519622986484518E-3</v>
      </c>
      <c r="C1228" s="1">
        <v>-3.6519622986484518E-3</v>
      </c>
    </row>
    <row r="1229" spans="1:3" x14ac:dyDescent="0.35">
      <c r="A1229" s="1">
        <v>1205</v>
      </c>
      <c r="B1229" s="1">
        <v>2.2859008313937096E-4</v>
      </c>
      <c r="C1229" s="1">
        <v>4.0390853113986179E-2</v>
      </c>
    </row>
    <row r="1230" spans="1:3" x14ac:dyDescent="0.35">
      <c r="A1230" s="1">
        <v>1206</v>
      </c>
      <c r="B1230" s="1">
        <v>-1.4993282914171201E-3</v>
      </c>
      <c r="C1230" s="1">
        <v>-4.2575144926752908E-3</v>
      </c>
    </row>
    <row r="1231" spans="1:3" x14ac:dyDescent="0.35">
      <c r="A1231" s="1">
        <v>1207</v>
      </c>
      <c r="B1231" s="1">
        <v>2.0930823942107348E-3</v>
      </c>
      <c r="C1231" s="1">
        <v>-1.4379344177866632E-2</v>
      </c>
    </row>
    <row r="1232" spans="1:3" x14ac:dyDescent="0.35">
      <c r="A1232" s="1">
        <v>1208</v>
      </c>
      <c r="B1232" s="1">
        <v>2.7607404150835606E-3</v>
      </c>
      <c r="C1232" s="1">
        <v>-6.0493508291589379E-3</v>
      </c>
    </row>
    <row r="1233" spans="1:3" x14ac:dyDescent="0.35">
      <c r="A1233" s="1">
        <v>1209</v>
      </c>
      <c r="B1233" s="1">
        <v>4.1724965928380273E-3</v>
      </c>
      <c r="C1233" s="1">
        <v>8.4827864880524309E-4</v>
      </c>
    </row>
    <row r="1234" spans="1:3" x14ac:dyDescent="0.35">
      <c r="A1234" s="1">
        <v>1210</v>
      </c>
      <c r="B1234" s="1">
        <v>9.5423485536405453E-4</v>
      </c>
      <c r="C1234" s="1">
        <v>4.7324699405693798E-4</v>
      </c>
    </row>
    <row r="1235" spans="1:3" x14ac:dyDescent="0.35">
      <c r="A1235" s="1">
        <v>1211</v>
      </c>
      <c r="B1235" s="1">
        <v>2.0404804828233714E-4</v>
      </c>
      <c r="C1235" s="1">
        <v>-2.6002372860544271E-2</v>
      </c>
    </row>
    <row r="1236" spans="1:3" x14ac:dyDescent="0.35">
      <c r="A1236" s="1">
        <v>1212</v>
      </c>
      <c r="B1236" s="1">
        <v>-2.9688866941060517E-3</v>
      </c>
      <c r="C1236" s="1">
        <v>1.2186217298959651E-2</v>
      </c>
    </row>
    <row r="1237" spans="1:3" x14ac:dyDescent="0.35">
      <c r="A1237" s="1">
        <v>1213</v>
      </c>
      <c r="B1237" s="1">
        <v>1.0604079412118159E-3</v>
      </c>
      <c r="C1237" s="1">
        <v>-2.2202062768627781E-3</v>
      </c>
    </row>
    <row r="1238" spans="1:3" x14ac:dyDescent="0.35">
      <c r="A1238" s="1">
        <v>1214</v>
      </c>
      <c r="B1238" s="1">
        <v>7.717234815187218E-4</v>
      </c>
      <c r="C1238" s="1">
        <v>-1.4269462967541925E-2</v>
      </c>
    </row>
    <row r="1239" spans="1:3" x14ac:dyDescent="0.35">
      <c r="A1239" s="1">
        <v>1215</v>
      </c>
      <c r="B1239" s="1">
        <v>-3.5583537178932138E-3</v>
      </c>
      <c r="C1239" s="1">
        <v>1.3709904115741696E-2</v>
      </c>
    </row>
    <row r="1240" spans="1:3" x14ac:dyDescent="0.35">
      <c r="A1240" s="1">
        <v>1216</v>
      </c>
      <c r="B1240" s="1">
        <v>1.3936318663713436E-3</v>
      </c>
      <c r="C1240" s="1">
        <v>-3.5783468066140954E-3</v>
      </c>
    </row>
    <row r="1241" spans="1:3" x14ac:dyDescent="0.35">
      <c r="A1241" s="1">
        <v>1217</v>
      </c>
      <c r="B1241" s="1">
        <v>-3.3786062955650088E-3</v>
      </c>
      <c r="C1241" s="1">
        <v>1.1406542697835958E-2</v>
      </c>
    </row>
    <row r="1242" spans="1:3" x14ac:dyDescent="0.35">
      <c r="A1242" s="1">
        <v>1218</v>
      </c>
      <c r="B1242" s="1">
        <v>6.2407791866971973E-4</v>
      </c>
      <c r="C1242" s="1">
        <v>2.0951463007896191E-2</v>
      </c>
    </row>
    <row r="1243" spans="1:3" x14ac:dyDescent="0.35">
      <c r="A1243" s="1">
        <v>1219</v>
      </c>
      <c r="B1243" s="1">
        <v>5.1734765284272314E-3</v>
      </c>
      <c r="C1243" s="1">
        <v>-5.598844720751883E-3</v>
      </c>
    </row>
    <row r="1244" spans="1:3" x14ac:dyDescent="0.35">
      <c r="A1244" s="1">
        <v>1220</v>
      </c>
      <c r="B1244" s="1">
        <v>8.8583111707307152E-4</v>
      </c>
      <c r="C1244" s="1">
        <v>1.4570887445315202E-2</v>
      </c>
    </row>
    <row r="1245" spans="1:3" x14ac:dyDescent="0.35">
      <c r="A1245" s="1">
        <v>1221</v>
      </c>
      <c r="B1245" s="1">
        <v>4.2062216901683124E-4</v>
      </c>
      <c r="C1245" s="1">
        <v>-1.817098790692749E-3</v>
      </c>
    </row>
    <row r="1246" spans="1:3" x14ac:dyDescent="0.35">
      <c r="A1246" s="1">
        <v>1222</v>
      </c>
      <c r="B1246" s="1">
        <v>-5.10923714860337E-3</v>
      </c>
      <c r="C1246" s="1">
        <v>-1.0437022178321721E-3</v>
      </c>
    </row>
    <row r="1247" spans="1:3" x14ac:dyDescent="0.35">
      <c r="A1247" s="1">
        <v>1223</v>
      </c>
      <c r="B1247" s="1">
        <v>5.6635317662913012E-5</v>
      </c>
      <c r="C1247" s="1">
        <v>1.2096999368668619E-3</v>
      </c>
    </row>
    <row r="1248" spans="1:3" x14ac:dyDescent="0.35">
      <c r="A1248" s="1">
        <v>1224</v>
      </c>
      <c r="B1248" s="1">
        <v>-2.7299662096836692E-3</v>
      </c>
      <c r="C1248" s="1">
        <v>-4.0154240282440816E-3</v>
      </c>
    </row>
    <row r="1249" spans="1:3" x14ac:dyDescent="0.35">
      <c r="A1249" s="1">
        <v>1225</v>
      </c>
      <c r="B1249" s="1">
        <v>-2.4385079809907118E-3</v>
      </c>
      <c r="C1249" s="1">
        <v>1.0078553100574039E-2</v>
      </c>
    </row>
    <row r="1250" spans="1:3" x14ac:dyDescent="0.35">
      <c r="A1250" s="1">
        <v>1226</v>
      </c>
      <c r="B1250" s="1">
        <v>1.4258978447132737E-3</v>
      </c>
      <c r="C1250" s="1">
        <v>-2.9703692799204636E-3</v>
      </c>
    </row>
    <row r="1251" spans="1:3" x14ac:dyDescent="0.35">
      <c r="A1251" s="1">
        <v>1227</v>
      </c>
      <c r="B1251" s="1">
        <v>-4.7908342043066704E-3</v>
      </c>
      <c r="C1251" s="1">
        <v>6.1971299709083078E-3</v>
      </c>
    </row>
    <row r="1252" spans="1:3" x14ac:dyDescent="0.35">
      <c r="A1252" s="1">
        <v>1228</v>
      </c>
      <c r="B1252" s="1">
        <v>3.3787136513686541E-3</v>
      </c>
      <c r="C1252" s="1">
        <v>2.1055994868434572E-2</v>
      </c>
    </row>
    <row r="1253" spans="1:3" x14ac:dyDescent="0.35">
      <c r="A1253" s="1">
        <v>1229</v>
      </c>
      <c r="B1253" s="1">
        <v>5.1947764259868984E-3</v>
      </c>
      <c r="C1253" s="1">
        <v>-1.0129683821039084E-2</v>
      </c>
    </row>
    <row r="1254" spans="1:3" x14ac:dyDescent="0.35">
      <c r="A1254" s="1">
        <v>1230</v>
      </c>
      <c r="B1254" s="1">
        <v>3.1337466319585278E-3</v>
      </c>
      <c r="C1254" s="1">
        <v>-2.8581372377857943E-3</v>
      </c>
    </row>
    <row r="1255" spans="1:3" x14ac:dyDescent="0.35">
      <c r="A1255" s="1">
        <v>1231</v>
      </c>
      <c r="B1255" s="1">
        <v>2.440362008729411E-3</v>
      </c>
      <c r="C1255" s="1">
        <v>1.278069888479459E-3</v>
      </c>
    </row>
    <row r="1256" spans="1:3" x14ac:dyDescent="0.35">
      <c r="A1256" s="1">
        <v>1232</v>
      </c>
      <c r="B1256" s="1">
        <v>1.941012886403538E-3</v>
      </c>
      <c r="C1256" s="1">
        <v>1.3520852908913833E-3</v>
      </c>
    </row>
    <row r="1257" spans="1:3" x14ac:dyDescent="0.35">
      <c r="A1257" s="1">
        <v>1233</v>
      </c>
      <c r="B1257" s="1">
        <v>-1.494756114214805E-3</v>
      </c>
      <c r="C1257" s="1">
        <v>-7.5949513167380507E-3</v>
      </c>
    </row>
    <row r="1258" spans="1:3" x14ac:dyDescent="0.35">
      <c r="A1258" s="1">
        <v>1234</v>
      </c>
      <c r="B1258" s="1">
        <v>1.0087057400063756E-3</v>
      </c>
      <c r="C1258" s="1">
        <v>-1.8798821564717013E-2</v>
      </c>
    </row>
    <row r="1259" spans="1:3" x14ac:dyDescent="0.35">
      <c r="A1259" s="1">
        <v>1235</v>
      </c>
      <c r="B1259" s="1">
        <v>1.1768425584700558E-3</v>
      </c>
      <c r="C1259" s="1">
        <v>8.0418748646795537E-4</v>
      </c>
    </row>
    <row r="1260" spans="1:3" x14ac:dyDescent="0.35">
      <c r="A1260" s="1">
        <v>1236</v>
      </c>
      <c r="B1260" s="1">
        <v>5.656723082981339E-4</v>
      </c>
      <c r="C1260" s="1">
        <v>-5.6497087828609027E-3</v>
      </c>
    </row>
    <row r="1261" spans="1:3" x14ac:dyDescent="0.35">
      <c r="A1261" s="1">
        <v>1237</v>
      </c>
      <c r="B1261" s="1">
        <v>8.4120042740759267E-4</v>
      </c>
      <c r="C1261" s="1">
        <v>-7.2286662575722707E-3</v>
      </c>
    </row>
    <row r="1262" spans="1:3" x14ac:dyDescent="0.35">
      <c r="A1262" s="1">
        <v>1238</v>
      </c>
      <c r="B1262" s="1">
        <v>-9.0076638797743729E-4</v>
      </c>
      <c r="C1262" s="1">
        <v>4.4721949594060083E-3</v>
      </c>
    </row>
    <row r="1263" spans="1:3" x14ac:dyDescent="0.35">
      <c r="A1263" s="1">
        <v>1239</v>
      </c>
      <c r="B1263" s="1">
        <v>-6.390611304261747E-5</v>
      </c>
      <c r="C1263" s="1">
        <v>-2.2137260878029828E-3</v>
      </c>
    </row>
    <row r="1264" spans="1:3" x14ac:dyDescent="0.35">
      <c r="A1264" s="1">
        <v>1240</v>
      </c>
      <c r="B1264" s="1">
        <v>2.389796223051108E-3</v>
      </c>
      <c r="C1264" s="1">
        <v>-6.7767248425830906E-4</v>
      </c>
    </row>
    <row r="1265" spans="1:3" x14ac:dyDescent="0.35">
      <c r="A1265" s="1">
        <v>1241</v>
      </c>
      <c r="B1265" s="1">
        <v>8.8711826822809859E-4</v>
      </c>
      <c r="C1265" s="1">
        <v>-1.6554380602153491E-2</v>
      </c>
    </row>
    <row r="1266" spans="1:3" x14ac:dyDescent="0.35">
      <c r="A1266" s="1">
        <v>1242</v>
      </c>
      <c r="B1266" s="1">
        <v>-3.2130488221755152E-3</v>
      </c>
      <c r="C1266" s="1">
        <v>2.3615248507639085E-2</v>
      </c>
    </row>
    <row r="1267" spans="1:3" x14ac:dyDescent="0.35">
      <c r="A1267" s="1">
        <v>1243</v>
      </c>
      <c r="B1267" s="1">
        <v>-2.9563778640191577E-4</v>
      </c>
      <c r="C1267" s="1">
        <v>6.6768714656144515E-3</v>
      </c>
    </row>
    <row r="1268" spans="1:3" x14ac:dyDescent="0.35">
      <c r="A1268" s="1">
        <v>1244</v>
      </c>
      <c r="B1268" s="1">
        <v>-5.4897586160560256E-4</v>
      </c>
      <c r="C1268" s="1">
        <v>-7.9052789474821621E-3</v>
      </c>
    </row>
    <row r="1269" spans="1:3" x14ac:dyDescent="0.35">
      <c r="A1269" s="1">
        <v>1245</v>
      </c>
      <c r="B1269" s="1">
        <v>-3.5117997439652049E-3</v>
      </c>
      <c r="C1269" s="1">
        <v>7.774914859132182E-3</v>
      </c>
    </row>
    <row r="1270" spans="1:3" x14ac:dyDescent="0.35">
      <c r="A1270" s="1">
        <v>1246</v>
      </c>
      <c r="B1270" s="1">
        <v>2.7709851068747461E-3</v>
      </c>
      <c r="C1270" s="1">
        <v>-7.1575362123764818E-3</v>
      </c>
    </row>
    <row r="1271" spans="1:3" x14ac:dyDescent="0.35">
      <c r="A1271" s="1">
        <v>1247</v>
      </c>
      <c r="B1271" s="1">
        <v>3.0553542312394219E-3</v>
      </c>
      <c r="C1271" s="1">
        <v>-7.3191838099116464E-3</v>
      </c>
    </row>
    <row r="1272" spans="1:3" x14ac:dyDescent="0.35">
      <c r="A1272" s="1">
        <v>1248</v>
      </c>
      <c r="B1272" s="1">
        <v>2.2890663479268013E-3</v>
      </c>
      <c r="C1272" s="1">
        <v>-1.4802251255620217E-4</v>
      </c>
    </row>
    <row r="1273" spans="1:3" x14ac:dyDescent="0.35">
      <c r="A1273" s="1">
        <v>1249</v>
      </c>
      <c r="B1273" s="1">
        <v>1.6821954545795769E-3</v>
      </c>
      <c r="C1273" s="1">
        <v>-6.5247583704618681E-3</v>
      </c>
    </row>
    <row r="1274" spans="1:3" x14ac:dyDescent="0.35">
      <c r="A1274" s="1">
        <v>1250</v>
      </c>
      <c r="B1274" s="1">
        <v>1.2546086329143389E-3</v>
      </c>
      <c r="C1274" s="1">
        <v>2.1803112802846539E-3</v>
      </c>
    </row>
    <row r="1275" spans="1:3" x14ac:dyDescent="0.35">
      <c r="A1275" s="1">
        <v>1251</v>
      </c>
      <c r="B1275" s="1">
        <v>1.2013816246313166E-4</v>
      </c>
      <c r="C1275" s="1">
        <v>-3.5432997896228946E-3</v>
      </c>
    </row>
    <row r="1276" spans="1:3" x14ac:dyDescent="0.35">
      <c r="A1276" s="1">
        <v>1252</v>
      </c>
      <c r="B1276" s="1">
        <v>-9.0552711008600611E-4</v>
      </c>
      <c r="C1276" s="1">
        <v>5.0561053858466688E-3</v>
      </c>
    </row>
    <row r="1277" spans="1:3" x14ac:dyDescent="0.35">
      <c r="A1277" s="1">
        <v>1253</v>
      </c>
      <c r="B1277" s="1">
        <v>-2.2456271679217109E-4</v>
      </c>
      <c r="C1277" s="1">
        <v>-1.0582759745875879E-3</v>
      </c>
    </row>
    <row r="1278" spans="1:3" ht="18.600000000000001" thickBot="1" x14ac:dyDescent="0.4">
      <c r="A1278" s="10">
        <v>1254</v>
      </c>
      <c r="B1278" s="10">
        <v>-2.1493210595831076E-3</v>
      </c>
      <c r="C1278" s="10">
        <v>-1.340531863385586E-4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14BD5-7F54-4C61-A2F6-1E28BE16530F}">
  <dimension ref="A1:D16"/>
  <sheetViews>
    <sheetView workbookViewId="0">
      <selection activeCell="Q15" sqref="Q15"/>
    </sheetView>
  </sheetViews>
  <sheetFormatPr defaultRowHeight="18" x14ac:dyDescent="0.35"/>
  <cols>
    <col min="1" max="1" width="27.88671875" style="1" bestFit="1" customWidth="1"/>
    <col min="2" max="3" width="8.88671875" style="1"/>
    <col min="4" max="4" width="10.33203125" style="1" customWidth="1"/>
    <col min="5" max="16384" width="8.88671875" style="1"/>
  </cols>
  <sheetData>
    <row r="1" spans="1:4" x14ac:dyDescent="0.35">
      <c r="A1" s="1" t="s">
        <v>1326</v>
      </c>
      <c r="D1" s="16">
        <v>4.2340000000000003E-2</v>
      </c>
    </row>
    <row r="2" spans="1:4" x14ac:dyDescent="0.35">
      <c r="D2" s="2"/>
    </row>
    <row r="3" spans="1:4" x14ac:dyDescent="0.35">
      <c r="D3" s="2"/>
    </row>
    <row r="4" spans="1:4" x14ac:dyDescent="0.35">
      <c r="A4" s="1" t="s">
        <v>1325</v>
      </c>
      <c r="D4" s="16">
        <f>AVERAGE('S&amp;P^500'!I3:I1256)*252</f>
        <v>0.13798797156747949</v>
      </c>
    </row>
    <row r="5" spans="1:4" x14ac:dyDescent="0.35">
      <c r="D5" s="2"/>
    </row>
    <row r="6" spans="1:4" x14ac:dyDescent="0.35">
      <c r="D6" s="2"/>
    </row>
    <row r="7" spans="1:4" x14ac:dyDescent="0.35">
      <c r="A7" s="1" t="s">
        <v>1266</v>
      </c>
      <c r="D7" s="2">
        <f>SLOPE('stock_Hist_data (KO)'!H3:H1256, 'S&amp;P^500'!I3:I1256)</f>
        <v>0.32175838081195673</v>
      </c>
    </row>
    <row r="8" spans="1:4" x14ac:dyDescent="0.35">
      <c r="D8" s="2"/>
    </row>
    <row r="9" spans="1:4" x14ac:dyDescent="0.35">
      <c r="D9" s="2"/>
    </row>
    <row r="10" spans="1:4" x14ac:dyDescent="0.35">
      <c r="A10" s="1" t="s">
        <v>1324</v>
      </c>
      <c r="D10" s="16">
        <f>D1+D7*(D4-D1)</f>
        <v>7.311553645950028E-2</v>
      </c>
    </row>
    <row r="11" spans="1:4" x14ac:dyDescent="0.35">
      <c r="D11" s="2"/>
    </row>
    <row r="12" spans="1:4" x14ac:dyDescent="0.35">
      <c r="D12" s="2"/>
    </row>
    <row r="13" spans="1:4" x14ac:dyDescent="0.35">
      <c r="A13" s="1" t="s">
        <v>1267</v>
      </c>
      <c r="D13" s="16">
        <f>AVERAGE('stock_Hist_data (KO)'!H3:H1256)*252</f>
        <v>9.9352355381245358E-2</v>
      </c>
    </row>
    <row r="14" spans="1:4" x14ac:dyDescent="0.35">
      <c r="D14" s="16"/>
    </row>
    <row r="15" spans="1:4" x14ac:dyDescent="0.35">
      <c r="D15" s="16"/>
    </row>
    <row r="16" spans="1:4" x14ac:dyDescent="0.35">
      <c r="A16" s="1" t="s">
        <v>1268</v>
      </c>
      <c r="D16" s="16">
        <f>_xlfn.STDEV.S('stock_Hist_data (KO)'!H3:H1256)*SQRT(252)</f>
        <v>0.15834940497658906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E50A5-91D2-44CA-8A89-9541D0FB0938}">
  <dimension ref="A1:N29"/>
  <sheetViews>
    <sheetView workbookViewId="0">
      <selection activeCell="O39" sqref="O39"/>
    </sheetView>
  </sheetViews>
  <sheetFormatPr defaultRowHeight="18" x14ac:dyDescent="0.35"/>
  <cols>
    <col min="1" max="4" width="8.88671875" style="1"/>
    <col min="5" max="5" width="9.88671875" style="14" bestFit="1" customWidth="1"/>
    <col min="6" max="8" width="8.88671875" style="1"/>
    <col min="9" max="9" width="27.109375" style="1" bestFit="1" customWidth="1"/>
    <col min="10" max="10" width="16.6640625" style="14" bestFit="1" customWidth="1"/>
    <col min="11" max="11" width="16.6640625" style="14" customWidth="1"/>
    <col min="12" max="12" width="7.44140625" style="1" customWidth="1"/>
    <col min="13" max="13" width="55.21875" style="1" customWidth="1"/>
    <col min="14" max="14" width="16.77734375" style="1" customWidth="1"/>
    <col min="15" max="16384" width="8.88671875" style="1"/>
  </cols>
  <sheetData>
    <row r="1" spans="1:14" x14ac:dyDescent="0.35">
      <c r="A1" s="1" t="s">
        <v>1265</v>
      </c>
      <c r="E1" s="12">
        <v>4.2299999999999997E-2</v>
      </c>
      <c r="I1" s="2" t="s">
        <v>1279</v>
      </c>
    </row>
    <row r="2" spans="1:14" x14ac:dyDescent="0.35">
      <c r="E2" s="12"/>
    </row>
    <row r="3" spans="1:14" x14ac:dyDescent="0.35">
      <c r="A3" s="1" t="s">
        <v>1264</v>
      </c>
      <c r="E3" s="12">
        <v>0.13800000000000001</v>
      </c>
      <c r="H3" s="6" t="s">
        <v>1280</v>
      </c>
      <c r="I3" s="6" t="s">
        <v>1281</v>
      </c>
      <c r="J3" s="13" t="s">
        <v>1282</v>
      </c>
      <c r="K3" s="13"/>
    </row>
    <row r="4" spans="1:14" x14ac:dyDescent="0.35">
      <c r="E4" s="13"/>
      <c r="H4" s="4">
        <v>0</v>
      </c>
      <c r="I4" s="4">
        <f>N6</f>
        <v>5.2960000000000003</v>
      </c>
      <c r="J4" s="15">
        <f>N6</f>
        <v>5.2960000000000003</v>
      </c>
      <c r="K4" s="15"/>
    </row>
    <row r="5" spans="1:14" x14ac:dyDescent="0.35">
      <c r="A5" s="1" t="s">
        <v>1270</v>
      </c>
      <c r="E5" s="13">
        <v>0.32179999999999997</v>
      </c>
      <c r="H5" s="4">
        <v>1</v>
      </c>
      <c r="I5" s="5">
        <f>N6*(1+0.03)</f>
        <v>5.4548800000000002</v>
      </c>
      <c r="J5" s="15">
        <f>I5/(1+$E$23)^H5</f>
        <v>5.1081382562649571</v>
      </c>
      <c r="K5" s="15"/>
    </row>
    <row r="6" spans="1:14" x14ac:dyDescent="0.35">
      <c r="E6" s="13"/>
      <c r="H6" s="4">
        <v>2</v>
      </c>
      <c r="I6" s="5">
        <f>I5*(1+0.03)</f>
        <v>5.6185264000000004</v>
      </c>
      <c r="J6" s="15">
        <f t="shared" ref="J6:J8" si="0">I6/(1+$E$23)^H6</f>
        <v>4.9269404163741681</v>
      </c>
      <c r="K6" s="15"/>
      <c r="M6" s="1" t="s">
        <v>1278</v>
      </c>
      <c r="N6" s="4">
        <v>5.2960000000000003</v>
      </c>
    </row>
    <row r="7" spans="1:14" x14ac:dyDescent="0.35">
      <c r="A7" s="1" t="s">
        <v>1327</v>
      </c>
      <c r="E7" s="12">
        <v>7.3099999999999998E-2</v>
      </c>
      <c r="H7" s="4">
        <v>3</v>
      </c>
      <c r="I7" s="5">
        <f>I6*(1+0.03)</f>
        <v>5.7870821920000006</v>
      </c>
      <c r="J7" s="15">
        <f t="shared" si="0"/>
        <v>4.752170095773959</v>
      </c>
      <c r="K7" s="15"/>
      <c r="M7" s="1" t="s">
        <v>1283</v>
      </c>
      <c r="N7" s="7">
        <v>0.03</v>
      </c>
    </row>
    <row r="8" spans="1:14" x14ac:dyDescent="0.35">
      <c r="E8" s="13"/>
      <c r="H8" s="4">
        <v>4</v>
      </c>
      <c r="I8" s="5">
        <f>I7*(1+0.03)</f>
        <v>5.9606946577600004</v>
      </c>
      <c r="J8" s="15">
        <f t="shared" si="0"/>
        <v>4.5835992950342268</v>
      </c>
      <c r="K8" s="15"/>
      <c r="N8" s="4"/>
    </row>
    <row r="9" spans="1:14" x14ac:dyDescent="0.35">
      <c r="A9" s="1" t="s">
        <v>1277</v>
      </c>
      <c r="E9" s="13">
        <v>331.39600000000002</v>
      </c>
      <c r="H9" s="4">
        <v>5</v>
      </c>
      <c r="I9" s="5">
        <f>I8*(1+0.03)</f>
        <v>6.139515497492801</v>
      </c>
      <c r="J9" s="15">
        <f>I9/(1+$E$23)^H9</f>
        <v>4.4210081024081234</v>
      </c>
      <c r="K9" s="15"/>
      <c r="M9" s="1" t="s">
        <v>1284</v>
      </c>
      <c r="N9" s="5">
        <f>(I9*(1+N7))/(E23-N7)</f>
        <v>166.93922543328543</v>
      </c>
    </row>
    <row r="10" spans="1:14" x14ac:dyDescent="0.35">
      <c r="E10" s="13"/>
      <c r="H10" s="4"/>
      <c r="I10" s="4"/>
      <c r="N10" s="4"/>
    </row>
    <row r="11" spans="1:14" x14ac:dyDescent="0.35">
      <c r="A11" s="1" t="s">
        <v>1275</v>
      </c>
      <c r="E11" s="13">
        <v>45.491999999999997</v>
      </c>
      <c r="M11" s="1" t="s">
        <v>1285</v>
      </c>
      <c r="N11" s="5">
        <f>N9/(1+$E$23)^5</f>
        <v>120.2113861511849</v>
      </c>
    </row>
    <row r="12" spans="1:14" x14ac:dyDescent="0.35">
      <c r="E12" s="13"/>
      <c r="N12" s="4"/>
    </row>
    <row r="13" spans="1:14" x14ac:dyDescent="0.35">
      <c r="A13" s="1" t="s">
        <v>1276</v>
      </c>
      <c r="E13" s="13">
        <v>1.6539999999999999</v>
      </c>
      <c r="M13" s="1" t="s">
        <v>1286</v>
      </c>
      <c r="N13" s="5">
        <f>SUM(J4:J9)</f>
        <v>29.087856165855435</v>
      </c>
    </row>
    <row r="14" spans="1:14" x14ac:dyDescent="0.35">
      <c r="E14" s="13"/>
      <c r="N14" s="4"/>
    </row>
    <row r="15" spans="1:14" x14ac:dyDescent="0.35">
      <c r="A15" s="1" t="s">
        <v>1271</v>
      </c>
      <c r="E15" s="13">
        <f>2861000/15998000</f>
        <v>0.17883485435679461</v>
      </c>
      <c r="M15" s="1" t="s">
        <v>1294</v>
      </c>
      <c r="N15" s="5">
        <f>N13+N11</f>
        <v>149.29924231704032</v>
      </c>
    </row>
    <row r="16" spans="1:14" x14ac:dyDescent="0.35">
      <c r="E16" s="13"/>
      <c r="N16" s="4"/>
    </row>
    <row r="17" spans="1:14" x14ac:dyDescent="0.35">
      <c r="A17" s="1" t="s">
        <v>1272</v>
      </c>
      <c r="E17" s="12">
        <f>E13/E11</f>
        <v>3.6358040974237227E-2</v>
      </c>
      <c r="M17" s="1" t="s">
        <v>1288</v>
      </c>
      <c r="N17" s="4">
        <v>4.3</v>
      </c>
    </row>
    <row r="18" spans="1:14" x14ac:dyDescent="0.35">
      <c r="E18" s="13"/>
      <c r="N18" s="4"/>
    </row>
    <row r="19" spans="1:14" x14ac:dyDescent="0.35">
      <c r="A19" s="1" t="s">
        <v>1273</v>
      </c>
      <c r="E19" s="12">
        <f>E9/(E9+E11)</f>
        <v>0.87929570588609873</v>
      </c>
      <c r="M19" s="1" t="s">
        <v>1287</v>
      </c>
      <c r="N19" s="8">
        <f>N15/N17</f>
        <v>34.720754027218682</v>
      </c>
    </row>
    <row r="20" spans="1:14" x14ac:dyDescent="0.35">
      <c r="E20" s="13"/>
      <c r="N20" s="4"/>
    </row>
    <row r="21" spans="1:14" x14ac:dyDescent="0.35">
      <c r="A21" s="1" t="s">
        <v>1274</v>
      </c>
      <c r="E21" s="12">
        <f>E11/(E9+E11)</f>
        <v>0.1207042941139012</v>
      </c>
      <c r="N21" s="4"/>
    </row>
    <row r="22" spans="1:14" x14ac:dyDescent="0.35">
      <c r="E22" s="13"/>
      <c r="N22" s="4"/>
    </row>
    <row r="23" spans="1:14" x14ac:dyDescent="0.35">
      <c r="A23" s="1" t="s">
        <v>1269</v>
      </c>
      <c r="E23" s="12">
        <f>E19*E7+((E21)*(E17)*(1-E15))</f>
        <v>6.7880258195787246E-2</v>
      </c>
      <c r="M23" s="2" t="s">
        <v>1289</v>
      </c>
      <c r="N23" s="4"/>
    </row>
    <row r="24" spans="1:14" x14ac:dyDescent="0.35">
      <c r="L24" s="2"/>
      <c r="M24" s="2" t="s">
        <v>1292</v>
      </c>
      <c r="N24" s="6" t="s">
        <v>1293</v>
      </c>
    </row>
    <row r="25" spans="1:14" x14ac:dyDescent="0.35">
      <c r="M25" s="1" t="s">
        <v>1290</v>
      </c>
      <c r="N25" s="8">
        <f>N19</f>
        <v>34.720754027218682</v>
      </c>
    </row>
    <row r="26" spans="1:14" x14ac:dyDescent="0.35">
      <c r="M26" s="1" t="s">
        <v>1291</v>
      </c>
      <c r="N26" s="4">
        <v>77</v>
      </c>
    </row>
    <row r="29" spans="1:14" x14ac:dyDescent="0.35">
      <c r="M29" s="2"/>
    </row>
  </sheetData>
  <pageMargins left="0.7" right="0.7" top="0.75" bottom="0.75" header="0.3" footer="0.3"/>
  <ignoredErrors>
    <ignoredError sqref="I6" formula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988CA-498D-49D6-A05F-B8ED324355F2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stock_Hist_data (KO)</vt:lpstr>
      <vt:lpstr>S&amp;P^500</vt:lpstr>
      <vt:lpstr>CAPM (Definition)</vt:lpstr>
      <vt:lpstr>CAPM (Regression Output)</vt:lpstr>
      <vt:lpstr>CAPM (Expected Return)</vt:lpstr>
      <vt:lpstr>WACC (Valuation)</vt:lpstr>
      <vt:lpstr>Investment Recommendation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 Arhin</dc:creator>
  <cp:lastModifiedBy>Papa Arhin</cp:lastModifiedBy>
  <dcterms:created xsi:type="dcterms:W3CDTF">2026-03-07T23:46:36Z</dcterms:created>
  <dcterms:modified xsi:type="dcterms:W3CDTF">2026-03-28T05:16:22Z</dcterms:modified>
</cp:coreProperties>
</file>