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ec6f7dc9829368e/Desktop/Finance Project/"/>
    </mc:Choice>
  </mc:AlternateContent>
  <xr:revisionPtr revIDLastSave="0" documentId="8_{65991AD3-1CE0-4490-AC65-8C5F126D8D48}" xr6:coauthVersionLast="47" xr6:coauthVersionMax="47" xr10:uidLastSave="{00000000-0000-0000-0000-000000000000}"/>
  <bookViews>
    <workbookView xWindow="-108" yWindow="-108" windowWidth="23256" windowHeight="13896" firstSheet="3" activeTab="7" xr2:uid="{00000000-000D-0000-FFFF-FFFF00000000}"/>
  </bookViews>
  <sheets>
    <sheet name="Income_Statement" sheetId="1" r:id="rId1"/>
    <sheet name="Balance_sheet" sheetId="2" r:id="rId2"/>
    <sheet name="CashFlow_statement" sheetId="3" r:id="rId3"/>
    <sheet name="Ratio&amp;Valuation Analysis" sheetId="4" r:id="rId4"/>
    <sheet name="Additional_Ratios" sheetId="7" r:id="rId5"/>
    <sheet name="Liquidity_Ratios" sheetId="5" r:id="rId6"/>
    <sheet name="Profitability_ratio" sheetId="6" r:id="rId7"/>
    <sheet name="Charts_Ratio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G38" i="2"/>
  <c r="C39" i="2"/>
  <c r="C38" i="2"/>
  <c r="G27" i="2"/>
  <c r="C27" i="2"/>
  <c r="C8" i="2"/>
  <c r="C4" i="2"/>
  <c r="C12" i="2"/>
  <c r="C39" i="1"/>
  <c r="C34" i="1"/>
  <c r="C18" i="1"/>
  <c r="C6" i="1"/>
  <c r="G6" i="1"/>
  <c r="C71" i="4"/>
  <c r="C64" i="4"/>
  <c r="C65" i="4"/>
  <c r="C61" i="4"/>
  <c r="C50" i="4"/>
  <c r="C51" i="4" s="1"/>
  <c r="C55" i="4" s="1"/>
  <c r="C56" i="4" s="1"/>
  <c r="J37" i="4"/>
  <c r="J38" i="4" s="1"/>
  <c r="I37" i="4"/>
  <c r="I38" i="4" s="1"/>
  <c r="J32" i="4"/>
  <c r="J33" i="4" s="1"/>
  <c r="I32" i="4"/>
  <c r="I33" i="4" s="1"/>
  <c r="M17" i="2"/>
  <c r="J20" i="2"/>
  <c r="M10" i="2"/>
  <c r="J9" i="2"/>
  <c r="J27" i="4"/>
  <c r="J28" i="4" s="1"/>
  <c r="I27" i="4"/>
  <c r="I28" i="4" s="1"/>
  <c r="G18" i="1"/>
  <c r="M4" i="1"/>
  <c r="J13" i="1"/>
  <c r="J10" i="1"/>
  <c r="J14" i="1" s="1"/>
  <c r="G39" i="1"/>
  <c r="G34" i="1"/>
  <c r="J22" i="4"/>
  <c r="J23" i="4" s="1"/>
  <c r="I22" i="4"/>
  <c r="I23" i="4" s="1"/>
  <c r="G5" i="1"/>
  <c r="G17" i="1"/>
  <c r="J17" i="4"/>
  <c r="I17" i="4"/>
  <c r="J16" i="4"/>
  <c r="I16" i="4"/>
  <c r="D27" i="4"/>
  <c r="D26" i="4"/>
  <c r="C27" i="4"/>
  <c r="C26" i="4"/>
  <c r="C17" i="4"/>
  <c r="C16" i="4"/>
  <c r="C21" i="4" s="1"/>
  <c r="C23" i="4" s="1"/>
  <c r="D17" i="4"/>
  <c r="D16" i="4"/>
  <c r="D21" i="4" s="1"/>
  <c r="D23" i="4" s="1"/>
  <c r="G39" i="2"/>
  <c r="C29" i="4" l="1"/>
  <c r="D29" i="4"/>
  <c r="C66" i="4"/>
  <c r="I18" i="4"/>
  <c r="D18" i="4"/>
  <c r="C18" i="4"/>
  <c r="J18" i="4"/>
  <c r="G8" i="2"/>
  <c r="G12" i="2" l="1"/>
  <c r="G4" i="2"/>
</calcChain>
</file>

<file path=xl/sharedStrings.xml><?xml version="1.0" encoding="utf-8"?>
<sst xmlns="http://schemas.openxmlformats.org/spreadsheetml/2006/main" count="509" uniqueCount="262">
  <si>
    <t>Total Revenue</t>
  </si>
  <si>
    <t>Operating Revenue</t>
  </si>
  <si>
    <t>Cost of Revenue</t>
  </si>
  <si>
    <t>Gross Profit</t>
  </si>
  <si>
    <t>Operating Expense</t>
  </si>
  <si>
    <t>Selling General and Administrative</t>
  </si>
  <si>
    <t>General &amp; Administrative Expense</t>
  </si>
  <si>
    <t>Salaries and Wages</t>
  </si>
  <si>
    <t>Other G and A</t>
  </si>
  <si>
    <t>--</t>
  </si>
  <si>
    <t>Selling &amp; Marketing Expense</t>
  </si>
  <si>
    <t>Depreciation Amortization Depletion</t>
  </si>
  <si>
    <t>Depreciation &amp; amortization</t>
  </si>
  <si>
    <t>Amortization</t>
  </si>
  <si>
    <t>Amortization of Intangibles</t>
  </si>
  <si>
    <t>Other Operating Expenses</t>
  </si>
  <si>
    <t>Operating Income</t>
  </si>
  <si>
    <t>Net Non Operating Interest Income Expense</t>
  </si>
  <si>
    <t>Interest Income Non Operating</t>
  </si>
  <si>
    <t>Interest Expense Non Operating</t>
  </si>
  <si>
    <t>Other Income Expense</t>
  </si>
  <si>
    <t>Gain on Sale of Security</t>
  </si>
  <si>
    <t>Earnings from Equity Interest</t>
  </si>
  <si>
    <t>Special Income Charges</t>
  </si>
  <si>
    <t>Restructuring &amp; Mergers Acquisition</t>
  </si>
  <si>
    <t>Impairment of Capital Assets</t>
  </si>
  <si>
    <t>Write Off</t>
  </si>
  <si>
    <t>Other Special Charges</t>
  </si>
  <si>
    <t>Gain on Sale of Business</t>
  </si>
  <si>
    <t>Gain on Sale of PPE</t>
  </si>
  <si>
    <t>Other Non Operating Income Expenses</t>
  </si>
  <si>
    <t>Tax Provision</t>
  </si>
  <si>
    <t>Net Income Common Stockholders</t>
  </si>
  <si>
    <t>Net Income</t>
  </si>
  <si>
    <t>Net Income Including Non-Controlling Interests</t>
  </si>
  <si>
    <t>Net Income Continuous Operations</t>
  </si>
  <si>
    <t>Minority Interests</t>
  </si>
  <si>
    <t>Diluted NI Available to Com Stockholders</t>
  </si>
  <si>
    <t>Basic EPS</t>
  </si>
  <si>
    <t>Diluted EPS</t>
  </si>
  <si>
    <t>Basic Average Shares</t>
  </si>
  <si>
    <t>Diluted Average Shares</t>
  </si>
  <si>
    <t>Total Operating Income as Reported</t>
  </si>
  <si>
    <t>Total Expenses</t>
  </si>
  <si>
    <t>Net Income from Continuing &amp; Discontinued Operation</t>
  </si>
  <si>
    <t>Normalized Income</t>
  </si>
  <si>
    <t>Interest Income</t>
  </si>
  <si>
    <t>Interest Expense</t>
  </si>
  <si>
    <t>Net Interest Income</t>
  </si>
  <si>
    <t>EBIT</t>
  </si>
  <si>
    <t>EBITDA</t>
  </si>
  <si>
    <t>Reconciled Cost of Revenue</t>
  </si>
  <si>
    <t>Reconciled Depreciation</t>
  </si>
  <si>
    <t>Net Income from Continuing Operation Net Minority Interest</t>
  </si>
  <si>
    <t>Total Unusual Items Excluding Goodwill</t>
  </si>
  <si>
    <t>Total Unusual Items</t>
  </si>
  <si>
    <t>Normalized EBITDA</t>
  </si>
  <si>
    <t>Tax Rate for Calcs</t>
  </si>
  <si>
    <t>Tax Effect of Unusual Items</t>
  </si>
  <si>
    <t>12/31/2025</t>
  </si>
  <si>
    <t>12/31/2024</t>
  </si>
  <si>
    <t>12/31/2023</t>
  </si>
  <si>
    <t>12/31/2022</t>
  </si>
  <si>
    <t>Operating Cash Flow</t>
  </si>
  <si>
    <t>Cash Flow from Continuing Operating Activities</t>
  </si>
  <si>
    <t>Net Income from Continuing Operations</t>
  </si>
  <si>
    <t>Operating Gains Losses</t>
  </si>
  <si>
    <t>Net Foreign Currency Exchange Gain Loss</t>
  </si>
  <si>
    <t>Earnings Losses from Equity Investments</t>
  </si>
  <si>
    <t>Deferred Tax</t>
  </si>
  <si>
    <t>Deferred Income Tax</t>
  </si>
  <si>
    <t>Stock based compensation</t>
  </si>
  <si>
    <t>Other non-cash items</t>
  </si>
  <si>
    <t>Change in working capital</t>
  </si>
  <si>
    <t>Change in Receivables</t>
  </si>
  <si>
    <t>Changes in Account Receivables</t>
  </si>
  <si>
    <t>Change in Inventory</t>
  </si>
  <si>
    <t>Change in Prepaid Assets</t>
  </si>
  <si>
    <t>Change in Payables And Accrued Expense</t>
  </si>
  <si>
    <t>Change in Payable</t>
  </si>
  <si>
    <t>Change in Tax Payable</t>
  </si>
  <si>
    <t>Change in Income Tax Payable</t>
  </si>
  <si>
    <t>Change in Account Payable</t>
  </si>
  <si>
    <t>Change in Other Current Liabilities</t>
  </si>
  <si>
    <t>Investing Cash Flow</t>
  </si>
  <si>
    <t>Cash Flow from Continuing Investing Activities</t>
  </si>
  <si>
    <t>Net PPE Purchase And Sale</t>
  </si>
  <si>
    <t>Purchase of PPE</t>
  </si>
  <si>
    <t>Sale of PPE</t>
  </si>
  <si>
    <t>Net Business Purchase And Sale</t>
  </si>
  <si>
    <t>Purchase of Business</t>
  </si>
  <si>
    <t>Sale of Business</t>
  </si>
  <si>
    <t>Net Investment Purchase And Sale</t>
  </si>
  <si>
    <t>Purchase of Investment</t>
  </si>
  <si>
    <t>Sale of Investment</t>
  </si>
  <si>
    <t>Net Other Investing Changes</t>
  </si>
  <si>
    <t>Financing Cash Flow</t>
  </si>
  <si>
    <t>Cash Flow from Continuing Financing Activities</t>
  </si>
  <si>
    <t>Net Issuance Payments of Debt</t>
  </si>
  <si>
    <t>Net Long Term Debt Issuance</t>
  </si>
  <si>
    <t>Long Term Debt Issuance</t>
  </si>
  <si>
    <t>Long Term Debt Payments</t>
  </si>
  <si>
    <t>Net Common Stock Issuance</t>
  </si>
  <si>
    <t>Common Stock Issuance</t>
  </si>
  <si>
    <t>Common Stock Payments</t>
  </si>
  <si>
    <t>Cash Dividends Paid</t>
  </si>
  <si>
    <t>Common Stock Dividend Paid</t>
  </si>
  <si>
    <t>Net Other Financing Charges</t>
  </si>
  <si>
    <t>End Cash Position</t>
  </si>
  <si>
    <t>Changes in Cash</t>
  </si>
  <si>
    <t>Effect of Exchange Rate Changes</t>
  </si>
  <si>
    <t>Beginning Cash Position</t>
  </si>
  <si>
    <t>Other Cash Adjustment Outside Change in Cash</t>
  </si>
  <si>
    <t>Capital Expenditure</t>
  </si>
  <si>
    <t>Issuance of Capital Stock</t>
  </si>
  <si>
    <t>Issuance of Debt</t>
  </si>
  <si>
    <t>Repayment of Debt</t>
  </si>
  <si>
    <t>Repurchase of Capital Stock</t>
  </si>
  <si>
    <t>Free Cash Flow</t>
  </si>
  <si>
    <t>Total Assets</t>
  </si>
  <si>
    <t>Current Assets</t>
  </si>
  <si>
    <t>Cash And Cash Equivalents</t>
  </si>
  <si>
    <t>Other Short Term Investments</t>
  </si>
  <si>
    <t>Receivables</t>
  </si>
  <si>
    <t>Accounts receivable</t>
  </si>
  <si>
    <t>Gross Accounts Receivable</t>
  </si>
  <si>
    <t>Allowance For Doubtful Accounts Receivable</t>
  </si>
  <si>
    <t>Inventory</t>
  </si>
  <si>
    <t>Raw Materials</t>
  </si>
  <si>
    <t>Finished Goods</t>
  </si>
  <si>
    <t>Other Inventories</t>
  </si>
  <si>
    <t>Prepaid Assets</t>
  </si>
  <si>
    <t>Assets Held for Sale Current</t>
  </si>
  <si>
    <t>Other Current Assets</t>
  </si>
  <si>
    <t>Total non-current assets</t>
  </si>
  <si>
    <t>Net PPE</t>
  </si>
  <si>
    <t>Gross PPE</t>
  </si>
  <si>
    <t>Properties</t>
  </si>
  <si>
    <t>Land And Improvements</t>
  </si>
  <si>
    <t>Buildings And Improvements</t>
  </si>
  <si>
    <t>Machinery Furniture Equipment</t>
  </si>
  <si>
    <t>Accumulated Depreciation</t>
  </si>
  <si>
    <t>Goodwill And Other Intangible Assets</t>
  </si>
  <si>
    <t>Goodwill</t>
  </si>
  <si>
    <t>Other Intangible Assets</t>
  </si>
  <si>
    <t>Investments And Advances</t>
  </si>
  <si>
    <t>Long Term Equity Investment</t>
  </si>
  <si>
    <t>Other Investments</t>
  </si>
  <si>
    <t>Non Current Deferred Assets</t>
  </si>
  <si>
    <t>Non Current Deferred Taxes Assets</t>
  </si>
  <si>
    <t>Other Non Current Assets</t>
  </si>
  <si>
    <t>Total Liabilities Net Minority Interest</t>
  </si>
  <si>
    <t>Current Liabilities</t>
  </si>
  <si>
    <t>Payables And Accrued Expenses</t>
  </si>
  <si>
    <t>Payables</t>
  </si>
  <si>
    <t>Accounts Payable</t>
  </si>
  <si>
    <t>Total Tax Payable</t>
  </si>
  <si>
    <t>Income Tax Payable</t>
  </si>
  <si>
    <t>Other Payable</t>
  </si>
  <si>
    <t>Current Accrued Expenses</t>
  </si>
  <si>
    <t>Pension &amp; Other Post Retirement Benefit Plans Current</t>
  </si>
  <si>
    <t>Current Debt And Capital Lease Obligation</t>
  </si>
  <si>
    <t>Current Debt</t>
  </si>
  <si>
    <t>Commercial Paper</t>
  </si>
  <si>
    <t>Line of Credit</t>
  </si>
  <si>
    <t>Other Current Borrowings</t>
  </si>
  <si>
    <t>Other Current Liabilities</t>
  </si>
  <si>
    <t>Total Non Current Liabilities Net Minority Interest</t>
  </si>
  <si>
    <t>Long Term Debt And Capital Lease Obligation</t>
  </si>
  <si>
    <t>Long Term Debt</t>
  </si>
  <si>
    <t>Non Current Deferred Liabilities</t>
  </si>
  <si>
    <t>Non Current Deferred Taxes Liabilities</t>
  </si>
  <si>
    <t>Other Non Current Liabilities</t>
  </si>
  <si>
    <t>Total Equity Gross Minority Interest</t>
  </si>
  <si>
    <t>Stockholders' Equity</t>
  </si>
  <si>
    <t>Capital Stock</t>
  </si>
  <si>
    <t>Common Stock</t>
  </si>
  <si>
    <t>Additional Paid in Capital</t>
  </si>
  <si>
    <t>Retained Earnings</t>
  </si>
  <si>
    <t>Treasury Stock</t>
  </si>
  <si>
    <t>Gains Losses Not Affecting Retained Earnings</t>
  </si>
  <si>
    <t>Unrealized Gain Loss</t>
  </si>
  <si>
    <t>Minimum Pension Liabilities</t>
  </si>
  <si>
    <t>Foreign Currency Translation Adjustments</t>
  </si>
  <si>
    <t>Other Equity Adjustments</t>
  </si>
  <si>
    <t>Minority Interest</t>
  </si>
  <si>
    <t>Total Capitalization</t>
  </si>
  <si>
    <t>Common Stock Equity</t>
  </si>
  <si>
    <t>Net Tangible Assets</t>
  </si>
  <si>
    <t>Working Capital</t>
  </si>
  <si>
    <t>Invested Capital</t>
  </si>
  <si>
    <t>Tangible Book Value</t>
  </si>
  <si>
    <t>Total Debt</t>
  </si>
  <si>
    <t>Net Debt</t>
  </si>
  <si>
    <t>Share Issued</t>
  </si>
  <si>
    <t>Ordinary Shares Number</t>
  </si>
  <si>
    <t>Treasury Shares Number</t>
  </si>
  <si>
    <t>Financial Ratios</t>
  </si>
  <si>
    <t>Current Ratio</t>
  </si>
  <si>
    <t xml:space="preserve"> Liquidity Ratios</t>
  </si>
  <si>
    <t>Total</t>
  </si>
  <si>
    <t>Quick Ratio (Acid Test)</t>
  </si>
  <si>
    <t>Cash and Cash equivalents</t>
  </si>
  <si>
    <t>Marketable securities</t>
  </si>
  <si>
    <t>Cash Ratio</t>
  </si>
  <si>
    <t>Gross Profit Margin</t>
  </si>
  <si>
    <t>Operating Profit Margin</t>
  </si>
  <si>
    <t>Revenue</t>
  </si>
  <si>
    <t xml:space="preserve">
</t>
  </si>
  <si>
    <t>Net Profit Margin</t>
  </si>
  <si>
    <t>Pretax Income/EBIT</t>
  </si>
  <si>
    <t>Gross Profit 2025</t>
  </si>
  <si>
    <t>Operating Expense 2025</t>
  </si>
  <si>
    <t>Total Operating Expense</t>
  </si>
  <si>
    <t>Title</t>
  </si>
  <si>
    <t xml:space="preserve">                </t>
  </si>
  <si>
    <t>ROA(Return on Assets)</t>
  </si>
  <si>
    <t>Shareholder’s equity</t>
  </si>
  <si>
    <t>ROE (Return on Equity)</t>
  </si>
  <si>
    <t>Current Assets 2025</t>
  </si>
  <si>
    <t>Non-current assets 2025</t>
  </si>
  <si>
    <t>Total Non Current Liabilities</t>
  </si>
  <si>
    <t>Additional Ratios</t>
  </si>
  <si>
    <t>Earnings per share</t>
  </si>
  <si>
    <t>Number of Common Shares Outstanding</t>
  </si>
  <si>
    <t>Price/Earnings Ratio</t>
  </si>
  <si>
    <t>Price per common share</t>
  </si>
  <si>
    <t>Dividend Payout Ratio</t>
  </si>
  <si>
    <t>Total Dividend Paid</t>
  </si>
  <si>
    <t>Debt-to-Equity Ratio</t>
  </si>
  <si>
    <t>Total Equity</t>
  </si>
  <si>
    <t>Sustainable Growth Rate</t>
  </si>
  <si>
    <t>Cash Cash Equivalents &amp; Short Term Investments</t>
  </si>
  <si>
    <t>Ratio</t>
  </si>
  <si>
    <t>Result</t>
  </si>
  <si>
    <t>Strength</t>
  </si>
  <si>
    <t>Interpretation</t>
  </si>
  <si>
    <t>Strong</t>
  </si>
  <si>
    <t>Healthy</t>
  </si>
  <si>
    <t>Company can comfortably cover short‑term obligations.</t>
  </si>
  <si>
    <t>Liquidity remains solid even without inventory.</t>
  </si>
  <si>
    <t>Company has strong cash reserves relative to liabilities.</t>
  </si>
  <si>
    <t>Strong control over production costs.</t>
  </si>
  <si>
    <t>Efficient operations and overhead management.</t>
  </si>
  <si>
    <t>High overall profitability.</t>
  </si>
  <si>
    <t>Assets are generating solid returns.</t>
  </si>
  <si>
    <t>Shareholders are receiving exceptional returns.</t>
  </si>
  <si>
    <t>Profitabilit Ratios</t>
  </si>
  <si>
    <t>High</t>
  </si>
  <si>
    <t>Moderate - High</t>
  </si>
  <si>
    <t>Leveraged</t>
  </si>
  <si>
    <t>Excellent</t>
  </si>
  <si>
    <t>High profit per share.</t>
  </si>
  <si>
    <t>Market expects growth.</t>
  </si>
  <si>
    <t>Shareholder‑friendly; less reinvestment.</t>
  </si>
  <si>
    <t>Debt boosts returns but adds risk.</t>
  </si>
  <si>
    <t>Strong internal growth capacity.</t>
  </si>
  <si>
    <t>Liquidity Ratios</t>
  </si>
  <si>
    <t>Ratios</t>
  </si>
  <si>
    <t>Value</t>
  </si>
  <si>
    <t>Profitability Margins</t>
  </si>
  <si>
    <t>Return 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</si>
</sst>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4" formatCode="_-&quot;$&quot;* #,##0.00_-;\-&quot;$&quot;* #,##0.00_-;_-&quot;$&quot;* &quot;-&quot;??_-;_-@_-"/>
    <numFmt numFmtId="43" formatCode="_-* #,##0.00_-;\-* #,##0.00_-;_-* &quot;-&quot;??_-;_-@_-"/>
    <numFmt numFmtId="164" formatCode="0.000"/>
    <numFmt numFmtId="165" formatCode="&quot;$&quot;#,##0.00"/>
    <numFmt numFmtId="166" formatCode="&quot;$&quot;#,##0"/>
  </numFmts>
  <fonts count="9" x14ac:knownFonts="1">
    <font>
      <sz val="12"/>
      <color theme="1"/>
      <name val="Aptos Narrow"/>
      <family val="2"/>
      <scheme val="minor"/>
    </font>
    <font>
      <b/>
      <sz val="12"/>
      <color theme="1"/>
      <name val="Aptos Narrow"/>
      <family val="2"/>
      <scheme val="minor"/>
    </font>
    <font>
      <sz val="12"/>
      <color theme="1"/>
      <name val="Aptos Narrow"/>
      <family val="2"/>
      <scheme val="minor"/>
    </font>
    <font>
      <sz val="12"/>
      <color rgb="FFFF0000"/>
      <name val="Aptos Narrow"/>
      <family val="2"/>
      <scheme val="minor"/>
    </font>
    <font>
      <b/>
      <sz val="12"/>
      <color rgb="FFFF0000"/>
      <name val="Aptos Narrow"/>
      <family val="2"/>
      <scheme val="minor"/>
    </font>
    <font>
      <b/>
      <sz val="12"/>
      <name val="Aptos Narrow"/>
      <family val="2"/>
      <scheme val="minor"/>
    </font>
    <font>
      <sz val="12"/>
      <name val="Aptos Narrow"/>
      <family val="2"/>
      <scheme val="minor"/>
    </font>
    <font>
      <b/>
      <sz val="12"/>
      <color rgb="FFC00000"/>
      <name val="Aptos Narrow"/>
      <family val="2"/>
      <scheme val="minor"/>
    </font>
    <font>
      <b/>
      <sz val="14"/>
      <color theme="1"/>
      <name val="Aptos Narrow"/>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14999847407452621"/>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58">
    <xf numFmtId="0" fontId="0" fillId="0" borderId="0" xfId="0"/>
    <xf numFmtId="49" fontId="1" fillId="0" borderId="0" xfId="0" applyNumberFormat="1" applyFont="1"/>
    <xf numFmtId="0" fontId="1" fillId="0" borderId="0" xfId="0" applyFont="1"/>
    <xf numFmtId="2" fontId="0" fillId="0" borderId="0" xfId="0" applyNumberFormat="1"/>
    <xf numFmtId="0" fontId="3" fillId="0" borderId="0" xfId="0" applyFont="1"/>
    <xf numFmtId="0" fontId="1" fillId="2" borderId="0" xfId="0" applyFont="1" applyFill="1"/>
    <xf numFmtId="0" fontId="0" fillId="2" borderId="0" xfId="0" applyFill="1"/>
    <xf numFmtId="0" fontId="3" fillId="2" borderId="0" xfId="0" applyFont="1" applyFill="1"/>
    <xf numFmtId="0" fontId="1" fillId="3" borderId="0" xfId="0" applyFont="1" applyFill="1"/>
    <xf numFmtId="3" fontId="0" fillId="0" borderId="0" xfId="0" applyNumberFormat="1"/>
    <xf numFmtId="0" fontId="4" fillId="0" borderId="0" xfId="0" applyFont="1"/>
    <xf numFmtId="0" fontId="5" fillId="3" borderId="0" xfId="0" applyFont="1" applyFill="1"/>
    <xf numFmtId="0" fontId="6" fillId="3" borderId="0" xfId="0" applyFont="1" applyFill="1"/>
    <xf numFmtId="0" fontId="0" fillId="3" borderId="0" xfId="0" applyFill="1"/>
    <xf numFmtId="0" fontId="1" fillId="4" borderId="0" xfId="0" applyFont="1" applyFill="1"/>
    <xf numFmtId="0" fontId="0" fillId="4" borderId="0" xfId="0" applyFill="1"/>
    <xf numFmtId="164" fontId="1" fillId="0" borderId="0" xfId="0" applyNumberFormat="1" applyFont="1"/>
    <xf numFmtId="2" fontId="1" fillId="0" borderId="0" xfId="0" applyNumberFormat="1" applyFont="1"/>
    <xf numFmtId="165" fontId="0" fillId="0" borderId="0" xfId="0" applyNumberFormat="1"/>
    <xf numFmtId="166" fontId="0" fillId="0" borderId="0" xfId="0" applyNumberFormat="1"/>
    <xf numFmtId="165" fontId="1" fillId="0" borderId="0" xfId="0" applyNumberFormat="1" applyFont="1"/>
    <xf numFmtId="166" fontId="0" fillId="0" borderId="0" xfId="2" applyNumberFormat="1" applyFont="1"/>
    <xf numFmtId="166" fontId="0" fillId="0" borderId="0" xfId="2" applyNumberFormat="1" applyFont="1" applyAlignment="1">
      <alignment horizontal="right"/>
    </xf>
    <xf numFmtId="166" fontId="5" fillId="3" borderId="0" xfId="2" applyNumberFormat="1" applyFont="1" applyFill="1"/>
    <xf numFmtId="166" fontId="1" fillId="3" borderId="0" xfId="0" applyNumberFormat="1" applyFont="1" applyFill="1"/>
    <xf numFmtId="166" fontId="6" fillId="3" borderId="0" xfId="2" applyNumberFormat="1" applyFont="1" applyFill="1"/>
    <xf numFmtId="166" fontId="1" fillId="0" borderId="0" xfId="0" applyNumberFormat="1" applyFont="1"/>
    <xf numFmtId="166" fontId="1" fillId="3" borderId="0" xfId="2" applyNumberFormat="1" applyFont="1" applyFill="1"/>
    <xf numFmtId="166" fontId="0" fillId="3" borderId="0" xfId="2" applyNumberFormat="1" applyFont="1" applyFill="1"/>
    <xf numFmtId="166" fontId="3" fillId="3" borderId="0" xfId="2" applyNumberFormat="1" applyFont="1" applyFill="1"/>
    <xf numFmtId="166" fontId="1" fillId="4" borderId="0" xfId="2" applyNumberFormat="1" applyFont="1" applyFill="1"/>
    <xf numFmtId="166" fontId="0" fillId="4" borderId="0" xfId="2" applyNumberFormat="1" applyFont="1" applyFill="1"/>
    <xf numFmtId="166" fontId="0" fillId="2" borderId="0" xfId="2" applyNumberFormat="1" applyFont="1" applyFill="1"/>
    <xf numFmtId="166" fontId="1" fillId="2" borderId="0" xfId="2" applyNumberFormat="1" applyFont="1" applyFill="1"/>
    <xf numFmtId="166" fontId="3" fillId="2" borderId="0" xfId="2" applyNumberFormat="1" applyFont="1" applyFill="1"/>
    <xf numFmtId="6" fontId="0" fillId="0" borderId="0" xfId="0" applyNumberFormat="1"/>
    <xf numFmtId="6" fontId="1" fillId="0" borderId="0" xfId="0" applyNumberFormat="1" applyFont="1"/>
    <xf numFmtId="166" fontId="3" fillId="0" borderId="0" xfId="0" applyNumberFormat="1" applyFont="1"/>
    <xf numFmtId="166" fontId="6" fillId="0" borderId="0" xfId="0" applyNumberFormat="1" applyFont="1"/>
    <xf numFmtId="166" fontId="1" fillId="3" borderId="0" xfId="1" applyNumberFormat="1" applyFont="1" applyFill="1"/>
    <xf numFmtId="166" fontId="4" fillId="0" borderId="0" xfId="1" applyNumberFormat="1" applyFont="1"/>
    <xf numFmtId="166" fontId="5" fillId="0" borderId="0" xfId="0" applyNumberFormat="1" applyFont="1"/>
    <xf numFmtId="6" fontId="6" fillId="0" borderId="0" xfId="0" applyNumberFormat="1" applyFont="1"/>
    <xf numFmtId="49" fontId="3" fillId="0" borderId="0" xfId="0" applyNumberFormat="1" applyFont="1"/>
    <xf numFmtId="49" fontId="4" fillId="0" borderId="0" xfId="0" applyNumberFormat="1" applyFont="1"/>
    <xf numFmtId="6" fontId="5" fillId="0" borderId="0" xfId="0" applyNumberFormat="1" applyFont="1"/>
    <xf numFmtId="49" fontId="0" fillId="0" borderId="0" xfId="0" applyNumberFormat="1"/>
    <xf numFmtId="49" fontId="7" fillId="0" borderId="0" xfId="0" applyNumberFormat="1" applyFont="1"/>
    <xf numFmtId="6" fontId="7" fillId="0" borderId="0" xfId="0" applyNumberFormat="1" applyFont="1"/>
    <xf numFmtId="49" fontId="1" fillId="3" borderId="0" xfId="0" applyNumberFormat="1" applyFont="1" applyFill="1"/>
    <xf numFmtId="6" fontId="1" fillId="3" borderId="0" xfId="0" applyNumberFormat="1" applyFont="1" applyFill="1"/>
    <xf numFmtId="6" fontId="6" fillId="3" borderId="0" xfId="0" applyNumberFormat="1" applyFont="1" applyFill="1"/>
    <xf numFmtId="49" fontId="3" fillId="3" borderId="0" xfId="0" applyNumberFormat="1" applyFont="1" applyFill="1"/>
    <xf numFmtId="49" fontId="4" fillId="5" borderId="0" xfId="0" applyNumberFormat="1" applyFont="1" applyFill="1"/>
    <xf numFmtId="6" fontId="6" fillId="5" borderId="0" xfId="0" applyNumberFormat="1" applyFont="1" applyFill="1"/>
    <xf numFmtId="49" fontId="0" fillId="5" borderId="0" xfId="0" applyNumberFormat="1" applyFill="1"/>
    <xf numFmtId="49" fontId="1" fillId="5" borderId="0" xfId="0" applyNumberFormat="1" applyFont="1" applyFill="1"/>
    <xf numFmtId="0" fontId="8" fillId="0" borderId="0" xfId="0" applyFont="1"/>
  </cellXfs>
  <cellStyles count="3">
    <cellStyle name="Comma" xfId="1" builtinId="3"/>
    <cellStyle name="Currency" xfId="2"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b="1"/>
              <a:t>Profitability Margins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622269221084406E-2"/>
          <c:y val="0.17111880046136102"/>
          <c:w val="0.87143034481597148"/>
          <c:h val="0.69454086405289306"/>
        </c:manualLayout>
      </c:layout>
      <c:barChart>
        <c:barDir val="col"/>
        <c:grouping val="clustered"/>
        <c:varyColors val="0"/>
        <c:ser>
          <c:idx val="0"/>
          <c:order val="0"/>
          <c:tx>
            <c:strRef>
              <c:f>Charts_Ratios!$B$2</c:f>
              <c:strCache>
                <c:ptCount val="1"/>
                <c:pt idx="0">
                  <c:v>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Charts_Ratios!$A$3:$A$5</c:f>
              <c:strCache>
                <c:ptCount val="3"/>
                <c:pt idx="0">
                  <c:v>Gross Profit Margin</c:v>
                </c:pt>
                <c:pt idx="1">
                  <c:v>Operating Profit Margin</c:v>
                </c:pt>
                <c:pt idx="2">
                  <c:v>Net Profit Margin</c:v>
                </c:pt>
              </c:strCache>
            </c:strRef>
          </c:cat>
          <c:val>
            <c:numRef>
              <c:f>Charts_Ratios!$B$3:$B$5</c:f>
              <c:numCache>
                <c:formatCode>General</c:formatCode>
                <c:ptCount val="3"/>
                <c:pt idx="0">
                  <c:v>0.62</c:v>
                </c:pt>
                <c:pt idx="1">
                  <c:v>0.31</c:v>
                </c:pt>
                <c:pt idx="2">
                  <c:v>0.27</c:v>
                </c:pt>
              </c:numCache>
            </c:numRef>
          </c:val>
          <c:extLst>
            <c:ext xmlns:c16="http://schemas.microsoft.com/office/drawing/2014/chart" uri="{C3380CC4-5D6E-409C-BE32-E72D297353CC}">
              <c16:uniqueId val="{00000000-9F24-4725-B250-660EF6777C90}"/>
            </c:ext>
          </c:extLst>
        </c:ser>
        <c:dLbls>
          <c:dLblPos val="outEnd"/>
          <c:showLegendKey val="0"/>
          <c:showVal val="1"/>
          <c:showCatName val="0"/>
          <c:showSerName val="0"/>
          <c:showPercent val="0"/>
          <c:showBubbleSize val="0"/>
        </c:dLbls>
        <c:gapWidth val="219"/>
        <c:overlap val="-27"/>
        <c:axId val="562457136"/>
        <c:axId val="562457616"/>
      </c:barChart>
      <c:catAx>
        <c:axId val="56245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57616"/>
        <c:crosses val="autoZero"/>
        <c:auto val="1"/>
        <c:lblAlgn val="ctr"/>
        <c:lblOffset val="100"/>
        <c:noMultiLvlLbl val="0"/>
      </c:catAx>
      <c:valAx>
        <c:axId val="56245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57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Return Ratios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bar"/>
        <c:grouping val="clustered"/>
        <c:varyColors val="0"/>
        <c:ser>
          <c:idx val="0"/>
          <c:order val="0"/>
          <c:tx>
            <c:strRef>
              <c:f>Charts_Ratios!$B$21</c:f>
              <c:strCache>
                <c:ptCount val="1"/>
                <c:pt idx="0">
                  <c:v>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Charts_Ratios!$A$22:$A$23</c:f>
              <c:strCache>
                <c:ptCount val="2"/>
                <c:pt idx="0">
                  <c:v>ROA(Return on Assets)</c:v>
                </c:pt>
                <c:pt idx="1">
                  <c:v>ROE (Return on Equity)</c:v>
                </c:pt>
              </c:strCache>
            </c:strRef>
          </c:cat>
          <c:val>
            <c:numRef>
              <c:f>Charts_Ratios!$B$22:$B$23</c:f>
              <c:numCache>
                <c:formatCode>General</c:formatCode>
                <c:ptCount val="2"/>
                <c:pt idx="0">
                  <c:v>0.13</c:v>
                </c:pt>
                <c:pt idx="1">
                  <c:v>0.41</c:v>
                </c:pt>
              </c:numCache>
            </c:numRef>
          </c:val>
          <c:extLst>
            <c:ext xmlns:c16="http://schemas.microsoft.com/office/drawing/2014/chart" uri="{C3380CC4-5D6E-409C-BE32-E72D297353CC}">
              <c16:uniqueId val="{00000000-2FF7-4BC8-BD05-F4A0D09C478C}"/>
            </c:ext>
          </c:extLst>
        </c:ser>
        <c:dLbls>
          <c:dLblPos val="outEnd"/>
          <c:showLegendKey val="0"/>
          <c:showVal val="1"/>
          <c:showCatName val="0"/>
          <c:showSerName val="0"/>
          <c:showPercent val="0"/>
          <c:showBubbleSize val="0"/>
        </c:dLbls>
        <c:gapWidth val="182"/>
        <c:axId val="1026696224"/>
        <c:axId val="1026695264"/>
      </c:barChart>
      <c:catAx>
        <c:axId val="102669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95264"/>
        <c:crosses val="autoZero"/>
        <c:auto val="1"/>
        <c:lblAlgn val="ctr"/>
        <c:lblOffset val="100"/>
        <c:noMultiLvlLbl val="0"/>
      </c:catAx>
      <c:valAx>
        <c:axId val="1026695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696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Liquidity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Charts_Ratios!$L$2</c:f>
              <c:strCache>
                <c:ptCount val="1"/>
                <c:pt idx="0">
                  <c:v>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Charts_Ratios!$K$3:$K$5</c:f>
              <c:strCache>
                <c:ptCount val="3"/>
                <c:pt idx="0">
                  <c:v>Current Ratio</c:v>
                </c:pt>
                <c:pt idx="1">
                  <c:v>Quick Ratio (Acid Test)</c:v>
                </c:pt>
                <c:pt idx="2">
                  <c:v>Cash Ratio</c:v>
                </c:pt>
              </c:strCache>
            </c:strRef>
          </c:cat>
          <c:val>
            <c:numRef>
              <c:f>Charts_Ratios!$L$3:$L$5</c:f>
              <c:numCache>
                <c:formatCode>0.00</c:formatCode>
                <c:ptCount val="3"/>
                <c:pt idx="0">
                  <c:v>1.4587660354306657</c:v>
                </c:pt>
                <c:pt idx="1">
                  <c:v>1.2508340773459894</c:v>
                </c:pt>
                <c:pt idx="2">
                  <c:v>0.74272825525116304</c:v>
                </c:pt>
              </c:numCache>
            </c:numRef>
          </c:val>
          <c:extLst>
            <c:ext xmlns:c16="http://schemas.microsoft.com/office/drawing/2014/chart" uri="{C3380CC4-5D6E-409C-BE32-E72D297353CC}">
              <c16:uniqueId val="{00000000-29C6-4F03-95FE-E5D846142140}"/>
            </c:ext>
          </c:extLst>
        </c:ser>
        <c:dLbls>
          <c:dLblPos val="outEnd"/>
          <c:showLegendKey val="0"/>
          <c:showVal val="1"/>
          <c:showCatName val="0"/>
          <c:showSerName val="0"/>
          <c:showPercent val="0"/>
          <c:showBubbleSize val="0"/>
        </c:dLbls>
        <c:gapWidth val="182"/>
        <c:axId val="1390889328"/>
        <c:axId val="1390888368"/>
      </c:barChart>
      <c:catAx>
        <c:axId val="139088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888368"/>
        <c:crosses val="autoZero"/>
        <c:auto val="1"/>
        <c:lblAlgn val="ctr"/>
        <c:lblOffset val="100"/>
        <c:noMultiLvlLbl val="0"/>
      </c:catAx>
      <c:valAx>
        <c:axId val="139088836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889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Leverage &amp; Growth Ratios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3552497140035087"/>
          <c:y val="0.25822866344605477"/>
          <c:w val="0.61013480006332454"/>
          <c:h val="0.61218507106901487"/>
        </c:manualLayout>
      </c:layout>
      <c:barChart>
        <c:barDir val="bar"/>
        <c:grouping val="clustered"/>
        <c:varyColors val="0"/>
        <c:ser>
          <c:idx val="0"/>
          <c:order val="0"/>
          <c:tx>
            <c:strRef>
              <c:f>Charts_Ratios!$L$34</c:f>
              <c:strCache>
                <c:ptCount val="1"/>
                <c:pt idx="0">
                  <c:v>Value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Charts_Ratios!$K$35:$K$36</c:f>
              <c:strCache>
                <c:ptCount val="2"/>
                <c:pt idx="0">
                  <c:v>Debt-to-Equity Ratio</c:v>
                </c:pt>
                <c:pt idx="1">
                  <c:v>Sustainable Growth Rate</c:v>
                </c:pt>
              </c:strCache>
            </c:strRef>
          </c:cat>
          <c:val>
            <c:numRef>
              <c:f>Charts_Ratios!$L$35:$L$36</c:f>
              <c:numCache>
                <c:formatCode>General</c:formatCode>
                <c:ptCount val="2"/>
                <c:pt idx="0">
                  <c:v>1.4141564860580063</c:v>
                </c:pt>
                <c:pt idx="1">
                  <c:v>0.13453946345860923</c:v>
                </c:pt>
              </c:numCache>
            </c:numRef>
          </c:val>
          <c:extLst>
            <c:ext xmlns:c16="http://schemas.microsoft.com/office/drawing/2014/chart" uri="{C3380CC4-5D6E-409C-BE32-E72D297353CC}">
              <c16:uniqueId val="{00000000-75E3-4A96-8BDD-2C93CF91B0B1}"/>
            </c:ext>
          </c:extLst>
        </c:ser>
        <c:dLbls>
          <c:dLblPos val="outEnd"/>
          <c:showLegendKey val="0"/>
          <c:showVal val="1"/>
          <c:showCatName val="0"/>
          <c:showSerName val="0"/>
          <c:showPercent val="0"/>
          <c:showBubbleSize val="0"/>
        </c:dLbls>
        <c:gapWidth val="182"/>
        <c:axId val="1485801600"/>
        <c:axId val="1485806400"/>
      </c:barChart>
      <c:catAx>
        <c:axId val="148580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806400"/>
        <c:crosses val="autoZero"/>
        <c:auto val="1"/>
        <c:lblAlgn val="ctr"/>
        <c:lblOffset val="100"/>
        <c:noMultiLvlLbl val="0"/>
      </c:catAx>
      <c:valAx>
        <c:axId val="1485806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801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CA" sz="1400" b="0" i="0" u="none" strike="noStrike" kern="1200" spc="0" baseline="0">
                <a:solidFill>
                  <a:sysClr val="windowText" lastClr="000000">
                    <a:lumMod val="65000"/>
                    <a:lumOff val="35000"/>
                  </a:sysClr>
                </a:solidFill>
              </a:rPr>
              <a:t>Valuation &amp; Shareholder Ratios</a:t>
            </a: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CA"/>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8126232587335872"/>
          <c:y val="0.25083333333333335"/>
          <c:w val="0.72250175263286032"/>
          <c:h val="0.55880431612715076"/>
        </c:manualLayout>
      </c:layout>
      <c:barChart>
        <c:barDir val="col"/>
        <c:grouping val="clustered"/>
        <c:varyColors val="0"/>
        <c:ser>
          <c:idx val="0"/>
          <c:order val="0"/>
          <c:tx>
            <c:strRef>
              <c:f>Charts_Ratios!$L$20</c:f>
              <c:strCache>
                <c:ptCount val="1"/>
                <c:pt idx="0">
                  <c:v>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Charts_Ratios!$K$21:$K$23</c:f>
              <c:strCache>
                <c:ptCount val="3"/>
                <c:pt idx="0">
                  <c:v>Earnings per share</c:v>
                </c:pt>
                <c:pt idx="1">
                  <c:v>Price/Earnings Ratio</c:v>
                </c:pt>
                <c:pt idx="2">
                  <c:v>Dividend Payout Ratio</c:v>
                </c:pt>
              </c:strCache>
            </c:strRef>
          </c:cat>
          <c:val>
            <c:numRef>
              <c:f>Charts_Ratios!$L$21:$L$23</c:f>
              <c:numCache>
                <c:formatCode>0.00</c:formatCode>
                <c:ptCount val="3"/>
                <c:pt idx="0">
                  <c:v>3.0469994964790907</c:v>
                </c:pt>
                <c:pt idx="1">
                  <c:v>25.382347482948042</c:v>
                </c:pt>
                <c:pt idx="2">
                  <c:v>0.66979476615548939</c:v>
                </c:pt>
              </c:numCache>
            </c:numRef>
          </c:val>
          <c:extLst>
            <c:ext xmlns:c16="http://schemas.microsoft.com/office/drawing/2014/chart" uri="{C3380CC4-5D6E-409C-BE32-E72D297353CC}">
              <c16:uniqueId val="{00000000-8CB9-415D-9921-CD51CF8578F2}"/>
            </c:ext>
          </c:extLst>
        </c:ser>
        <c:dLbls>
          <c:dLblPos val="outEnd"/>
          <c:showLegendKey val="0"/>
          <c:showVal val="1"/>
          <c:showCatName val="0"/>
          <c:showSerName val="0"/>
          <c:showPercent val="0"/>
          <c:showBubbleSize val="0"/>
        </c:dLbls>
        <c:gapWidth val="219"/>
        <c:overlap val="-27"/>
        <c:axId val="1524160560"/>
        <c:axId val="1524158160"/>
      </c:barChart>
      <c:catAx>
        <c:axId val="152416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158160"/>
        <c:crosses val="autoZero"/>
        <c:auto val="1"/>
        <c:lblAlgn val="ctr"/>
        <c:lblOffset val="100"/>
        <c:noMultiLvlLbl val="0"/>
      </c:catAx>
      <c:valAx>
        <c:axId val="15241581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160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290512</xdr:colOff>
      <xdr:row>40</xdr:row>
      <xdr:rowOff>104775</xdr:rowOff>
    </xdr:from>
    <xdr:to>
      <xdr:col>11</xdr:col>
      <xdr:colOff>895350</xdr:colOff>
      <xdr:row>46</xdr:row>
      <xdr:rowOff>47625</xdr:rowOff>
    </xdr:to>
    <xdr:sp macro="" textlink="">
      <xdr:nvSpPr>
        <xdr:cNvPr id="2" name="TextBox 1">
          <a:extLst>
            <a:ext uri="{FF2B5EF4-FFF2-40B4-BE49-F238E27FC236}">
              <a16:creationId xmlns:a16="http://schemas.microsoft.com/office/drawing/2014/main" id="{FD8D2884-A3E5-91D0-8BDA-EF06116D63F6}"/>
            </a:ext>
          </a:extLst>
        </xdr:cNvPr>
        <xdr:cNvSpPr txBox="1"/>
      </xdr:nvSpPr>
      <xdr:spPr>
        <a:xfrm>
          <a:off x="8443912" y="8105775"/>
          <a:ext cx="6396038"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Basic EPS</a:t>
          </a:r>
        </a:p>
        <a:p>
          <a:r>
            <a:rPr lang="en-CA" sz="1100" b="1"/>
            <a:t>Basic EPS = Net Income –Preferred Dividends / Weighted</a:t>
          </a:r>
          <a:r>
            <a:rPr lang="en-CA" sz="1100" b="1" baseline="0"/>
            <a:t> </a:t>
          </a:r>
          <a:r>
            <a:rPr lang="en-CA" sz="1100" b="1"/>
            <a:t>Average Shares Outstanding</a:t>
          </a:r>
        </a:p>
        <a:p>
          <a:endParaRPr lang="en-CA" sz="1100"/>
        </a:p>
        <a:p>
          <a:r>
            <a:rPr lang="en-CA" b="1"/>
            <a:t>Diluted EPS</a:t>
          </a:r>
        </a:p>
        <a:p>
          <a:r>
            <a:rPr lang="en-CA" b="1"/>
            <a:t>Diluted</a:t>
          </a:r>
          <a:r>
            <a:rPr lang="en-CA" b="1" baseline="0"/>
            <a:t> </a:t>
          </a:r>
          <a:r>
            <a:rPr lang="en-CA" b="1"/>
            <a:t>EPS =</a:t>
          </a:r>
          <a:r>
            <a:rPr lang="en-CA" b="1" baseline="0"/>
            <a:t> </a:t>
          </a:r>
          <a:r>
            <a:rPr lang="en-CA" b="1"/>
            <a:t>Net Income – Preferred Dividends</a:t>
          </a:r>
          <a:r>
            <a:rPr lang="en-CA" b="1" baseline="0"/>
            <a:t> / </a:t>
          </a:r>
          <a:r>
            <a:rPr lang="en-CA" b="1"/>
            <a:t>Weighted Average Diluted Shares</a:t>
          </a:r>
        </a:p>
        <a:p>
          <a:endParaRPr lang="en-CA" sz="1100"/>
        </a:p>
        <a:p>
          <a:endParaRPr lang="en-C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866775</xdr:colOff>
      <xdr:row>0</xdr:row>
      <xdr:rowOff>190500</xdr:rowOff>
    </xdr:from>
    <xdr:to>
      <xdr:col>5</xdr:col>
      <xdr:colOff>171450</xdr:colOff>
      <xdr:row>8</xdr:row>
      <xdr:rowOff>171450</xdr:rowOff>
    </xdr:to>
    <xdr:sp macro="" textlink="">
      <xdr:nvSpPr>
        <xdr:cNvPr id="2" name="TextBox 1">
          <a:extLst>
            <a:ext uri="{FF2B5EF4-FFF2-40B4-BE49-F238E27FC236}">
              <a16:creationId xmlns:a16="http://schemas.microsoft.com/office/drawing/2014/main" id="{72C58676-AC5A-EDA4-4890-DC42096B6AB5}"/>
            </a:ext>
          </a:extLst>
        </xdr:cNvPr>
        <xdr:cNvSpPr txBox="1"/>
      </xdr:nvSpPr>
      <xdr:spPr>
        <a:xfrm>
          <a:off x="866775" y="190500"/>
          <a:ext cx="9220200" cy="158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1"/>
            <a:t>Comprehensive Financial Analysis Summary</a:t>
          </a:r>
        </a:p>
        <a:p>
          <a:r>
            <a:rPr lang="en-CA" sz="1800"/>
            <a:t>The company’s 2025 financial performance reflects a highly profitable, efficiently managed, and strategically positioned organization with strong liquidity, robust margins, and exceptional returns to shareholders. Across all major ratio categories, the firm demonstrates financial strength and disciplined operational execution</a:t>
          </a:r>
        </a:p>
        <a:p>
          <a:endParaRPr lang="en-CA" sz="1100"/>
        </a:p>
      </xdr:txBody>
    </xdr:sp>
    <xdr:clientData/>
  </xdr:twoCellAnchor>
  <xdr:twoCellAnchor>
    <xdr:from>
      <xdr:col>4</xdr:col>
      <xdr:colOff>0</xdr:colOff>
      <xdr:row>48</xdr:row>
      <xdr:rowOff>9526</xdr:rowOff>
    </xdr:from>
    <xdr:to>
      <xdr:col>8</xdr:col>
      <xdr:colOff>1085850</xdr:colOff>
      <xdr:row>61</xdr:row>
      <xdr:rowOff>114301</xdr:rowOff>
    </xdr:to>
    <xdr:sp macro="" textlink="">
      <xdr:nvSpPr>
        <xdr:cNvPr id="3" name="TextBox 2">
          <a:extLst>
            <a:ext uri="{FF2B5EF4-FFF2-40B4-BE49-F238E27FC236}">
              <a16:creationId xmlns:a16="http://schemas.microsoft.com/office/drawing/2014/main" id="{BCCE04B5-2EEA-0F8E-B79B-B47B8E9DCD97}"/>
            </a:ext>
          </a:extLst>
        </xdr:cNvPr>
        <xdr:cNvSpPr txBox="1"/>
      </xdr:nvSpPr>
      <xdr:spPr>
        <a:xfrm>
          <a:off x="6343650" y="9610726"/>
          <a:ext cx="9010650" cy="270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1"/>
            <a:t>Overall Conclusion</a:t>
          </a:r>
        </a:p>
        <a:p>
          <a:r>
            <a:rPr lang="en-CA" sz="1800" b="0"/>
            <a:t>The company exhibits exceptional financial health across all major dimensions. Strong liquidity ensures stability, while high profitability and efficient operations drive impressive returns. The firm’s balanced approach to dividends and reinvestment supports both shareholder value and long‑term growth. Although leverage is present, it is used strategically and effectively. With a sustainable growth rate exceeding </a:t>
          </a:r>
          <a:r>
            <a:rPr lang="en-CA" sz="1800" b="1"/>
            <a:t>13%</a:t>
          </a:r>
          <a:r>
            <a:rPr lang="en-CA" sz="1800" b="0"/>
            <a:t>, the company is well‑positioned for continued success.</a:t>
          </a:r>
        </a:p>
        <a:p>
          <a:r>
            <a:rPr lang="en-CA" sz="1800" b="0"/>
            <a:t>This financial profile reflects a mature, well‑managed organization capable of delivering consistent performance, rewarding shareholders, and sustaining meaningful growth into the future.</a:t>
          </a:r>
        </a:p>
        <a:p>
          <a:endParaRPr lang="en-CA"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666750</xdr:colOff>
      <xdr:row>2</xdr:row>
      <xdr:rowOff>47626</xdr:rowOff>
    </xdr:from>
    <xdr:to>
      <xdr:col>6</xdr:col>
      <xdr:colOff>28575</xdr:colOff>
      <xdr:row>13</xdr:row>
      <xdr:rowOff>38100</xdr:rowOff>
    </xdr:to>
    <xdr:sp macro="" textlink="">
      <xdr:nvSpPr>
        <xdr:cNvPr id="2" name="TextBox 1">
          <a:extLst>
            <a:ext uri="{FF2B5EF4-FFF2-40B4-BE49-F238E27FC236}">
              <a16:creationId xmlns:a16="http://schemas.microsoft.com/office/drawing/2014/main" id="{2E3080B5-0D92-3944-2178-07CA136BF24B}"/>
            </a:ext>
          </a:extLst>
        </xdr:cNvPr>
        <xdr:cNvSpPr txBox="1"/>
      </xdr:nvSpPr>
      <xdr:spPr>
        <a:xfrm>
          <a:off x="666750" y="447676"/>
          <a:ext cx="6858000" cy="2190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Valuation and Shareholder Value</a:t>
          </a:r>
        </a:p>
        <a:p>
          <a:r>
            <a:rPr lang="en-CA" sz="1400" b="1"/>
            <a:t>Earnings per share (EPS) </a:t>
          </a:r>
          <a:r>
            <a:rPr lang="en-CA" sz="1400" b="0"/>
            <a:t>of </a:t>
          </a:r>
          <a:r>
            <a:rPr lang="en-CA" sz="1400" b="1"/>
            <a:t>$3.05 </a:t>
          </a:r>
          <a:r>
            <a:rPr lang="en-CA" sz="1400" b="0"/>
            <a:t>indicate strong profitability on a per‑share basis. With a market price of </a:t>
          </a:r>
          <a:r>
            <a:rPr lang="en-CA" sz="1400" b="1"/>
            <a:t>$77.34</a:t>
          </a:r>
          <a:r>
            <a:rPr lang="en-CA" sz="1400" b="0"/>
            <a:t>, the resulting price‑to‑earnings </a:t>
          </a:r>
          <a:r>
            <a:rPr lang="en-CA" sz="1400" b="1"/>
            <a:t>(P/E) ratio </a:t>
          </a:r>
          <a:r>
            <a:rPr lang="en-CA" sz="1400" b="0"/>
            <a:t>of </a:t>
          </a:r>
          <a:r>
            <a:rPr lang="en-CA" sz="1400" b="1"/>
            <a:t>25.38</a:t>
          </a:r>
          <a:r>
            <a:rPr lang="en-CA" sz="1400" b="0"/>
            <a:t> suggests that investors view the company as a high‑quality, growth‑oriented investment. This valuation aligns with the company’s strong financial fundamentals and future growth prospects.</a:t>
          </a:r>
        </a:p>
        <a:p>
          <a:endParaRPr lang="en-CA" sz="1400" b="0"/>
        </a:p>
        <a:p>
          <a:r>
            <a:rPr lang="en-CA" sz="1400" b="0"/>
            <a:t>The </a:t>
          </a:r>
          <a:r>
            <a:rPr lang="en-CA" sz="1400" b="1"/>
            <a:t>dividend payout ratio </a:t>
          </a:r>
          <a:r>
            <a:rPr lang="en-CA" sz="1400" b="0"/>
            <a:t>of </a:t>
          </a:r>
          <a:r>
            <a:rPr lang="en-CA" sz="1400" b="1"/>
            <a:t>67%</a:t>
          </a:r>
          <a:r>
            <a:rPr lang="en-CA" sz="1400" b="0"/>
            <a:t> shows a commitment to returning value to shareholders while still retaining sufficient earnings to support future expansion. This balanced approach appeals to both income‑focused and growth‑oriented investors.</a:t>
          </a:r>
        </a:p>
        <a:p>
          <a:endParaRPr lang="en-CA" sz="1100"/>
        </a:p>
      </xdr:txBody>
    </xdr:sp>
    <xdr:clientData/>
  </xdr:twoCellAnchor>
  <xdr:twoCellAnchor>
    <xdr:from>
      <xdr:col>1</xdr:col>
      <xdr:colOff>9525</xdr:colOff>
      <xdr:row>21</xdr:row>
      <xdr:rowOff>1</xdr:rowOff>
    </xdr:from>
    <xdr:to>
      <xdr:col>6</xdr:col>
      <xdr:colOff>9525</xdr:colOff>
      <xdr:row>28</xdr:row>
      <xdr:rowOff>66676</xdr:rowOff>
    </xdr:to>
    <xdr:sp macro="" textlink="">
      <xdr:nvSpPr>
        <xdr:cNvPr id="8" name="TextBox 7">
          <a:extLst>
            <a:ext uri="{FF2B5EF4-FFF2-40B4-BE49-F238E27FC236}">
              <a16:creationId xmlns:a16="http://schemas.microsoft.com/office/drawing/2014/main" id="{BDEBCFE2-4EFB-E973-089C-9807DCD2F778}"/>
            </a:ext>
          </a:extLst>
        </xdr:cNvPr>
        <xdr:cNvSpPr txBox="1"/>
      </xdr:nvSpPr>
      <xdr:spPr>
        <a:xfrm>
          <a:off x="695325" y="4200526"/>
          <a:ext cx="6810375" cy="146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Leverage and Capital Structure</a:t>
          </a:r>
        </a:p>
        <a:p>
          <a:r>
            <a:rPr lang="en-CA" sz="1400"/>
            <a:t>The </a:t>
          </a:r>
          <a:r>
            <a:rPr lang="en-CA" sz="1400" b="1"/>
            <a:t>debt‑to‑equity ratio </a:t>
          </a:r>
          <a:r>
            <a:rPr lang="en-CA" sz="1400"/>
            <a:t>of </a:t>
          </a:r>
          <a:r>
            <a:rPr lang="en-CA" sz="1400" b="1"/>
            <a:t>1.41</a:t>
          </a:r>
          <a:r>
            <a:rPr lang="en-CA" sz="1400"/>
            <a:t> indicates a moderately leveraged capital structure. While the company does rely on debt financing, the level is manageable and appears to be used effectively to enhance returns without compromising financial stability. The strong liquidity and profitability ratios support the company’s ability to comfortably service its debt obligations.</a:t>
          </a:r>
        </a:p>
        <a:p>
          <a:endParaRPr lang="en-CA" sz="1100"/>
        </a:p>
      </xdr:txBody>
    </xdr:sp>
    <xdr:clientData/>
  </xdr:twoCellAnchor>
  <xdr:twoCellAnchor>
    <xdr:from>
      <xdr:col>1</xdr:col>
      <xdr:colOff>19050</xdr:colOff>
      <xdr:row>30</xdr:row>
      <xdr:rowOff>9525</xdr:rowOff>
    </xdr:from>
    <xdr:to>
      <xdr:col>6</xdr:col>
      <xdr:colOff>28575</xdr:colOff>
      <xdr:row>37</xdr:row>
      <xdr:rowOff>19050</xdr:rowOff>
    </xdr:to>
    <xdr:sp macro="" textlink="">
      <xdr:nvSpPr>
        <xdr:cNvPr id="9" name="TextBox 8">
          <a:extLst>
            <a:ext uri="{FF2B5EF4-FFF2-40B4-BE49-F238E27FC236}">
              <a16:creationId xmlns:a16="http://schemas.microsoft.com/office/drawing/2014/main" id="{BBC7B9DB-7FC5-829F-4BCB-157E6F7CFA54}"/>
            </a:ext>
          </a:extLst>
        </xdr:cNvPr>
        <xdr:cNvSpPr txBox="1"/>
      </xdr:nvSpPr>
      <xdr:spPr>
        <a:xfrm>
          <a:off x="704850" y="6010275"/>
          <a:ext cx="681990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Growth Potential</a:t>
          </a:r>
        </a:p>
        <a:p>
          <a:r>
            <a:rPr lang="en-CA" sz="1400"/>
            <a:t>The </a:t>
          </a:r>
          <a:r>
            <a:rPr lang="en-CA" sz="1400" b="1"/>
            <a:t>sustainable growth rate (SGR) </a:t>
          </a:r>
          <a:r>
            <a:rPr lang="en-CA" sz="1400"/>
            <a:t>of </a:t>
          </a:r>
          <a:r>
            <a:rPr lang="en-CA" sz="1400" b="1"/>
            <a:t>13%</a:t>
          </a:r>
          <a:r>
            <a:rPr lang="en-CA" sz="1400"/>
            <a:t> reflects the company’s capacity to grow using internally generated funds without requiring additional equity financing. This impressive growth potential is driven by the combination of high ROE and a moderate earnings retention rate. It positions the company well for continued expansion while maintaining financial independence</a:t>
          </a:r>
        </a:p>
        <a:p>
          <a:endParaRPr lang="en-CA" sz="1100"/>
        </a:p>
      </xdr:txBody>
    </xdr:sp>
    <xdr:clientData/>
  </xdr:twoCellAnchor>
  <xdr:twoCellAnchor editAs="oneCell">
    <xdr:from>
      <xdr:col>10</xdr:col>
      <xdr:colOff>0</xdr:colOff>
      <xdr:row>2</xdr:row>
      <xdr:rowOff>0</xdr:rowOff>
    </xdr:from>
    <xdr:to>
      <xdr:col>15</xdr:col>
      <xdr:colOff>448392</xdr:colOff>
      <xdr:row>14</xdr:row>
      <xdr:rowOff>13925</xdr:rowOff>
    </xdr:to>
    <xdr:pic>
      <xdr:nvPicPr>
        <xdr:cNvPr id="11" name="Picture 10">
          <a:extLst>
            <a:ext uri="{FF2B5EF4-FFF2-40B4-BE49-F238E27FC236}">
              <a16:creationId xmlns:a16="http://schemas.microsoft.com/office/drawing/2014/main" id="{12A5ED78-F674-B407-A56D-EC3189C4A488}"/>
            </a:ext>
          </a:extLst>
        </xdr:cNvPr>
        <xdr:cNvPicPr>
          <a:picLocks noChangeAspect="1"/>
        </xdr:cNvPicPr>
      </xdr:nvPicPr>
      <xdr:blipFill>
        <a:blip xmlns:r="http://schemas.openxmlformats.org/officeDocument/2006/relationships" r:embed="rId1"/>
        <a:stretch>
          <a:fillRect/>
        </a:stretch>
      </xdr:blipFill>
      <xdr:spPr>
        <a:xfrm>
          <a:off x="12363450" y="400050"/>
          <a:ext cx="3877392" cy="2414225"/>
        </a:xfrm>
        <a:prstGeom prst="rect">
          <a:avLst/>
        </a:prstGeom>
      </xdr:spPr>
    </xdr:pic>
    <xdr:clientData/>
  </xdr:twoCellAnchor>
  <xdr:twoCellAnchor editAs="oneCell">
    <xdr:from>
      <xdr:col>10</xdr:col>
      <xdr:colOff>0</xdr:colOff>
      <xdr:row>16</xdr:row>
      <xdr:rowOff>0</xdr:rowOff>
    </xdr:from>
    <xdr:to>
      <xdr:col>15</xdr:col>
      <xdr:colOff>491068</xdr:colOff>
      <xdr:row>25</xdr:row>
      <xdr:rowOff>181147</xdr:rowOff>
    </xdr:to>
    <xdr:pic>
      <xdr:nvPicPr>
        <xdr:cNvPr id="12" name="Picture 11">
          <a:extLst>
            <a:ext uri="{FF2B5EF4-FFF2-40B4-BE49-F238E27FC236}">
              <a16:creationId xmlns:a16="http://schemas.microsoft.com/office/drawing/2014/main" id="{5C07C176-8F8E-B869-F449-FBD49445A6BC}"/>
            </a:ext>
          </a:extLst>
        </xdr:cNvPr>
        <xdr:cNvPicPr>
          <a:picLocks noChangeAspect="1"/>
        </xdr:cNvPicPr>
      </xdr:nvPicPr>
      <xdr:blipFill>
        <a:blip xmlns:r="http://schemas.openxmlformats.org/officeDocument/2006/relationships" r:embed="rId2"/>
        <a:stretch>
          <a:fillRect/>
        </a:stretch>
      </xdr:blipFill>
      <xdr:spPr>
        <a:xfrm>
          <a:off x="12363450" y="3200400"/>
          <a:ext cx="3920068" cy="19813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14287</xdr:colOff>
      <xdr:row>2</xdr:row>
      <xdr:rowOff>190500</xdr:rowOff>
    </xdr:from>
    <xdr:to>
      <xdr:col>6</xdr:col>
      <xdr:colOff>352425</xdr:colOff>
      <xdr:row>12</xdr:row>
      <xdr:rowOff>85726</xdr:rowOff>
    </xdr:to>
    <xdr:sp macro="" textlink="">
      <xdr:nvSpPr>
        <xdr:cNvPr id="6" name="TextBox 5">
          <a:extLst>
            <a:ext uri="{FF2B5EF4-FFF2-40B4-BE49-F238E27FC236}">
              <a16:creationId xmlns:a16="http://schemas.microsoft.com/office/drawing/2014/main" id="{1152D6D6-617C-262E-16E3-719CA7FF2630}"/>
            </a:ext>
          </a:extLst>
        </xdr:cNvPr>
        <xdr:cNvSpPr txBox="1"/>
      </xdr:nvSpPr>
      <xdr:spPr>
        <a:xfrm>
          <a:off x="700087" y="590550"/>
          <a:ext cx="7119938" cy="1895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buNone/>
          </a:pPr>
          <a:r>
            <a:rPr lang="en-CA" sz="1600" b="1"/>
            <a:t>Liquidity and Short‑Term Stability</a:t>
          </a:r>
        </a:p>
        <a:p>
          <a:pPr>
            <a:buNone/>
          </a:pPr>
          <a:r>
            <a:rPr lang="en-CA" sz="1600" b="0"/>
            <a:t>The liquidity ratios indicate a solid ability to meet short‑term obligations. A current ratio of </a:t>
          </a:r>
          <a:r>
            <a:rPr lang="en-CA" sz="1600" b="1"/>
            <a:t>1.46 </a:t>
          </a:r>
          <a:r>
            <a:rPr lang="en-CA" sz="1600" b="0"/>
            <a:t>and a quick ratio of </a:t>
          </a:r>
          <a:r>
            <a:rPr lang="en-CA" sz="1600" b="1"/>
            <a:t>1.25</a:t>
          </a:r>
          <a:r>
            <a:rPr lang="en-CA" sz="1600" b="0"/>
            <a:t> show that the company maintains more than adequate liquid resources, even when inventory is excluded. The cash ratio of </a:t>
          </a:r>
          <a:r>
            <a:rPr lang="en-CA" sz="1600" b="1"/>
            <a:t>0.74</a:t>
          </a:r>
          <a:r>
            <a:rPr lang="en-CA" sz="1600" b="0"/>
            <a:t> further confirms a healthy cash position without excessive idle funds. Together, these measures suggest effective working capital management and low short‑term financial risk</a:t>
          </a:r>
        </a:p>
        <a:p>
          <a:endParaRPr lang="en-CA" sz="1100"/>
        </a:p>
      </xdr:txBody>
    </xdr:sp>
    <xdr:clientData/>
  </xdr:twoCellAnchor>
  <xdr:twoCellAnchor editAs="oneCell">
    <xdr:from>
      <xdr:col>4</xdr:col>
      <xdr:colOff>0</xdr:colOff>
      <xdr:row>18</xdr:row>
      <xdr:rowOff>0</xdr:rowOff>
    </xdr:from>
    <xdr:to>
      <xdr:col>5</xdr:col>
      <xdr:colOff>409158</xdr:colOff>
      <xdr:row>29</xdr:row>
      <xdr:rowOff>195661</xdr:rowOff>
    </xdr:to>
    <xdr:pic>
      <xdr:nvPicPr>
        <xdr:cNvPr id="8" name="Picture 7">
          <a:extLst>
            <a:ext uri="{FF2B5EF4-FFF2-40B4-BE49-F238E27FC236}">
              <a16:creationId xmlns:a16="http://schemas.microsoft.com/office/drawing/2014/main" id="{8EF41D83-0DF3-FC7B-0C9C-78AC1073D389}"/>
            </a:ext>
          </a:extLst>
        </xdr:cNvPr>
        <xdr:cNvPicPr>
          <a:picLocks noChangeAspect="1"/>
        </xdr:cNvPicPr>
      </xdr:nvPicPr>
      <xdr:blipFill>
        <a:blip xmlns:r="http://schemas.openxmlformats.org/officeDocument/2006/relationships" r:embed="rId1"/>
        <a:stretch>
          <a:fillRect/>
        </a:stretch>
      </xdr:blipFill>
      <xdr:spPr>
        <a:xfrm>
          <a:off x="3209925" y="3676650"/>
          <a:ext cx="3981033" cy="23959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xdr:colOff>
      <xdr:row>2</xdr:row>
      <xdr:rowOff>76199</xdr:rowOff>
    </xdr:from>
    <xdr:to>
      <xdr:col>5</xdr:col>
      <xdr:colOff>342900</xdr:colOff>
      <xdr:row>11</xdr:row>
      <xdr:rowOff>9525</xdr:rowOff>
    </xdr:to>
    <xdr:sp macro="" textlink="">
      <xdr:nvSpPr>
        <xdr:cNvPr id="2" name="TextBox 1">
          <a:extLst>
            <a:ext uri="{FF2B5EF4-FFF2-40B4-BE49-F238E27FC236}">
              <a16:creationId xmlns:a16="http://schemas.microsoft.com/office/drawing/2014/main" id="{9ACCB6C2-6387-BF75-9A26-A0B5573A2E35}"/>
            </a:ext>
          </a:extLst>
        </xdr:cNvPr>
        <xdr:cNvSpPr txBox="1"/>
      </xdr:nvSpPr>
      <xdr:spPr>
        <a:xfrm>
          <a:off x="704850" y="514349"/>
          <a:ext cx="6981825" cy="1733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Profitability and Operating Performance</a:t>
          </a:r>
        </a:p>
        <a:p>
          <a:r>
            <a:rPr lang="en-CA" sz="1400" b="0"/>
            <a:t>Profitability is a standout strength. A gross margin of </a:t>
          </a:r>
          <a:r>
            <a:rPr lang="en-CA" sz="1400" b="1"/>
            <a:t>62%</a:t>
          </a:r>
          <a:r>
            <a:rPr lang="en-CA" sz="1400" b="0"/>
            <a:t> highlights strong control over production costs and pricing power. The operating margin of </a:t>
          </a:r>
          <a:r>
            <a:rPr lang="en-CA" sz="1400" b="1"/>
            <a:t>31%</a:t>
          </a:r>
          <a:r>
            <a:rPr lang="en-CA" sz="1400" b="0"/>
            <a:t> reflects efficient management of overhead and operating expenses. Ultimately, the company achieves a net profit margin of </a:t>
          </a:r>
          <a:r>
            <a:rPr lang="en-CA" sz="1400" b="1"/>
            <a:t>27%</a:t>
          </a:r>
          <a:r>
            <a:rPr lang="en-CA" sz="1400" b="0"/>
            <a:t>, placing it well above typical industry averages and signaling exceptional bottom‑line performance. These margins indicate a business model capable of generating substantial value from its revenue base.</a:t>
          </a:r>
        </a:p>
        <a:p>
          <a:endParaRPr lang="en-CA" sz="1100"/>
        </a:p>
      </xdr:txBody>
    </xdr:sp>
    <xdr:clientData/>
  </xdr:twoCellAnchor>
  <xdr:twoCellAnchor>
    <xdr:from>
      <xdr:col>1</xdr:col>
      <xdr:colOff>9525</xdr:colOff>
      <xdr:row>19</xdr:row>
      <xdr:rowOff>38100</xdr:rowOff>
    </xdr:from>
    <xdr:to>
      <xdr:col>5</xdr:col>
      <xdr:colOff>238125</xdr:colOff>
      <xdr:row>27</xdr:row>
      <xdr:rowOff>133350</xdr:rowOff>
    </xdr:to>
    <xdr:sp macro="" textlink="">
      <xdr:nvSpPr>
        <xdr:cNvPr id="8" name="TextBox 7">
          <a:extLst>
            <a:ext uri="{FF2B5EF4-FFF2-40B4-BE49-F238E27FC236}">
              <a16:creationId xmlns:a16="http://schemas.microsoft.com/office/drawing/2014/main" id="{6761CA16-F957-BF0C-778F-27487C8CECF8}"/>
            </a:ext>
          </a:extLst>
        </xdr:cNvPr>
        <xdr:cNvSpPr txBox="1"/>
      </xdr:nvSpPr>
      <xdr:spPr>
        <a:xfrm>
          <a:off x="695325" y="3876675"/>
          <a:ext cx="6886575" cy="169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1"/>
            <a:t>Returns on Investment</a:t>
          </a:r>
        </a:p>
        <a:p>
          <a:r>
            <a:rPr lang="en-CA" sz="1600"/>
            <a:t>The company’s ability to convert resources into profit is further demonstrated by its return ratios. A return on assets (ROA) of </a:t>
          </a:r>
          <a:r>
            <a:rPr lang="en-CA" sz="1600" b="1"/>
            <a:t>12.5% </a:t>
          </a:r>
          <a:r>
            <a:rPr lang="en-CA" sz="1600"/>
            <a:t>shows effective use of the asset base, while the return on equity (ROE) of </a:t>
          </a:r>
          <a:r>
            <a:rPr lang="en-CA" sz="1600" b="1"/>
            <a:t>41% </a:t>
          </a:r>
          <a:r>
            <a:rPr lang="en-CA" sz="1600"/>
            <a:t>is exceptionally strong. This high ROE reflects both strong profitability and the strategic use of leverage to amplify shareholder returns</a:t>
          </a:r>
        </a:p>
        <a:p>
          <a:endParaRPr lang="en-CA" sz="1100"/>
        </a:p>
      </xdr:txBody>
    </xdr:sp>
    <xdr:clientData/>
  </xdr:twoCellAnchor>
  <xdr:twoCellAnchor editAs="oneCell">
    <xdr:from>
      <xdr:col>9</xdr:col>
      <xdr:colOff>123825</xdr:colOff>
      <xdr:row>0</xdr:row>
      <xdr:rowOff>190500</xdr:rowOff>
    </xdr:from>
    <xdr:to>
      <xdr:col>11</xdr:col>
      <xdr:colOff>65471</xdr:colOff>
      <xdr:row>16</xdr:row>
      <xdr:rowOff>190500</xdr:rowOff>
    </xdr:to>
    <xdr:pic>
      <xdr:nvPicPr>
        <xdr:cNvPr id="13" name="Picture 12">
          <a:extLst>
            <a:ext uri="{FF2B5EF4-FFF2-40B4-BE49-F238E27FC236}">
              <a16:creationId xmlns:a16="http://schemas.microsoft.com/office/drawing/2014/main" id="{2ADE5435-280D-30B7-CBA7-9473D59B86F8}"/>
            </a:ext>
          </a:extLst>
        </xdr:cNvPr>
        <xdr:cNvPicPr>
          <a:picLocks noChangeAspect="1"/>
        </xdr:cNvPicPr>
      </xdr:nvPicPr>
      <xdr:blipFill>
        <a:blip xmlns:r="http://schemas.openxmlformats.org/officeDocument/2006/relationships" r:embed="rId1"/>
        <a:stretch>
          <a:fillRect/>
        </a:stretch>
      </xdr:blipFill>
      <xdr:spPr>
        <a:xfrm>
          <a:off x="11477625" y="190500"/>
          <a:ext cx="3694496" cy="3238500"/>
        </a:xfrm>
        <a:prstGeom prst="rect">
          <a:avLst/>
        </a:prstGeom>
      </xdr:spPr>
    </xdr:pic>
    <xdr:clientData/>
  </xdr:twoCellAnchor>
  <xdr:twoCellAnchor editAs="oneCell">
    <xdr:from>
      <xdr:col>9</xdr:col>
      <xdr:colOff>152400</xdr:colOff>
      <xdr:row>18</xdr:row>
      <xdr:rowOff>9525</xdr:rowOff>
    </xdr:from>
    <xdr:to>
      <xdr:col>11</xdr:col>
      <xdr:colOff>276942</xdr:colOff>
      <xdr:row>31</xdr:row>
      <xdr:rowOff>158734</xdr:rowOff>
    </xdr:to>
    <xdr:pic>
      <xdr:nvPicPr>
        <xdr:cNvPr id="14" name="Picture 13">
          <a:extLst>
            <a:ext uri="{FF2B5EF4-FFF2-40B4-BE49-F238E27FC236}">
              <a16:creationId xmlns:a16="http://schemas.microsoft.com/office/drawing/2014/main" id="{618D8D12-EF0F-31DE-0B95-C41A4B0F422A}"/>
            </a:ext>
          </a:extLst>
        </xdr:cNvPr>
        <xdr:cNvPicPr>
          <a:picLocks noChangeAspect="1"/>
        </xdr:cNvPicPr>
      </xdr:nvPicPr>
      <xdr:blipFill>
        <a:blip xmlns:r="http://schemas.openxmlformats.org/officeDocument/2006/relationships" r:embed="rId2"/>
        <a:stretch>
          <a:fillRect/>
        </a:stretch>
      </xdr:blipFill>
      <xdr:spPr>
        <a:xfrm>
          <a:off x="11506200" y="3648075"/>
          <a:ext cx="3877392" cy="27495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280987</xdr:colOff>
      <xdr:row>0</xdr:row>
      <xdr:rowOff>9525</xdr:rowOff>
    </xdr:from>
    <xdr:to>
      <xdr:col>7</xdr:col>
      <xdr:colOff>533400</xdr:colOff>
      <xdr:row>13</xdr:row>
      <xdr:rowOff>161925</xdr:rowOff>
    </xdr:to>
    <xdr:graphicFrame macro="">
      <xdr:nvGraphicFramePr>
        <xdr:cNvPr id="2" name="Chart 1">
          <a:extLst>
            <a:ext uri="{FF2B5EF4-FFF2-40B4-BE49-F238E27FC236}">
              <a16:creationId xmlns:a16="http://schemas.microsoft.com/office/drawing/2014/main" id="{F5FCACBF-B262-70C7-9211-53CD23F9B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147637</xdr:colOff>
      <xdr:row>15</xdr:row>
      <xdr:rowOff>123825</xdr:rowOff>
    </xdr:from>
    <xdr:to>
      <xdr:col>7</xdr:col>
      <xdr:colOff>581025</xdr:colOff>
      <xdr:row>29</xdr:row>
      <xdr:rowOff>66675</xdr:rowOff>
    </xdr:to>
    <xdr:graphicFrame macro="">
      <xdr:nvGraphicFramePr>
        <xdr:cNvPr id="3" name="Chart 2">
          <a:extLst>
            <a:ext uri="{FF2B5EF4-FFF2-40B4-BE49-F238E27FC236}">
              <a16:creationId xmlns:a16="http://schemas.microsoft.com/office/drawing/2014/main" id="{E4E8D267-0B40-83E9-454A-3BF6D3741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166687</xdr:colOff>
      <xdr:row>0</xdr:row>
      <xdr:rowOff>123825</xdr:rowOff>
    </xdr:from>
    <xdr:to>
      <xdr:col>18</xdr:col>
      <xdr:colOff>19050</xdr:colOff>
      <xdr:row>12</xdr:row>
      <xdr:rowOff>104775</xdr:rowOff>
    </xdr:to>
    <xdr:graphicFrame macro="">
      <xdr:nvGraphicFramePr>
        <xdr:cNvPr id="4" name="Chart 3">
          <a:extLst>
            <a:ext uri="{FF2B5EF4-FFF2-40B4-BE49-F238E27FC236}">
              <a16:creationId xmlns:a16="http://schemas.microsoft.com/office/drawing/2014/main" id="{136DAF07-E041-1AA2-392B-6781DA7B4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204787</xdr:colOff>
      <xdr:row>28</xdr:row>
      <xdr:rowOff>152400</xdr:rowOff>
    </xdr:from>
    <xdr:to>
      <xdr:col>18</xdr:col>
      <xdr:colOff>0</xdr:colOff>
      <xdr:row>38</xdr:row>
      <xdr:rowOff>123825</xdr:rowOff>
    </xdr:to>
    <xdr:graphicFrame macro="">
      <xdr:nvGraphicFramePr>
        <xdr:cNvPr id="7" name="Chart 6">
          <a:extLst>
            <a:ext uri="{FF2B5EF4-FFF2-40B4-BE49-F238E27FC236}">
              <a16:creationId xmlns:a16="http://schemas.microsoft.com/office/drawing/2014/main" id="{B7737104-092E-C2BB-1E42-417AB5DDF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147637</xdr:colOff>
      <xdr:row>14</xdr:row>
      <xdr:rowOff>142875</xdr:rowOff>
    </xdr:from>
    <xdr:to>
      <xdr:col>17</xdr:col>
      <xdr:colOff>581025</xdr:colOff>
      <xdr:row>26</xdr:row>
      <xdr:rowOff>142875</xdr:rowOff>
    </xdr:to>
    <xdr:graphicFrame macro="">
      <xdr:nvGraphicFramePr>
        <xdr:cNvPr id="8" name="Chart 7">
          <a:extLst>
            <a:ext uri="{FF2B5EF4-FFF2-40B4-BE49-F238E27FC236}">
              <a16:creationId xmlns:a16="http://schemas.microsoft.com/office/drawing/2014/main" id="{990DCC46-6246-4437-E2D3-F661F08CC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
  <sheetViews>
    <sheetView workbookViewId="0">
      <selection activeCell="I22" sqref="I22"/>
    </sheetView>
  </sheetViews>
  <sheetFormatPr defaultRowHeight="15.6" x14ac:dyDescent="0.3"/>
  <cols>
    <col min="1" max="1" width="50.09765625" bestFit="1" customWidth="1"/>
    <col min="2" max="2" width="13.5" bestFit="1" customWidth="1"/>
    <col min="3" max="3" width="12.3984375" customWidth="1"/>
    <col min="4" max="6" width="13.5" bestFit="1" customWidth="1"/>
    <col min="7" max="7" width="13.8984375" bestFit="1" customWidth="1"/>
    <col min="9" max="9" width="23.59765625" bestFit="1" customWidth="1"/>
    <col min="10" max="10" width="20.59765625" bestFit="1" customWidth="1"/>
    <col min="11" max="11" width="9" customWidth="1"/>
    <col min="12" max="12" width="20.59765625" bestFit="1" customWidth="1"/>
    <col min="13" max="13" width="15.5" bestFit="1" customWidth="1"/>
  </cols>
  <sheetData>
    <row r="1" spans="1:13" x14ac:dyDescent="0.3">
      <c r="A1" s="1" t="s">
        <v>214</v>
      </c>
      <c r="B1" s="1" t="s">
        <v>59</v>
      </c>
      <c r="C1" s="1"/>
      <c r="D1" s="1" t="s">
        <v>60</v>
      </c>
      <c r="E1" s="1" t="s">
        <v>61</v>
      </c>
      <c r="F1" s="1" t="s">
        <v>62</v>
      </c>
      <c r="I1" s="2" t="s">
        <v>211</v>
      </c>
      <c r="J1" s="2"/>
      <c r="K1" s="2"/>
      <c r="L1" s="2" t="s">
        <v>16</v>
      </c>
      <c r="M1" s="2"/>
    </row>
    <row r="2" spans="1:13" x14ac:dyDescent="0.3">
      <c r="A2" s="49" t="s">
        <v>0</v>
      </c>
      <c r="B2" s="50">
        <v>47941000</v>
      </c>
      <c r="C2" s="50"/>
      <c r="D2" s="50">
        <v>47061000</v>
      </c>
      <c r="E2" s="50">
        <v>45754000</v>
      </c>
      <c r="F2" s="50">
        <v>43004000</v>
      </c>
      <c r="G2" s="19"/>
      <c r="I2" t="s">
        <v>207</v>
      </c>
      <c r="J2">
        <v>47941000</v>
      </c>
      <c r="L2" t="s">
        <v>3</v>
      </c>
      <c r="M2">
        <v>29544000</v>
      </c>
    </row>
    <row r="3" spans="1:13" x14ac:dyDescent="0.3">
      <c r="A3" s="49" t="s">
        <v>1</v>
      </c>
      <c r="B3" s="51">
        <v>47941000</v>
      </c>
      <c r="C3" s="51"/>
      <c r="D3" s="51">
        <v>47061000</v>
      </c>
      <c r="E3" s="51">
        <v>45754000</v>
      </c>
      <c r="F3" s="51">
        <v>43004000</v>
      </c>
      <c r="G3" s="19"/>
      <c r="I3" t="s">
        <v>2</v>
      </c>
      <c r="J3">
        <v>18397000</v>
      </c>
      <c r="L3" s="2" t="s">
        <v>213</v>
      </c>
      <c r="M3" s="10">
        <v>14633000</v>
      </c>
    </row>
    <row r="4" spans="1:13" x14ac:dyDescent="0.3">
      <c r="A4" s="52" t="s">
        <v>2</v>
      </c>
      <c r="B4" s="51">
        <v>18397000</v>
      </c>
      <c r="C4" s="51"/>
      <c r="D4" s="51">
        <v>18324000</v>
      </c>
      <c r="E4" s="51">
        <v>18520000</v>
      </c>
      <c r="F4" s="51">
        <v>18000000</v>
      </c>
      <c r="G4" s="19"/>
      <c r="I4" s="2" t="s">
        <v>3</v>
      </c>
      <c r="J4" s="2">
        <v>29544000</v>
      </c>
      <c r="M4" s="2">
        <f>M2-M3</f>
        <v>14911000</v>
      </c>
    </row>
    <row r="5" spans="1:13" x14ac:dyDescent="0.3">
      <c r="A5" s="49" t="s">
        <v>3</v>
      </c>
      <c r="B5" s="50">
        <v>29544000</v>
      </c>
      <c r="C5" s="50"/>
      <c r="D5" s="50">
        <v>28737000</v>
      </c>
      <c r="E5" s="50">
        <v>27234000</v>
      </c>
      <c r="F5" s="50">
        <v>25004000</v>
      </c>
      <c r="G5" s="39">
        <f>F3-F4</f>
        <v>25004000</v>
      </c>
    </row>
    <row r="6" spans="1:13" x14ac:dyDescent="0.3">
      <c r="A6" s="44" t="s">
        <v>4</v>
      </c>
      <c r="B6" s="42">
        <v>14633000</v>
      </c>
      <c r="C6" s="45">
        <f>B7+B16+B15</f>
        <v>14633000</v>
      </c>
      <c r="D6" s="42">
        <v>14715000</v>
      </c>
      <c r="E6" s="42">
        <v>14136000</v>
      </c>
      <c r="F6" s="42">
        <v>12962000</v>
      </c>
      <c r="G6" s="41">
        <f>F7+F16</f>
        <v>12962000</v>
      </c>
      <c r="I6" s="2" t="s">
        <v>212</v>
      </c>
      <c r="J6" s="2"/>
    </row>
    <row r="7" spans="1:13" x14ac:dyDescent="0.3">
      <c r="A7" s="53" t="s">
        <v>5</v>
      </c>
      <c r="B7" s="54">
        <v>14521000</v>
      </c>
      <c r="C7" s="54"/>
      <c r="D7" s="54">
        <v>14582000</v>
      </c>
      <c r="E7" s="54">
        <v>13972000</v>
      </c>
      <c r="F7" s="54">
        <v>12880000</v>
      </c>
      <c r="G7" s="38"/>
      <c r="I7" t="s">
        <v>7</v>
      </c>
      <c r="J7">
        <v>279000</v>
      </c>
    </row>
    <row r="8" spans="1:13" x14ac:dyDescent="0.3">
      <c r="A8" s="55" t="s">
        <v>6</v>
      </c>
      <c r="B8" s="54">
        <v>9121000</v>
      </c>
      <c r="C8" s="54"/>
      <c r="D8" s="54">
        <v>9482000</v>
      </c>
      <c r="E8" s="54">
        <v>254000</v>
      </c>
      <c r="F8" s="54">
        <v>356000</v>
      </c>
      <c r="G8" s="38"/>
      <c r="I8" t="s">
        <v>8</v>
      </c>
      <c r="J8">
        <v>8842000</v>
      </c>
    </row>
    <row r="9" spans="1:13" x14ac:dyDescent="0.3">
      <c r="A9" s="55" t="s">
        <v>7</v>
      </c>
      <c r="B9" s="54">
        <v>279000</v>
      </c>
      <c r="C9" s="54"/>
      <c r="D9" s="54">
        <v>286000</v>
      </c>
      <c r="E9" s="54">
        <v>254000</v>
      </c>
      <c r="F9" s="54">
        <v>356000</v>
      </c>
      <c r="G9" s="38"/>
      <c r="I9" t="s">
        <v>10</v>
      </c>
      <c r="J9">
        <v>5400000</v>
      </c>
    </row>
    <row r="10" spans="1:13" x14ac:dyDescent="0.3">
      <c r="A10" s="55" t="s">
        <v>8</v>
      </c>
      <c r="B10" s="54">
        <v>8842000</v>
      </c>
      <c r="C10" s="54"/>
      <c r="D10" s="54">
        <v>9196000</v>
      </c>
      <c r="E10" s="54" t="s">
        <v>9</v>
      </c>
      <c r="F10" s="54" t="s">
        <v>9</v>
      </c>
      <c r="G10" s="38"/>
      <c r="J10" s="2">
        <f>SUM(J7:J9)</f>
        <v>14521000</v>
      </c>
      <c r="K10" s="2"/>
    </row>
    <row r="11" spans="1:13" x14ac:dyDescent="0.3">
      <c r="A11" s="55" t="s">
        <v>10</v>
      </c>
      <c r="B11" s="54">
        <v>5400000</v>
      </c>
      <c r="C11" s="54"/>
      <c r="D11" s="54">
        <v>5100000</v>
      </c>
      <c r="E11" s="54">
        <v>7609000</v>
      </c>
      <c r="F11" s="54">
        <v>7086000</v>
      </c>
      <c r="G11" s="38"/>
      <c r="I11" t="s">
        <v>14</v>
      </c>
      <c r="J11">
        <v>15000</v>
      </c>
    </row>
    <row r="12" spans="1:13" x14ac:dyDescent="0.3">
      <c r="A12" s="56" t="s">
        <v>11</v>
      </c>
      <c r="B12" s="54">
        <v>15000</v>
      </c>
      <c r="C12" s="54"/>
      <c r="D12" s="54" t="s">
        <v>9</v>
      </c>
      <c r="E12" s="54">
        <v>15000</v>
      </c>
      <c r="F12" s="54" t="s">
        <v>9</v>
      </c>
      <c r="G12" s="38"/>
      <c r="I12" t="s">
        <v>15</v>
      </c>
      <c r="J12">
        <v>97000</v>
      </c>
    </row>
    <row r="13" spans="1:13" x14ac:dyDescent="0.3">
      <c r="A13" s="56" t="s">
        <v>12</v>
      </c>
      <c r="B13" s="54">
        <v>15000</v>
      </c>
      <c r="C13" s="54"/>
      <c r="D13" s="54" t="s">
        <v>9</v>
      </c>
      <c r="E13" s="54">
        <v>15000</v>
      </c>
      <c r="F13" s="54" t="s">
        <v>9</v>
      </c>
      <c r="G13" s="38"/>
      <c r="J13" s="2">
        <f>SUM(J11:J12)</f>
        <v>112000</v>
      </c>
      <c r="K13" s="2"/>
    </row>
    <row r="14" spans="1:13" x14ac:dyDescent="0.3">
      <c r="A14" s="56" t="s">
        <v>13</v>
      </c>
      <c r="B14" s="54">
        <v>15000</v>
      </c>
      <c r="C14" s="54"/>
      <c r="D14" s="54" t="s">
        <v>9</v>
      </c>
      <c r="E14" s="54">
        <v>15000</v>
      </c>
      <c r="F14" s="54" t="s">
        <v>9</v>
      </c>
      <c r="G14" s="38"/>
      <c r="I14" s="2" t="s">
        <v>200</v>
      </c>
      <c r="J14" s="10">
        <f>SUM(J7:J13)</f>
        <v>29266000</v>
      </c>
      <c r="K14" s="2"/>
    </row>
    <row r="15" spans="1:13" x14ac:dyDescent="0.3">
      <c r="A15" s="56" t="s">
        <v>14</v>
      </c>
      <c r="B15" s="54">
        <v>15000</v>
      </c>
      <c r="C15" s="54"/>
      <c r="D15" s="54" t="s">
        <v>9</v>
      </c>
      <c r="E15" s="54">
        <v>15000</v>
      </c>
      <c r="F15" s="54" t="s">
        <v>9</v>
      </c>
      <c r="G15" s="38"/>
    </row>
    <row r="16" spans="1:13" x14ac:dyDescent="0.3">
      <c r="A16" s="55" t="s">
        <v>15</v>
      </c>
      <c r="B16" s="54">
        <v>97000</v>
      </c>
      <c r="C16" s="54"/>
      <c r="D16" s="54">
        <v>133000</v>
      </c>
      <c r="E16" s="54">
        <v>164000</v>
      </c>
      <c r="F16" s="54">
        <v>82000</v>
      </c>
      <c r="G16" s="38"/>
    </row>
    <row r="17" spans="1:7" x14ac:dyDescent="0.3">
      <c r="A17" s="49" t="s">
        <v>16</v>
      </c>
      <c r="B17" s="51">
        <v>14911000</v>
      </c>
      <c r="C17" s="51"/>
      <c r="D17" s="51">
        <v>14022000</v>
      </c>
      <c r="E17" s="51">
        <v>13098000</v>
      </c>
      <c r="F17" s="51">
        <v>12042000</v>
      </c>
      <c r="G17" s="39">
        <f>F5-F6</f>
        <v>12042000</v>
      </c>
    </row>
    <row r="18" spans="1:7" x14ac:dyDescent="0.3">
      <c r="A18" s="1" t="s">
        <v>17</v>
      </c>
      <c r="B18" s="42">
        <v>-868000</v>
      </c>
      <c r="C18" s="45">
        <f>B19-B20</f>
        <v>-868000</v>
      </c>
      <c r="D18" s="42">
        <v>-668000</v>
      </c>
      <c r="E18" s="42">
        <v>-620000</v>
      </c>
      <c r="F18" s="42">
        <v>-433000</v>
      </c>
      <c r="G18" s="40">
        <f>F19-F20</f>
        <v>-433000</v>
      </c>
    </row>
    <row r="19" spans="1:7" x14ac:dyDescent="0.3">
      <c r="A19" s="1" t="s">
        <v>18</v>
      </c>
      <c r="B19" s="42">
        <v>786000</v>
      </c>
      <c r="C19" s="42"/>
      <c r="D19" s="42">
        <v>988000</v>
      </c>
      <c r="E19" s="42">
        <v>907000</v>
      </c>
      <c r="F19" s="42">
        <v>449000</v>
      </c>
      <c r="G19" s="19"/>
    </row>
    <row r="20" spans="1:7" x14ac:dyDescent="0.3">
      <c r="A20" s="1" t="s">
        <v>19</v>
      </c>
      <c r="B20" s="42">
        <v>1654000</v>
      </c>
      <c r="C20" s="42"/>
      <c r="D20" s="42">
        <v>1656000</v>
      </c>
      <c r="E20" s="42">
        <v>1527000</v>
      </c>
      <c r="F20" s="42">
        <v>882000</v>
      </c>
      <c r="G20" s="19"/>
    </row>
    <row r="21" spans="1:7" x14ac:dyDescent="0.3">
      <c r="A21" s="1" t="s">
        <v>20</v>
      </c>
      <c r="B21" s="42">
        <v>1955000</v>
      </c>
      <c r="C21" s="42"/>
      <c r="D21" s="42">
        <v>-268000</v>
      </c>
      <c r="E21" s="42">
        <v>474000</v>
      </c>
      <c r="F21" s="42">
        <v>77000</v>
      </c>
      <c r="G21" s="19"/>
    </row>
    <row r="22" spans="1:7" x14ac:dyDescent="0.3">
      <c r="A22" s="46" t="s">
        <v>21</v>
      </c>
      <c r="B22" s="42">
        <v>520000</v>
      </c>
      <c r="C22" s="42"/>
      <c r="D22" s="42">
        <v>315000</v>
      </c>
      <c r="E22" s="42">
        <v>185000</v>
      </c>
      <c r="F22" s="42">
        <v>-496000</v>
      </c>
      <c r="G22" s="19"/>
    </row>
    <row r="23" spans="1:7" x14ac:dyDescent="0.3">
      <c r="A23" s="46" t="s">
        <v>22</v>
      </c>
      <c r="B23" s="42">
        <v>2031000</v>
      </c>
      <c r="C23" s="42"/>
      <c r="D23" s="42">
        <v>1770000</v>
      </c>
      <c r="E23" s="42">
        <v>1691000</v>
      </c>
      <c r="F23" s="42">
        <v>1472000</v>
      </c>
      <c r="G23" s="19"/>
    </row>
    <row r="24" spans="1:7" x14ac:dyDescent="0.3">
      <c r="A24" s="46" t="s">
        <v>23</v>
      </c>
      <c r="B24" s="42">
        <v>-501000</v>
      </c>
      <c r="C24" s="42"/>
      <c r="D24" s="42">
        <v>-2301000</v>
      </c>
      <c r="E24" s="42">
        <v>-1787000</v>
      </c>
      <c r="F24" s="42">
        <v>-1133000</v>
      </c>
      <c r="G24" s="19"/>
    </row>
    <row r="25" spans="1:7" x14ac:dyDescent="0.3">
      <c r="A25" s="46" t="s">
        <v>24</v>
      </c>
      <c r="B25" s="42">
        <v>16000</v>
      </c>
      <c r="C25" s="42"/>
      <c r="D25" s="42">
        <v>2246000</v>
      </c>
      <c r="E25" s="42">
        <v>1744000</v>
      </c>
      <c r="F25" s="42">
        <v>1076000</v>
      </c>
      <c r="G25" s="19"/>
    </row>
    <row r="26" spans="1:7" x14ac:dyDescent="0.3">
      <c r="A26" s="46" t="s">
        <v>25</v>
      </c>
      <c r="B26" s="42">
        <v>1045000</v>
      </c>
      <c r="C26" s="42"/>
      <c r="D26" s="42">
        <v>886000</v>
      </c>
      <c r="E26" s="42" t="s">
        <v>9</v>
      </c>
      <c r="F26" s="42">
        <v>57000</v>
      </c>
      <c r="G26" s="19"/>
    </row>
    <row r="27" spans="1:7" x14ac:dyDescent="0.3">
      <c r="A27" s="46" t="s">
        <v>26</v>
      </c>
      <c r="B27" s="42">
        <v>65000</v>
      </c>
      <c r="C27" s="42"/>
      <c r="D27" s="42">
        <v>34000</v>
      </c>
      <c r="E27" s="42">
        <v>39000</v>
      </c>
      <c r="F27" s="42">
        <v>96000</v>
      </c>
      <c r="G27" s="19"/>
    </row>
    <row r="28" spans="1:7" x14ac:dyDescent="0.3">
      <c r="A28" s="46" t="s">
        <v>27</v>
      </c>
      <c r="B28" s="42">
        <v>10000</v>
      </c>
      <c r="C28" s="42"/>
      <c r="D28" s="42">
        <v>-23000</v>
      </c>
      <c r="E28" s="42">
        <v>-42000</v>
      </c>
      <c r="F28" s="42">
        <v>-219000</v>
      </c>
      <c r="G28" s="19"/>
    </row>
    <row r="29" spans="1:7" x14ac:dyDescent="0.3">
      <c r="A29" s="46" t="s">
        <v>28</v>
      </c>
      <c r="B29" s="42">
        <v>635000</v>
      </c>
      <c r="C29" s="42"/>
      <c r="D29" s="42">
        <v>842000</v>
      </c>
      <c r="E29" s="42">
        <v>-35000</v>
      </c>
      <c r="F29" s="42" t="s">
        <v>9</v>
      </c>
      <c r="G29" s="19"/>
    </row>
    <row r="30" spans="1:7" x14ac:dyDescent="0.3">
      <c r="A30" s="46" t="s">
        <v>29</v>
      </c>
      <c r="B30" s="42" t="s">
        <v>215</v>
      </c>
      <c r="C30" s="42"/>
      <c r="D30" s="42" t="s">
        <v>9</v>
      </c>
      <c r="E30" s="42">
        <v>-35000</v>
      </c>
      <c r="F30" s="42" t="s">
        <v>9</v>
      </c>
      <c r="G30" s="19"/>
    </row>
    <row r="31" spans="1:7" x14ac:dyDescent="0.3">
      <c r="A31" s="46" t="s">
        <v>30</v>
      </c>
      <c r="B31" s="42">
        <v>-95000</v>
      </c>
      <c r="C31" s="42"/>
      <c r="D31" s="42">
        <v>-52000</v>
      </c>
      <c r="E31" s="42">
        <v>570000</v>
      </c>
      <c r="F31" s="42">
        <v>-262000</v>
      </c>
      <c r="G31" s="19"/>
    </row>
    <row r="32" spans="1:7" x14ac:dyDescent="0.3">
      <c r="A32" s="1" t="s">
        <v>210</v>
      </c>
      <c r="B32" s="42">
        <v>15998000</v>
      </c>
      <c r="C32" s="42"/>
      <c r="D32" s="42">
        <v>13086000</v>
      </c>
      <c r="E32" s="42">
        <v>12952000</v>
      </c>
      <c r="F32" s="42">
        <v>11686000</v>
      </c>
      <c r="G32" s="19"/>
    </row>
    <row r="33" spans="1:7" x14ac:dyDescent="0.3">
      <c r="A33" s="47" t="s">
        <v>31</v>
      </c>
      <c r="B33" s="48">
        <v>2861000</v>
      </c>
      <c r="C33" s="48"/>
      <c r="D33" s="48">
        <v>2437000</v>
      </c>
      <c r="E33" s="48">
        <v>2249000</v>
      </c>
      <c r="F33" s="48">
        <v>2115000</v>
      </c>
      <c r="G33" s="19"/>
    </row>
    <row r="34" spans="1:7" x14ac:dyDescent="0.3">
      <c r="A34" s="1" t="s">
        <v>32</v>
      </c>
      <c r="B34" s="45">
        <v>13107000</v>
      </c>
      <c r="C34" s="45">
        <f>B32-B33+C38</f>
        <v>13137000</v>
      </c>
      <c r="D34" s="45">
        <v>10631000</v>
      </c>
      <c r="E34" s="45">
        <v>10714000</v>
      </c>
      <c r="F34" s="45">
        <v>9542000</v>
      </c>
      <c r="G34" s="26">
        <f>F32-F33+F38</f>
        <v>9542000</v>
      </c>
    </row>
    <row r="35" spans="1:7" x14ac:dyDescent="0.3">
      <c r="A35" s="1" t="s">
        <v>33</v>
      </c>
      <c r="B35" s="45">
        <v>13107000</v>
      </c>
      <c r="C35" s="45"/>
      <c r="D35" s="45">
        <v>10631000</v>
      </c>
      <c r="E35" s="45">
        <v>10714000</v>
      </c>
      <c r="F35" s="45">
        <v>9542000</v>
      </c>
      <c r="G35" s="26"/>
    </row>
    <row r="36" spans="1:7" x14ac:dyDescent="0.3">
      <c r="A36" s="1" t="s">
        <v>34</v>
      </c>
      <c r="B36" s="42">
        <v>13137000</v>
      </c>
      <c r="C36" s="42"/>
      <c r="D36" s="42">
        <v>10649000</v>
      </c>
      <c r="E36" s="42">
        <v>10703000</v>
      </c>
      <c r="F36" s="42">
        <v>9571000</v>
      </c>
      <c r="G36" s="26"/>
    </row>
    <row r="37" spans="1:7" x14ac:dyDescent="0.3">
      <c r="A37" s="1" t="s">
        <v>35</v>
      </c>
      <c r="B37" s="42">
        <v>13137000</v>
      </c>
      <c r="C37" s="42"/>
      <c r="D37" s="42">
        <v>10649000</v>
      </c>
      <c r="E37" s="42">
        <v>10703000</v>
      </c>
      <c r="F37" s="42">
        <v>9571000</v>
      </c>
      <c r="G37" s="26"/>
    </row>
    <row r="38" spans="1:7" x14ac:dyDescent="0.3">
      <c r="A38" s="43" t="s">
        <v>36</v>
      </c>
      <c r="B38" s="42">
        <v>-30000</v>
      </c>
      <c r="C38" s="42"/>
      <c r="D38" s="42">
        <v>-18000</v>
      </c>
      <c r="E38" s="42">
        <v>11000</v>
      </c>
      <c r="F38" s="42">
        <v>-29000</v>
      </c>
      <c r="G38" s="26"/>
    </row>
    <row r="39" spans="1:7" x14ac:dyDescent="0.3">
      <c r="A39" s="1" t="s">
        <v>37</v>
      </c>
      <c r="B39" s="42">
        <v>13107000</v>
      </c>
      <c r="C39" s="45">
        <f>B32-B33+B38</f>
        <v>13107000</v>
      </c>
      <c r="D39" s="42">
        <v>10631000</v>
      </c>
      <c r="E39" s="42">
        <v>10714000</v>
      </c>
      <c r="F39" s="42">
        <v>9542000</v>
      </c>
      <c r="G39" s="26">
        <f>F32+F38-F33</f>
        <v>9542000</v>
      </c>
    </row>
    <row r="40" spans="1:7" x14ac:dyDescent="0.3">
      <c r="A40" s="1" t="s">
        <v>38</v>
      </c>
      <c r="B40" s="45">
        <v>3.05</v>
      </c>
      <c r="C40" s="45"/>
      <c r="D40" s="45">
        <v>2.4700000000000002</v>
      </c>
      <c r="E40" s="45">
        <v>2.48</v>
      </c>
      <c r="F40" s="45">
        <v>2.2000000000000002</v>
      </c>
      <c r="G40" s="19"/>
    </row>
    <row r="41" spans="1:7" x14ac:dyDescent="0.3">
      <c r="A41" s="1" t="s">
        <v>39</v>
      </c>
      <c r="B41" s="45">
        <v>3.04</v>
      </c>
      <c r="C41" s="45"/>
      <c r="D41" s="45">
        <v>2.46</v>
      </c>
      <c r="E41" s="45">
        <v>2.4700000000000002</v>
      </c>
      <c r="F41" s="45">
        <v>2.19</v>
      </c>
      <c r="G41" s="19"/>
    </row>
    <row r="42" spans="1:7" x14ac:dyDescent="0.3">
      <c r="A42" s="46" t="s">
        <v>40</v>
      </c>
      <c r="B42" s="42">
        <v>4303000</v>
      </c>
      <c r="C42" s="42"/>
      <c r="D42" s="42">
        <v>4309000</v>
      </c>
      <c r="E42" s="42">
        <v>4323000</v>
      </c>
      <c r="F42" s="42">
        <v>4328000</v>
      </c>
      <c r="G42" s="19"/>
    </row>
    <row r="43" spans="1:7" x14ac:dyDescent="0.3">
      <c r="A43" s="46" t="s">
        <v>41</v>
      </c>
      <c r="B43" s="42">
        <v>4313000</v>
      </c>
      <c r="C43" s="42"/>
      <c r="D43" s="42">
        <v>4320000</v>
      </c>
      <c r="E43" s="42">
        <v>4339000</v>
      </c>
      <c r="F43" s="42">
        <v>4350000</v>
      </c>
      <c r="G43" s="19"/>
    </row>
    <row r="44" spans="1:7" x14ac:dyDescent="0.3">
      <c r="A44" s="46" t="s">
        <v>42</v>
      </c>
      <c r="B44" s="42">
        <v>13762000</v>
      </c>
      <c r="C44" s="42"/>
      <c r="D44" s="42">
        <v>9992000</v>
      </c>
      <c r="E44" s="42">
        <v>11311000</v>
      </c>
      <c r="F44" s="42">
        <v>10909000</v>
      </c>
      <c r="G44" s="19"/>
    </row>
    <row r="45" spans="1:7" x14ac:dyDescent="0.3">
      <c r="A45" s="46" t="s">
        <v>43</v>
      </c>
      <c r="B45" s="42">
        <v>33030000</v>
      </c>
      <c r="C45" s="42"/>
      <c r="D45" s="42">
        <v>33039000</v>
      </c>
      <c r="E45" s="42">
        <v>32656000</v>
      </c>
      <c r="F45" s="42">
        <v>30962000</v>
      </c>
      <c r="G45" s="19"/>
    </row>
    <row r="46" spans="1:7" x14ac:dyDescent="0.3">
      <c r="A46" s="46" t="s">
        <v>44</v>
      </c>
      <c r="B46" s="42">
        <v>13107000</v>
      </c>
      <c r="C46" s="42"/>
      <c r="D46" s="42">
        <v>10631000</v>
      </c>
      <c r="E46" s="42">
        <v>10714000</v>
      </c>
      <c r="F46" s="42">
        <v>9542000</v>
      </c>
      <c r="G46" s="19"/>
    </row>
    <row r="47" spans="1:7" x14ac:dyDescent="0.3">
      <c r="A47" s="46" t="s">
        <v>45</v>
      </c>
      <c r="B47" s="42">
        <v>13091397.859999999</v>
      </c>
      <c r="C47" s="42"/>
      <c r="D47" s="42">
        <v>12264237.279999999</v>
      </c>
      <c r="E47" s="42">
        <v>12190062</v>
      </c>
      <c r="F47" s="42">
        <v>10469927</v>
      </c>
      <c r="G47" s="19"/>
    </row>
    <row r="48" spans="1:7" x14ac:dyDescent="0.3">
      <c r="A48" s="46" t="s">
        <v>46</v>
      </c>
      <c r="B48" s="42">
        <v>786000</v>
      </c>
      <c r="C48" s="42"/>
      <c r="D48" s="42">
        <v>988000</v>
      </c>
      <c r="E48" s="42">
        <v>907000</v>
      </c>
      <c r="F48" s="42">
        <v>449000</v>
      </c>
      <c r="G48" s="19"/>
    </row>
    <row r="49" spans="1:7" x14ac:dyDescent="0.3">
      <c r="A49" s="46" t="s">
        <v>47</v>
      </c>
      <c r="B49" s="42">
        <v>1654000</v>
      </c>
      <c r="C49" s="42"/>
      <c r="D49" s="42">
        <v>1656000</v>
      </c>
      <c r="E49" s="42">
        <v>1527000</v>
      </c>
      <c r="F49" s="42">
        <v>882000</v>
      </c>
      <c r="G49" s="19"/>
    </row>
    <row r="50" spans="1:7" x14ac:dyDescent="0.3">
      <c r="A50" s="43" t="s">
        <v>48</v>
      </c>
      <c r="B50" s="42">
        <v>-868000</v>
      </c>
      <c r="C50" s="42"/>
      <c r="D50" s="42">
        <v>-668000</v>
      </c>
      <c r="E50" s="42">
        <v>-620000</v>
      </c>
      <c r="F50" s="42">
        <v>-433000</v>
      </c>
      <c r="G50" s="19"/>
    </row>
    <row r="51" spans="1:7" x14ac:dyDescent="0.3">
      <c r="A51" s="1" t="s">
        <v>49</v>
      </c>
      <c r="B51" s="45">
        <v>17652000</v>
      </c>
      <c r="C51" s="45"/>
      <c r="D51" s="45">
        <v>14742000</v>
      </c>
      <c r="E51" s="45">
        <v>14479000</v>
      </c>
      <c r="F51" s="45">
        <v>12568000</v>
      </c>
      <c r="G51" s="19"/>
    </row>
    <row r="52" spans="1:7" x14ac:dyDescent="0.3">
      <c r="A52" s="46" t="s">
        <v>50</v>
      </c>
      <c r="B52" s="42">
        <v>18702000</v>
      </c>
      <c r="C52" s="42"/>
      <c r="D52" s="42">
        <v>15817000</v>
      </c>
      <c r="E52" s="42">
        <v>15607000</v>
      </c>
      <c r="F52" s="42">
        <v>13828000</v>
      </c>
      <c r="G52" s="19"/>
    </row>
    <row r="53" spans="1:7" x14ac:dyDescent="0.3">
      <c r="A53" s="46" t="s">
        <v>51</v>
      </c>
      <c r="B53" s="42">
        <v>17362000</v>
      </c>
      <c r="C53" s="42"/>
      <c r="D53" s="42">
        <v>18324000</v>
      </c>
      <c r="E53" s="42">
        <v>18520000</v>
      </c>
      <c r="F53" s="42">
        <v>18000000</v>
      </c>
      <c r="G53" s="19"/>
    </row>
    <row r="54" spans="1:7" x14ac:dyDescent="0.3">
      <c r="A54" s="46" t="s">
        <v>52</v>
      </c>
      <c r="B54" s="42">
        <v>1050000</v>
      </c>
      <c r="C54" s="42"/>
      <c r="D54" s="42">
        <v>1075000</v>
      </c>
      <c r="E54" s="42">
        <v>1128000</v>
      </c>
      <c r="F54" s="42">
        <v>1260000</v>
      </c>
      <c r="G54" s="19"/>
    </row>
    <row r="55" spans="1:7" x14ac:dyDescent="0.3">
      <c r="A55" s="46" t="s">
        <v>53</v>
      </c>
      <c r="B55" s="42">
        <v>13107000</v>
      </c>
      <c r="C55" s="42"/>
      <c r="D55" s="42">
        <v>10631000</v>
      </c>
      <c r="E55" s="42">
        <v>10714000</v>
      </c>
      <c r="F55" s="42">
        <v>9542000</v>
      </c>
      <c r="G55" s="19"/>
    </row>
    <row r="56" spans="1:7" x14ac:dyDescent="0.3">
      <c r="A56" s="46" t="s">
        <v>54</v>
      </c>
      <c r="B56" s="42">
        <v>19000</v>
      </c>
      <c r="C56" s="42"/>
      <c r="D56" s="42">
        <v>-1986000</v>
      </c>
      <c r="E56" s="42">
        <v>-1787000</v>
      </c>
      <c r="F56" s="42">
        <v>-1133000</v>
      </c>
      <c r="G56" s="19"/>
    </row>
    <row r="57" spans="1:7" x14ac:dyDescent="0.3">
      <c r="A57" s="46" t="s">
        <v>55</v>
      </c>
      <c r="B57" s="42">
        <v>19000</v>
      </c>
      <c r="C57" s="42"/>
      <c r="D57" s="42">
        <v>-1986000</v>
      </c>
      <c r="E57" s="42">
        <v>-1787000</v>
      </c>
      <c r="F57" s="42">
        <v>-1133000</v>
      </c>
      <c r="G57" s="19"/>
    </row>
    <row r="58" spans="1:7" x14ac:dyDescent="0.3">
      <c r="A58" s="46" t="s">
        <v>56</v>
      </c>
      <c r="B58" s="42">
        <v>18683000</v>
      </c>
      <c r="C58" s="42"/>
      <c r="D58" s="42">
        <v>17803000</v>
      </c>
      <c r="E58" s="42">
        <v>17394000</v>
      </c>
      <c r="F58" s="42">
        <v>14961000</v>
      </c>
      <c r="G58" s="19"/>
    </row>
    <row r="59" spans="1:7" x14ac:dyDescent="0.3">
      <c r="A59" s="46" t="s">
        <v>57</v>
      </c>
      <c r="B59" s="42">
        <v>0</v>
      </c>
      <c r="C59" s="42"/>
      <c r="D59" s="42">
        <v>0</v>
      </c>
      <c r="E59" s="42">
        <v>0</v>
      </c>
      <c r="F59" s="42">
        <v>0</v>
      </c>
      <c r="G59" s="19"/>
    </row>
    <row r="60" spans="1:7" x14ac:dyDescent="0.3">
      <c r="A60" s="46" t="s">
        <v>58</v>
      </c>
      <c r="B60" s="42">
        <v>3397.86</v>
      </c>
      <c r="C60" s="42"/>
      <c r="D60" s="42">
        <v>-373762.72</v>
      </c>
      <c r="E60" s="42">
        <v>-310938</v>
      </c>
      <c r="F60" s="42">
        <v>-205073</v>
      </c>
      <c r="G60" s="1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2B06A-4C48-4F97-B64A-6D64363CEBED}">
  <dimension ref="A1:M81"/>
  <sheetViews>
    <sheetView zoomScaleNormal="100" workbookViewId="0">
      <selection activeCell="I26" sqref="I26"/>
    </sheetView>
  </sheetViews>
  <sheetFormatPr defaultRowHeight="15.6" x14ac:dyDescent="0.3"/>
  <cols>
    <col min="1" max="1" width="45.5" bestFit="1" customWidth="1"/>
    <col min="2" max="2" width="14.5" bestFit="1" customWidth="1"/>
    <col min="3" max="3" width="11.3984375" customWidth="1"/>
    <col min="4" max="4" width="14.5" bestFit="1" customWidth="1"/>
    <col min="5" max="5" width="14.09765625" bestFit="1" customWidth="1"/>
    <col min="6" max="6" width="14.8984375" bestFit="1" customWidth="1"/>
    <col min="7" max="7" width="13.5" bestFit="1" customWidth="1"/>
    <col min="9" max="9" width="25.5" bestFit="1" customWidth="1"/>
    <col min="10" max="10" width="17.3984375" bestFit="1" customWidth="1"/>
    <col min="11" max="11" width="17.3984375" customWidth="1"/>
    <col min="12" max="12" width="31.19921875" bestFit="1" customWidth="1"/>
    <col min="13" max="13" width="23.59765625" bestFit="1" customWidth="1"/>
  </cols>
  <sheetData>
    <row r="1" spans="1:13" x14ac:dyDescent="0.3">
      <c r="A1" s="2" t="s">
        <v>214</v>
      </c>
      <c r="B1" s="2" t="s">
        <v>59</v>
      </c>
      <c r="C1" s="2"/>
      <c r="D1" s="2" t="s">
        <v>60</v>
      </c>
      <c r="E1" s="2" t="s">
        <v>61</v>
      </c>
      <c r="F1" s="2" t="s">
        <v>62</v>
      </c>
      <c r="I1" s="2" t="s">
        <v>219</v>
      </c>
      <c r="J1" s="2"/>
      <c r="K1" s="2"/>
      <c r="L1" s="2" t="s">
        <v>220</v>
      </c>
      <c r="M1" s="2"/>
    </row>
    <row r="2" spans="1:13" x14ac:dyDescent="0.3">
      <c r="A2" s="11" t="s">
        <v>119</v>
      </c>
      <c r="B2" s="23">
        <v>104816000</v>
      </c>
      <c r="C2" s="23"/>
      <c r="D2" s="23">
        <v>100549000</v>
      </c>
      <c r="E2" s="23">
        <v>97703000</v>
      </c>
      <c r="F2" s="23">
        <v>92763000</v>
      </c>
      <c r="G2" s="19"/>
      <c r="I2" t="s">
        <v>121</v>
      </c>
      <c r="J2" s="19">
        <v>10270000</v>
      </c>
      <c r="L2" t="s">
        <v>138</v>
      </c>
      <c r="M2" s="19">
        <v>265000</v>
      </c>
    </row>
    <row r="3" spans="1:13" x14ac:dyDescent="0.3">
      <c r="A3" s="11" t="s">
        <v>120</v>
      </c>
      <c r="B3" s="23">
        <v>31044000</v>
      </c>
      <c r="C3" s="23">
        <f>C4+C8+C12+B17+B18</f>
        <v>31044000</v>
      </c>
      <c r="D3" s="23">
        <v>25997000</v>
      </c>
      <c r="E3" s="23">
        <v>26732000</v>
      </c>
      <c r="F3" s="23">
        <v>22591000</v>
      </c>
      <c r="G3" s="19"/>
      <c r="I3" t="s">
        <v>122</v>
      </c>
      <c r="J3" s="19">
        <v>5536000</v>
      </c>
      <c r="L3" t="s">
        <v>139</v>
      </c>
      <c r="M3" s="19">
        <v>4967000</v>
      </c>
    </row>
    <row r="4" spans="1:13" x14ac:dyDescent="0.3">
      <c r="A4" s="12" t="s">
        <v>232</v>
      </c>
      <c r="B4" s="23">
        <v>15806000</v>
      </c>
      <c r="C4" s="23">
        <f>B5+B6</f>
        <v>15806000</v>
      </c>
      <c r="D4" s="23">
        <v>14571000</v>
      </c>
      <c r="E4" s="23">
        <v>13663000</v>
      </c>
      <c r="F4" s="23">
        <v>11631000</v>
      </c>
      <c r="G4" s="24">
        <f>SUM(F5:F6)</f>
        <v>11631000</v>
      </c>
      <c r="I4" t="s">
        <v>125</v>
      </c>
      <c r="J4" s="19">
        <v>3533000</v>
      </c>
      <c r="L4" t="s">
        <v>140</v>
      </c>
      <c r="M4" s="19">
        <v>13500000</v>
      </c>
    </row>
    <row r="5" spans="1:13" x14ac:dyDescent="0.3">
      <c r="A5" s="12" t="s">
        <v>121</v>
      </c>
      <c r="B5" s="23">
        <v>10270000</v>
      </c>
      <c r="C5" s="23"/>
      <c r="D5" s="23">
        <v>10828000</v>
      </c>
      <c r="E5" s="23">
        <v>9366000</v>
      </c>
      <c r="F5" s="23">
        <v>9519000</v>
      </c>
      <c r="G5" s="24"/>
      <c r="I5" t="s">
        <v>126</v>
      </c>
      <c r="J5" s="37">
        <v>-495000</v>
      </c>
      <c r="K5" s="4"/>
      <c r="L5" t="s">
        <v>141</v>
      </c>
      <c r="M5" s="37">
        <v>-9119000</v>
      </c>
    </row>
    <row r="6" spans="1:13" x14ac:dyDescent="0.3">
      <c r="A6" s="12" t="s">
        <v>122</v>
      </c>
      <c r="B6" s="23">
        <v>5536000</v>
      </c>
      <c r="C6" s="23"/>
      <c r="D6" s="23">
        <v>3743000</v>
      </c>
      <c r="E6" s="23">
        <v>4297000</v>
      </c>
      <c r="F6" s="23">
        <v>2112000</v>
      </c>
      <c r="G6" s="24"/>
      <c r="I6" t="s">
        <v>127</v>
      </c>
      <c r="J6" s="19">
        <v>4425000</v>
      </c>
      <c r="L6" t="s">
        <v>142</v>
      </c>
      <c r="M6" s="19">
        <v>28022000</v>
      </c>
    </row>
    <row r="7" spans="1:13" x14ac:dyDescent="0.3">
      <c r="A7" s="12" t="s">
        <v>123</v>
      </c>
      <c r="B7" s="25">
        <v>3038000</v>
      </c>
      <c r="C7" s="25"/>
      <c r="D7" s="25">
        <v>3569000</v>
      </c>
      <c r="E7" s="25">
        <v>3410000</v>
      </c>
      <c r="F7" s="25">
        <v>3487000</v>
      </c>
      <c r="G7" s="19"/>
      <c r="I7" t="s">
        <v>132</v>
      </c>
      <c r="J7" s="19">
        <v>5342000</v>
      </c>
      <c r="L7" t="s">
        <v>145</v>
      </c>
      <c r="M7" s="19">
        <v>20235000</v>
      </c>
    </row>
    <row r="8" spans="1:13" x14ac:dyDescent="0.3">
      <c r="A8" s="12" t="s">
        <v>124</v>
      </c>
      <c r="B8" s="23">
        <v>3038000</v>
      </c>
      <c r="C8" s="23">
        <f>B9+B10</f>
        <v>3038000</v>
      </c>
      <c r="D8" s="23">
        <v>3569000</v>
      </c>
      <c r="E8" s="23">
        <v>3410000</v>
      </c>
      <c r="F8" s="23">
        <v>3487000</v>
      </c>
      <c r="G8" s="24">
        <f>SUM(F9:F10)</f>
        <v>3487000</v>
      </c>
      <c r="I8" t="s">
        <v>133</v>
      </c>
      <c r="J8" s="19">
        <v>2433000</v>
      </c>
      <c r="L8" t="s">
        <v>149</v>
      </c>
      <c r="M8" s="19">
        <v>1206000</v>
      </c>
    </row>
    <row r="9" spans="1:13" x14ac:dyDescent="0.3">
      <c r="A9" s="12" t="s">
        <v>125</v>
      </c>
      <c r="B9" s="25">
        <v>3533000</v>
      </c>
      <c r="C9" s="25"/>
      <c r="D9" s="25">
        <v>4075000</v>
      </c>
      <c r="E9" s="25">
        <v>3912000</v>
      </c>
      <c r="F9" s="23">
        <v>4003000</v>
      </c>
      <c r="G9" s="24"/>
      <c r="I9" s="2" t="s">
        <v>200</v>
      </c>
      <c r="J9" s="26">
        <f>SUM(J2:J8)</f>
        <v>31044000</v>
      </c>
      <c r="K9" s="2"/>
      <c r="L9" t="s">
        <v>150</v>
      </c>
      <c r="M9" s="19">
        <v>14696000</v>
      </c>
    </row>
    <row r="10" spans="1:13" x14ac:dyDescent="0.3">
      <c r="A10" s="11" t="s">
        <v>126</v>
      </c>
      <c r="B10" s="23">
        <v>-495000</v>
      </c>
      <c r="C10" s="23"/>
      <c r="D10" s="23">
        <v>-506000</v>
      </c>
      <c r="E10" s="23">
        <v>-502000</v>
      </c>
      <c r="F10" s="23">
        <v>-516000</v>
      </c>
      <c r="G10" s="24"/>
      <c r="J10" s="19"/>
      <c r="L10" s="2" t="s">
        <v>200</v>
      </c>
      <c r="M10" s="26">
        <f>SUM(M2:M9)</f>
        <v>73772000</v>
      </c>
    </row>
    <row r="11" spans="1:13" x14ac:dyDescent="0.3">
      <c r="A11" s="12"/>
      <c r="B11" s="25"/>
      <c r="C11" s="25"/>
      <c r="D11" s="25"/>
      <c r="E11" s="25"/>
      <c r="F11" s="23"/>
      <c r="G11" s="26"/>
      <c r="J11" s="19"/>
      <c r="M11" s="19"/>
    </row>
    <row r="12" spans="1:13" x14ac:dyDescent="0.3">
      <c r="A12" s="12" t="s">
        <v>127</v>
      </c>
      <c r="B12" s="23">
        <v>4425000</v>
      </c>
      <c r="C12" s="23">
        <f>B13+B14+B15</f>
        <v>4425000</v>
      </c>
      <c r="D12" s="23">
        <v>4728000</v>
      </c>
      <c r="E12" s="23">
        <v>4424000</v>
      </c>
      <c r="F12" s="23">
        <v>4233000</v>
      </c>
      <c r="G12" s="24">
        <f>SUM(F13:F15)</f>
        <v>4233000</v>
      </c>
      <c r="J12" s="19"/>
      <c r="M12" s="19"/>
    </row>
    <row r="13" spans="1:13" x14ac:dyDescent="0.3">
      <c r="A13" s="12" t="s">
        <v>128</v>
      </c>
      <c r="B13" s="25">
        <v>2708000</v>
      </c>
      <c r="C13" s="25"/>
      <c r="D13" s="25">
        <v>2794000</v>
      </c>
      <c r="E13" s="25">
        <v>2618000</v>
      </c>
      <c r="F13" s="23">
        <v>2627000</v>
      </c>
      <c r="G13" s="24"/>
      <c r="I13" s="2" t="s">
        <v>152</v>
      </c>
      <c r="J13" s="26"/>
      <c r="L13" s="2" t="s">
        <v>221</v>
      </c>
      <c r="M13" s="26"/>
    </row>
    <row r="14" spans="1:13" x14ac:dyDescent="0.3">
      <c r="A14" s="12" t="s">
        <v>129</v>
      </c>
      <c r="B14" s="25">
        <v>1375000</v>
      </c>
      <c r="C14" s="25"/>
      <c r="D14" s="25">
        <v>1524000</v>
      </c>
      <c r="E14" s="25">
        <v>1449000</v>
      </c>
      <c r="F14" s="23">
        <v>1247000</v>
      </c>
      <c r="G14" s="24"/>
      <c r="I14" t="s">
        <v>155</v>
      </c>
      <c r="J14" s="19">
        <v>5649000</v>
      </c>
      <c r="L14" t="s">
        <v>169</v>
      </c>
      <c r="M14" s="19">
        <v>42119000</v>
      </c>
    </row>
    <row r="15" spans="1:13" x14ac:dyDescent="0.3">
      <c r="A15" s="12" t="s">
        <v>130</v>
      </c>
      <c r="B15" s="25">
        <v>342000</v>
      </c>
      <c r="C15" s="25"/>
      <c r="D15" s="25">
        <v>410000</v>
      </c>
      <c r="E15" s="25">
        <v>357000</v>
      </c>
      <c r="F15" s="23">
        <v>359000</v>
      </c>
      <c r="G15" s="24"/>
      <c r="I15" t="s">
        <v>156</v>
      </c>
      <c r="J15" s="19">
        <v>525000</v>
      </c>
      <c r="L15" t="s">
        <v>170</v>
      </c>
      <c r="M15" s="19">
        <v>2406000</v>
      </c>
    </row>
    <row r="16" spans="1:13" x14ac:dyDescent="0.3">
      <c r="A16" s="12" t="s">
        <v>131</v>
      </c>
      <c r="B16" s="25" t="s">
        <v>9</v>
      </c>
      <c r="C16" s="25"/>
      <c r="D16" s="25" t="s">
        <v>9</v>
      </c>
      <c r="E16" s="25" t="s">
        <v>9</v>
      </c>
      <c r="F16" s="25">
        <v>3240000</v>
      </c>
      <c r="G16" s="19"/>
      <c r="I16" t="s">
        <v>159</v>
      </c>
      <c r="J16" s="19">
        <v>7658000</v>
      </c>
      <c r="L16" t="s">
        <v>172</v>
      </c>
      <c r="M16" s="19">
        <v>4735000</v>
      </c>
    </row>
    <row r="17" spans="1:13" x14ac:dyDescent="0.3">
      <c r="A17" s="12" t="s">
        <v>132</v>
      </c>
      <c r="B17" s="25">
        <v>5342000</v>
      </c>
      <c r="C17" s="25"/>
      <c r="D17" s="25">
        <v>131000</v>
      </c>
      <c r="E17" s="25" t="s">
        <v>9</v>
      </c>
      <c r="F17" s="25" t="s">
        <v>9</v>
      </c>
      <c r="G17" s="19"/>
      <c r="I17" t="s">
        <v>160</v>
      </c>
      <c r="J17" s="19">
        <v>1506000</v>
      </c>
      <c r="L17" s="2" t="s">
        <v>200</v>
      </c>
      <c r="M17" s="26">
        <f>SUM(M14:M16)</f>
        <v>49260000</v>
      </c>
    </row>
    <row r="18" spans="1:13" x14ac:dyDescent="0.3">
      <c r="A18" s="12" t="s">
        <v>133</v>
      </c>
      <c r="B18" s="25">
        <v>2433000</v>
      </c>
      <c r="C18" s="25"/>
      <c r="D18" s="25">
        <v>2998000</v>
      </c>
      <c r="E18" s="25">
        <v>5235000</v>
      </c>
      <c r="F18" s="23">
        <v>3240000</v>
      </c>
      <c r="G18" s="26"/>
      <c r="I18" t="s">
        <v>162</v>
      </c>
      <c r="J18" s="19">
        <v>3373000</v>
      </c>
    </row>
    <row r="19" spans="1:13" x14ac:dyDescent="0.3">
      <c r="A19" s="11" t="s">
        <v>134</v>
      </c>
      <c r="B19" s="23">
        <v>73772000</v>
      </c>
      <c r="C19" s="23"/>
      <c r="D19" s="23">
        <v>74552000</v>
      </c>
      <c r="E19" s="23">
        <v>70971000</v>
      </c>
      <c r="F19" s="23">
        <v>70172000</v>
      </c>
      <c r="G19" s="19"/>
      <c r="I19" t="s">
        <v>166</v>
      </c>
      <c r="J19" s="19">
        <v>2570000</v>
      </c>
    </row>
    <row r="20" spans="1:13" x14ac:dyDescent="0.3">
      <c r="A20" s="8" t="s">
        <v>135</v>
      </c>
      <c r="B20" s="27">
        <v>9613000</v>
      </c>
      <c r="C20" s="27"/>
      <c r="D20" s="27">
        <v>10303000</v>
      </c>
      <c r="E20" s="27">
        <v>9236000</v>
      </c>
      <c r="F20" s="27">
        <v>9841000</v>
      </c>
      <c r="G20" s="19"/>
      <c r="I20" s="2" t="s">
        <v>200</v>
      </c>
      <c r="J20" s="26">
        <f>SUM(J14:J19)</f>
        <v>21281000</v>
      </c>
    </row>
    <row r="21" spans="1:13" x14ac:dyDescent="0.3">
      <c r="A21" s="8" t="s">
        <v>136</v>
      </c>
      <c r="B21" s="27">
        <v>18732000</v>
      </c>
      <c r="C21" s="27"/>
      <c r="D21" s="27">
        <v>19873000</v>
      </c>
      <c r="E21" s="27">
        <v>18469000</v>
      </c>
      <c r="F21" s="27">
        <v>19075000</v>
      </c>
      <c r="G21" s="19"/>
    </row>
    <row r="22" spans="1:13" x14ac:dyDescent="0.3">
      <c r="A22" s="13" t="s">
        <v>137</v>
      </c>
      <c r="B22" s="28">
        <v>0</v>
      </c>
      <c r="C22" s="28"/>
      <c r="D22" s="28">
        <v>0</v>
      </c>
      <c r="E22" s="28">
        <v>0</v>
      </c>
      <c r="F22" s="28">
        <v>0</v>
      </c>
      <c r="G22" s="19"/>
    </row>
    <row r="23" spans="1:13" x14ac:dyDescent="0.3">
      <c r="A23" s="13" t="s">
        <v>138</v>
      </c>
      <c r="B23" s="28">
        <v>265000</v>
      </c>
      <c r="C23" s="28"/>
      <c r="D23" s="28">
        <v>226000</v>
      </c>
      <c r="E23" s="28">
        <v>229000</v>
      </c>
      <c r="F23" s="28">
        <v>611000</v>
      </c>
      <c r="G23" s="19"/>
    </row>
    <row r="24" spans="1:13" x14ac:dyDescent="0.3">
      <c r="A24" s="13" t="s">
        <v>139</v>
      </c>
      <c r="B24" s="28">
        <v>4967000</v>
      </c>
      <c r="C24" s="28"/>
      <c r="D24" s="28">
        <v>5143000</v>
      </c>
      <c r="E24" s="28">
        <v>4647000</v>
      </c>
      <c r="F24" s="28">
        <v>4434000</v>
      </c>
      <c r="G24" s="19"/>
    </row>
    <row r="25" spans="1:13" x14ac:dyDescent="0.3">
      <c r="A25" s="13" t="s">
        <v>140</v>
      </c>
      <c r="B25" s="28">
        <v>13500000</v>
      </c>
      <c r="C25" s="28"/>
      <c r="D25" s="28">
        <v>14504000</v>
      </c>
      <c r="E25" s="28">
        <v>13593000</v>
      </c>
      <c r="F25" s="28">
        <v>14030000</v>
      </c>
      <c r="G25" s="19"/>
    </row>
    <row r="26" spans="1:13" x14ac:dyDescent="0.3">
      <c r="A26" s="13" t="s">
        <v>141</v>
      </c>
      <c r="B26" s="29">
        <v>-9119000</v>
      </c>
      <c r="C26" s="29"/>
      <c r="D26" s="29">
        <v>-9570000</v>
      </c>
      <c r="E26" s="29">
        <v>-9233000</v>
      </c>
      <c r="F26" s="29">
        <v>-9234000</v>
      </c>
      <c r="G26" s="19"/>
    </row>
    <row r="27" spans="1:13" x14ac:dyDescent="0.3">
      <c r="A27" s="13" t="s">
        <v>142</v>
      </c>
      <c r="B27" s="28">
        <v>28022000</v>
      </c>
      <c r="C27" s="27">
        <f>B28+B29</f>
        <v>28022000</v>
      </c>
      <c r="D27" s="28">
        <v>31440000</v>
      </c>
      <c r="E27" s="28">
        <v>32707000</v>
      </c>
      <c r="F27" s="28">
        <v>33631000</v>
      </c>
      <c r="G27" s="26">
        <f>F28+F29</f>
        <v>33631000</v>
      </c>
    </row>
    <row r="28" spans="1:13" x14ac:dyDescent="0.3">
      <c r="A28" s="13" t="s">
        <v>143</v>
      </c>
      <c r="B28" s="28">
        <v>15491000</v>
      </c>
      <c r="C28" s="28"/>
      <c r="D28" s="28">
        <v>18139000</v>
      </c>
      <c r="E28" s="28">
        <v>18358000</v>
      </c>
      <c r="F28" s="28">
        <v>18782000</v>
      </c>
      <c r="G28" s="19"/>
    </row>
    <row r="29" spans="1:13" x14ac:dyDescent="0.3">
      <c r="A29" s="13" t="s">
        <v>144</v>
      </c>
      <c r="B29" s="28">
        <v>12531000</v>
      </c>
      <c r="C29" s="28"/>
      <c r="D29" s="28">
        <v>13301000</v>
      </c>
      <c r="E29" s="28">
        <v>14349000</v>
      </c>
      <c r="F29" s="28">
        <v>14849000</v>
      </c>
      <c r="G29" s="19"/>
    </row>
    <row r="30" spans="1:13" x14ac:dyDescent="0.3">
      <c r="A30" s="13" t="s">
        <v>145</v>
      </c>
      <c r="B30" s="28">
        <v>20235000</v>
      </c>
      <c r="C30" s="28"/>
      <c r="D30" s="28">
        <v>18087000</v>
      </c>
      <c r="E30" s="28">
        <v>19671000</v>
      </c>
      <c r="F30" s="28">
        <v>18765000</v>
      </c>
      <c r="G30" s="19"/>
    </row>
    <row r="31" spans="1:13" x14ac:dyDescent="0.3">
      <c r="A31" s="13" t="s">
        <v>146</v>
      </c>
      <c r="B31" s="28">
        <v>20235000</v>
      </c>
      <c r="C31" s="28"/>
      <c r="D31" s="28">
        <v>18087000</v>
      </c>
      <c r="E31" s="28">
        <v>19671000</v>
      </c>
      <c r="F31" s="28">
        <v>18264000</v>
      </c>
      <c r="G31" s="19"/>
    </row>
    <row r="32" spans="1:13" x14ac:dyDescent="0.3">
      <c r="A32" s="13" t="s">
        <v>147</v>
      </c>
      <c r="B32" s="28" t="s">
        <v>9</v>
      </c>
      <c r="C32" s="28"/>
      <c r="D32" s="28" t="s">
        <v>9</v>
      </c>
      <c r="E32" s="28">
        <v>118000</v>
      </c>
      <c r="F32" s="28">
        <v>501000</v>
      </c>
      <c r="G32" s="19"/>
    </row>
    <row r="33" spans="1:7" x14ac:dyDescent="0.3">
      <c r="A33" s="13" t="s">
        <v>148</v>
      </c>
      <c r="B33" s="28">
        <v>1206000</v>
      </c>
      <c r="C33" s="28"/>
      <c r="D33" s="28">
        <v>1319000</v>
      </c>
      <c r="E33" s="28">
        <v>1561000</v>
      </c>
      <c r="F33" s="28">
        <v>1746000</v>
      </c>
      <c r="G33" s="19"/>
    </row>
    <row r="34" spans="1:7" x14ac:dyDescent="0.3">
      <c r="A34" s="13" t="s">
        <v>149</v>
      </c>
      <c r="B34" s="28">
        <v>1206000</v>
      </c>
      <c r="C34" s="28"/>
      <c r="D34" s="28">
        <v>1319000</v>
      </c>
      <c r="E34" s="28">
        <v>1561000</v>
      </c>
      <c r="F34" s="28">
        <v>1746000</v>
      </c>
      <c r="G34" s="19"/>
    </row>
    <row r="35" spans="1:7" x14ac:dyDescent="0.3">
      <c r="A35" s="13" t="s">
        <v>150</v>
      </c>
      <c r="B35" s="28">
        <v>14696000</v>
      </c>
      <c r="C35" s="28"/>
      <c r="D35" s="28">
        <v>13403000</v>
      </c>
      <c r="E35" s="28">
        <v>7796000</v>
      </c>
      <c r="F35" s="28">
        <v>6189000</v>
      </c>
      <c r="G35" s="19"/>
    </row>
    <row r="36" spans="1:7" x14ac:dyDescent="0.3">
      <c r="A36" s="14" t="s">
        <v>151</v>
      </c>
      <c r="B36" s="30">
        <v>70541000</v>
      </c>
      <c r="C36" s="30"/>
      <c r="D36" s="30">
        <v>74177000</v>
      </c>
      <c r="E36" s="30">
        <v>70223000</v>
      </c>
      <c r="F36" s="30">
        <v>66937000</v>
      </c>
      <c r="G36" s="19"/>
    </row>
    <row r="37" spans="1:7" x14ac:dyDescent="0.3">
      <c r="A37" s="14" t="s">
        <v>152</v>
      </c>
      <c r="B37" s="30">
        <v>21281000</v>
      </c>
      <c r="C37" s="30"/>
      <c r="D37" s="30">
        <v>25249000</v>
      </c>
      <c r="E37" s="30">
        <v>23571000</v>
      </c>
      <c r="F37" s="30">
        <v>19724000</v>
      </c>
      <c r="G37" s="19"/>
    </row>
    <row r="38" spans="1:7" x14ac:dyDescent="0.3">
      <c r="A38" s="14" t="s">
        <v>153</v>
      </c>
      <c r="B38" s="30">
        <v>13832000</v>
      </c>
      <c r="C38" s="30">
        <f>B39+B44</f>
        <v>13832000</v>
      </c>
      <c r="D38" s="30">
        <v>21708000</v>
      </c>
      <c r="E38" s="30">
        <v>15660000</v>
      </c>
      <c r="F38" s="30">
        <v>15865000</v>
      </c>
      <c r="G38" s="26">
        <f>F39+F44</f>
        <v>15865000</v>
      </c>
    </row>
    <row r="39" spans="1:7" x14ac:dyDescent="0.3">
      <c r="A39" s="15" t="s">
        <v>154</v>
      </c>
      <c r="B39" s="30">
        <v>6174000</v>
      </c>
      <c r="C39" s="30">
        <f>B40+B41</f>
        <v>6174000</v>
      </c>
      <c r="D39" s="30">
        <v>6855000</v>
      </c>
      <c r="E39" s="30">
        <v>7159000</v>
      </c>
      <c r="F39" s="30">
        <v>6510000</v>
      </c>
      <c r="G39" s="24">
        <f>SUM(F40:F41)</f>
        <v>6510000</v>
      </c>
    </row>
    <row r="40" spans="1:7" x14ac:dyDescent="0.3">
      <c r="A40" s="15" t="s">
        <v>155</v>
      </c>
      <c r="B40" s="31">
        <v>5649000</v>
      </c>
      <c r="C40" s="31"/>
      <c r="D40" s="31">
        <v>5468000</v>
      </c>
      <c r="E40" s="31">
        <v>5590000</v>
      </c>
      <c r="F40" s="30">
        <v>5307000</v>
      </c>
      <c r="G40" s="24"/>
    </row>
    <row r="41" spans="1:7" x14ac:dyDescent="0.3">
      <c r="A41" s="15" t="s">
        <v>156</v>
      </c>
      <c r="B41" s="31">
        <v>525000</v>
      </c>
      <c r="C41" s="31"/>
      <c r="D41" s="31">
        <v>1387000</v>
      </c>
      <c r="E41" s="31">
        <v>1569000</v>
      </c>
      <c r="F41" s="30">
        <v>1203000</v>
      </c>
      <c r="G41" s="24"/>
    </row>
    <row r="42" spans="1:7" x14ac:dyDescent="0.3">
      <c r="A42" s="15" t="s">
        <v>157</v>
      </c>
      <c r="B42" s="31">
        <v>525000</v>
      </c>
      <c r="C42" s="31"/>
      <c r="D42" s="31">
        <v>1387000</v>
      </c>
      <c r="E42" s="31">
        <v>1569000</v>
      </c>
      <c r="F42" s="31">
        <v>1203000</v>
      </c>
      <c r="G42" s="19"/>
    </row>
    <row r="43" spans="1:7" x14ac:dyDescent="0.3">
      <c r="A43" s="15" t="s">
        <v>158</v>
      </c>
      <c r="B43" s="31" t="s">
        <v>9</v>
      </c>
      <c r="C43" s="31"/>
      <c r="D43" s="31" t="s">
        <v>9</v>
      </c>
      <c r="E43" s="31" t="s">
        <v>9</v>
      </c>
      <c r="F43" s="31">
        <v>934000</v>
      </c>
      <c r="G43" s="19"/>
    </row>
    <row r="44" spans="1:7" x14ac:dyDescent="0.3">
      <c r="A44" s="15" t="s">
        <v>159</v>
      </c>
      <c r="B44" s="30">
        <v>7658000</v>
      </c>
      <c r="C44" s="30"/>
      <c r="D44" s="30">
        <v>14853000</v>
      </c>
      <c r="E44" s="30">
        <v>8501000</v>
      </c>
      <c r="F44" s="30">
        <v>9355000</v>
      </c>
      <c r="G44" s="24"/>
    </row>
    <row r="45" spans="1:7" x14ac:dyDescent="0.3">
      <c r="A45" s="15" t="s">
        <v>160</v>
      </c>
      <c r="B45" s="30">
        <v>1506000</v>
      </c>
      <c r="C45" s="30"/>
      <c r="D45" s="30">
        <v>1391000</v>
      </c>
      <c r="E45" s="30">
        <v>1394000</v>
      </c>
      <c r="F45" s="30">
        <v>1087000</v>
      </c>
      <c r="G45" s="24"/>
    </row>
    <row r="46" spans="1:7" x14ac:dyDescent="0.3">
      <c r="A46" s="15" t="s">
        <v>161</v>
      </c>
      <c r="B46" s="31">
        <v>3373000</v>
      </c>
      <c r="C46" s="31"/>
      <c r="D46" s="31">
        <v>2147000</v>
      </c>
      <c r="E46" s="31">
        <v>6517000</v>
      </c>
      <c r="F46" s="31">
        <v>2772000</v>
      </c>
      <c r="G46" s="19"/>
    </row>
    <row r="47" spans="1:7" x14ac:dyDescent="0.3">
      <c r="A47" s="15" t="s">
        <v>162</v>
      </c>
      <c r="B47" s="30">
        <v>3373000</v>
      </c>
      <c r="C47" s="30"/>
      <c r="D47" s="30">
        <v>2147000</v>
      </c>
      <c r="E47" s="30">
        <v>6517000</v>
      </c>
      <c r="F47" s="30">
        <v>2772000</v>
      </c>
      <c r="G47" s="24"/>
    </row>
    <row r="48" spans="1:7" x14ac:dyDescent="0.3">
      <c r="A48" s="15" t="s">
        <v>163</v>
      </c>
      <c r="B48" s="31">
        <v>1495000</v>
      </c>
      <c r="C48" s="31"/>
      <c r="D48" s="31">
        <v>1139000</v>
      </c>
      <c r="E48" s="31">
        <v>4209000</v>
      </c>
      <c r="F48" s="30">
        <v>2146000</v>
      </c>
      <c r="G48" s="24"/>
    </row>
    <row r="49" spans="1:7" x14ac:dyDescent="0.3">
      <c r="A49" s="15" t="s">
        <v>164</v>
      </c>
      <c r="B49" s="31">
        <v>56000</v>
      </c>
      <c r="C49" s="31"/>
      <c r="D49" s="31">
        <v>360000</v>
      </c>
      <c r="E49" s="31">
        <v>348000</v>
      </c>
      <c r="F49" s="30">
        <v>227000</v>
      </c>
      <c r="G49" s="24"/>
    </row>
    <row r="50" spans="1:7" x14ac:dyDescent="0.3">
      <c r="A50" s="15" t="s">
        <v>165</v>
      </c>
      <c r="B50" s="31">
        <v>1822000</v>
      </c>
      <c r="C50" s="31"/>
      <c r="D50" s="31">
        <v>648000</v>
      </c>
      <c r="E50" s="31">
        <v>1960000</v>
      </c>
      <c r="F50" s="30">
        <v>399000</v>
      </c>
      <c r="G50" s="24"/>
    </row>
    <row r="51" spans="1:7" x14ac:dyDescent="0.3">
      <c r="A51" s="15" t="s">
        <v>166</v>
      </c>
      <c r="B51" s="31">
        <v>2570000</v>
      </c>
      <c r="C51" s="31"/>
      <c r="D51" s="31">
        <v>3000</v>
      </c>
      <c r="E51" s="31" t="s">
        <v>9</v>
      </c>
      <c r="F51" s="31" t="s">
        <v>9</v>
      </c>
      <c r="G51" s="19"/>
    </row>
    <row r="52" spans="1:7" x14ac:dyDescent="0.3">
      <c r="A52" s="14" t="s">
        <v>167</v>
      </c>
      <c r="B52" s="30">
        <v>49260000</v>
      </c>
      <c r="C52" s="30"/>
      <c r="D52" s="30">
        <v>48928000</v>
      </c>
      <c r="E52" s="30">
        <v>46652000</v>
      </c>
      <c r="F52" s="30">
        <v>47213000</v>
      </c>
      <c r="G52" s="19"/>
    </row>
    <row r="53" spans="1:7" x14ac:dyDescent="0.3">
      <c r="A53" s="15" t="s">
        <v>168</v>
      </c>
      <c r="B53" s="31">
        <v>42119000</v>
      </c>
      <c r="C53" s="31"/>
      <c r="D53" s="31">
        <v>42375000</v>
      </c>
      <c r="E53" s="31">
        <v>35547000</v>
      </c>
      <c r="F53" s="31">
        <v>36377000</v>
      </c>
      <c r="G53" s="19"/>
    </row>
    <row r="54" spans="1:7" x14ac:dyDescent="0.3">
      <c r="A54" s="15" t="s">
        <v>169</v>
      </c>
      <c r="B54" s="31">
        <v>42119000</v>
      </c>
      <c r="C54" s="31"/>
      <c r="D54" s="31">
        <v>42375000</v>
      </c>
      <c r="E54" s="31">
        <v>35547000</v>
      </c>
      <c r="F54" s="31">
        <v>36377000</v>
      </c>
      <c r="G54" s="19"/>
    </row>
    <row r="55" spans="1:7" x14ac:dyDescent="0.3">
      <c r="A55" s="15" t="s">
        <v>170</v>
      </c>
      <c r="B55" s="31">
        <v>2406000</v>
      </c>
      <c r="C55" s="31"/>
      <c r="D55" s="31">
        <v>2469000</v>
      </c>
      <c r="E55" s="31">
        <v>2639000</v>
      </c>
      <c r="F55" s="31">
        <v>2914000</v>
      </c>
      <c r="G55" s="19"/>
    </row>
    <row r="56" spans="1:7" x14ac:dyDescent="0.3">
      <c r="A56" s="15" t="s">
        <v>171</v>
      </c>
      <c r="B56" s="31">
        <v>2406000</v>
      </c>
      <c r="C56" s="31"/>
      <c r="D56" s="31">
        <v>2469000</v>
      </c>
      <c r="E56" s="31">
        <v>2639000</v>
      </c>
      <c r="F56" s="31">
        <v>2914000</v>
      </c>
      <c r="G56" s="19"/>
    </row>
    <row r="57" spans="1:7" x14ac:dyDescent="0.3">
      <c r="A57" s="15" t="s">
        <v>172</v>
      </c>
      <c r="B57" s="31">
        <v>4735000</v>
      </c>
      <c r="C57" s="31"/>
      <c r="D57" s="31">
        <v>4084000</v>
      </c>
      <c r="E57" s="31">
        <v>8466000</v>
      </c>
      <c r="F57" s="31">
        <v>7922000</v>
      </c>
      <c r="G57" s="19"/>
    </row>
    <row r="58" spans="1:7" x14ac:dyDescent="0.3">
      <c r="A58" s="5" t="s">
        <v>173</v>
      </c>
      <c r="B58" s="32">
        <v>34275000</v>
      </c>
      <c r="C58" s="32"/>
      <c r="D58" s="32">
        <v>26372000</v>
      </c>
      <c r="E58" s="32">
        <v>27480000</v>
      </c>
      <c r="F58" s="32">
        <v>25826000</v>
      </c>
      <c r="G58" s="19"/>
    </row>
    <row r="59" spans="1:7" x14ac:dyDescent="0.3">
      <c r="A59" s="5" t="s">
        <v>174</v>
      </c>
      <c r="B59" s="33">
        <v>32169000</v>
      </c>
      <c r="C59" s="33"/>
      <c r="D59" s="33">
        <v>24856000</v>
      </c>
      <c r="E59" s="33">
        <v>25941000</v>
      </c>
      <c r="F59" s="33">
        <v>24105000</v>
      </c>
      <c r="G59" s="19"/>
    </row>
    <row r="60" spans="1:7" x14ac:dyDescent="0.3">
      <c r="A60" s="6" t="s">
        <v>175</v>
      </c>
      <c r="B60" s="32">
        <v>1760000</v>
      </c>
      <c r="C60" s="32"/>
      <c r="D60" s="32">
        <v>1760000</v>
      </c>
      <c r="E60" s="32">
        <v>1760000</v>
      </c>
      <c r="F60" s="32">
        <v>1760000</v>
      </c>
      <c r="G60" s="19"/>
    </row>
    <row r="61" spans="1:7" x14ac:dyDescent="0.3">
      <c r="A61" s="6" t="s">
        <v>176</v>
      </c>
      <c r="B61" s="32">
        <v>1760000</v>
      </c>
      <c r="C61" s="32"/>
      <c r="D61" s="32">
        <v>1760000</v>
      </c>
      <c r="E61" s="32">
        <v>1760000</v>
      </c>
      <c r="F61" s="32">
        <v>1760000</v>
      </c>
      <c r="G61" s="19"/>
    </row>
    <row r="62" spans="1:7" x14ac:dyDescent="0.3">
      <c r="A62" s="6" t="s">
        <v>177</v>
      </c>
      <c r="B62" s="32">
        <v>20581000</v>
      </c>
      <c r="C62" s="32"/>
      <c r="D62" s="32">
        <v>19801000</v>
      </c>
      <c r="E62" s="32">
        <v>19209000</v>
      </c>
      <c r="F62" s="32">
        <v>18822000</v>
      </c>
      <c r="G62" s="19"/>
    </row>
    <row r="63" spans="1:7" x14ac:dyDescent="0.3">
      <c r="A63" s="6" t="s">
        <v>178</v>
      </c>
      <c r="B63" s="32">
        <v>80382000</v>
      </c>
      <c r="C63" s="32"/>
      <c r="D63" s="32">
        <v>76054000</v>
      </c>
      <c r="E63" s="32">
        <v>73782000</v>
      </c>
      <c r="F63" s="32">
        <v>71019000</v>
      </c>
      <c r="G63" s="19"/>
    </row>
    <row r="64" spans="1:7" x14ac:dyDescent="0.3">
      <c r="A64" s="6" t="s">
        <v>179</v>
      </c>
      <c r="B64" s="32">
        <v>56423000</v>
      </c>
      <c r="C64" s="32"/>
      <c r="D64" s="32">
        <v>55916000</v>
      </c>
      <c r="E64" s="32">
        <v>54535000</v>
      </c>
      <c r="F64" s="32">
        <v>52601000</v>
      </c>
      <c r="G64" s="19"/>
    </row>
    <row r="65" spans="1:7" x14ac:dyDescent="0.3">
      <c r="A65" s="7" t="s">
        <v>180</v>
      </c>
      <c r="B65" s="34">
        <v>-14131000</v>
      </c>
      <c r="C65" s="34"/>
      <c r="D65" s="34">
        <v>-16843000</v>
      </c>
      <c r="E65" s="34">
        <v>-14275000</v>
      </c>
      <c r="F65" s="34">
        <v>-14895000</v>
      </c>
      <c r="G65" s="19"/>
    </row>
    <row r="66" spans="1:7" x14ac:dyDescent="0.3">
      <c r="A66" s="7" t="s">
        <v>181</v>
      </c>
      <c r="B66" s="34">
        <v>-26000</v>
      </c>
      <c r="C66" s="34"/>
      <c r="D66" s="34">
        <v>-64000</v>
      </c>
      <c r="E66" s="34">
        <v>-1000</v>
      </c>
      <c r="F66" s="34">
        <v>-25000</v>
      </c>
      <c r="G66" s="19"/>
    </row>
    <row r="67" spans="1:7" x14ac:dyDescent="0.3">
      <c r="A67" s="7" t="s">
        <v>182</v>
      </c>
      <c r="B67" s="34">
        <v>-1188000</v>
      </c>
      <c r="C67" s="34"/>
      <c r="D67" s="34">
        <v>-1285000</v>
      </c>
      <c r="E67" s="34">
        <v>-1394000</v>
      </c>
      <c r="F67" s="34">
        <v>-1285000</v>
      </c>
      <c r="G67" s="19"/>
    </row>
    <row r="68" spans="1:7" x14ac:dyDescent="0.3">
      <c r="A68" s="7" t="s">
        <v>183</v>
      </c>
      <c r="B68" s="34">
        <v>-12673000</v>
      </c>
      <c r="C68" s="34"/>
      <c r="D68" s="34">
        <v>-15610000</v>
      </c>
      <c r="E68" s="34">
        <v>-12726000</v>
      </c>
      <c r="F68" s="34">
        <v>-13609000</v>
      </c>
      <c r="G68" s="19"/>
    </row>
    <row r="69" spans="1:7" x14ac:dyDescent="0.3">
      <c r="A69" s="6" t="s">
        <v>184</v>
      </c>
      <c r="B69" s="34">
        <v>-244000</v>
      </c>
      <c r="C69" s="34"/>
      <c r="D69" s="32">
        <v>116000</v>
      </c>
      <c r="E69" s="34">
        <v>-154000</v>
      </c>
      <c r="F69" s="32">
        <v>24000</v>
      </c>
      <c r="G69" s="19"/>
    </row>
    <row r="70" spans="1:7" x14ac:dyDescent="0.3">
      <c r="A70" s="6" t="s">
        <v>185</v>
      </c>
      <c r="B70" s="32">
        <v>2106000</v>
      </c>
      <c r="C70" s="32"/>
      <c r="D70" s="32">
        <v>1516000</v>
      </c>
      <c r="E70" s="32">
        <v>1539000</v>
      </c>
      <c r="F70" s="32">
        <v>1721000</v>
      </c>
      <c r="G70" s="19"/>
    </row>
    <row r="71" spans="1:7" x14ac:dyDescent="0.3">
      <c r="A71" s="6" t="s">
        <v>186</v>
      </c>
      <c r="B71" s="32">
        <v>74288000</v>
      </c>
      <c r="C71" s="32"/>
      <c r="D71" s="32">
        <v>67231000</v>
      </c>
      <c r="E71" s="32">
        <v>61488000</v>
      </c>
      <c r="F71" s="32">
        <v>60482000</v>
      </c>
      <c r="G71" s="19"/>
    </row>
    <row r="72" spans="1:7" x14ac:dyDescent="0.3">
      <c r="A72" s="5" t="s">
        <v>187</v>
      </c>
      <c r="B72" s="33">
        <v>32169000</v>
      </c>
      <c r="C72" s="33"/>
      <c r="D72" s="33">
        <v>24856000</v>
      </c>
      <c r="E72" s="33">
        <v>25941000</v>
      </c>
      <c r="F72" s="33">
        <v>24105000</v>
      </c>
      <c r="G72" s="19"/>
    </row>
    <row r="73" spans="1:7" x14ac:dyDescent="0.3">
      <c r="A73" s="6" t="s">
        <v>188</v>
      </c>
      <c r="B73" s="32">
        <v>4147000</v>
      </c>
      <c r="C73" s="32"/>
      <c r="D73" s="34">
        <v>-6584000</v>
      </c>
      <c r="E73" s="34">
        <v>-6766000</v>
      </c>
      <c r="F73" s="34">
        <v>-9526000</v>
      </c>
      <c r="G73" s="19"/>
    </row>
    <row r="74" spans="1:7" x14ac:dyDescent="0.3">
      <c r="A74" s="6" t="s">
        <v>189</v>
      </c>
      <c r="B74" s="32">
        <v>9763000</v>
      </c>
      <c r="C74" s="32"/>
      <c r="D74" s="32">
        <v>748000</v>
      </c>
      <c r="E74" s="32">
        <v>3161000</v>
      </c>
      <c r="F74" s="32">
        <v>2867000</v>
      </c>
      <c r="G74" s="19"/>
    </row>
    <row r="75" spans="1:7" x14ac:dyDescent="0.3">
      <c r="A75" s="6" t="s">
        <v>190</v>
      </c>
      <c r="B75" s="32">
        <v>77661000</v>
      </c>
      <c r="C75" s="32"/>
      <c r="D75" s="32">
        <v>69378000</v>
      </c>
      <c r="E75" s="32">
        <v>68005000</v>
      </c>
      <c r="F75" s="32">
        <v>63254000</v>
      </c>
      <c r="G75" s="19"/>
    </row>
    <row r="76" spans="1:7" x14ac:dyDescent="0.3">
      <c r="A76" s="6" t="s">
        <v>191</v>
      </c>
      <c r="B76" s="32">
        <v>4147000</v>
      </c>
      <c r="C76" s="32"/>
      <c r="D76" s="34">
        <v>-6584000</v>
      </c>
      <c r="E76" s="34">
        <v>-6766000</v>
      </c>
      <c r="F76" s="34">
        <v>-9526000</v>
      </c>
      <c r="G76" s="19"/>
    </row>
    <row r="77" spans="1:7" x14ac:dyDescent="0.3">
      <c r="A77" s="5" t="s">
        <v>192</v>
      </c>
      <c r="B77" s="33">
        <v>45492000</v>
      </c>
      <c r="C77" s="33"/>
      <c r="D77" s="33">
        <v>44522000</v>
      </c>
      <c r="E77" s="33">
        <v>42064000</v>
      </c>
      <c r="F77" s="33">
        <v>39149000</v>
      </c>
      <c r="G77" s="19"/>
    </row>
    <row r="78" spans="1:7" x14ac:dyDescent="0.3">
      <c r="A78" s="6" t="s">
        <v>193</v>
      </c>
      <c r="B78" s="32">
        <v>35222000</v>
      </c>
      <c r="C78" s="32"/>
      <c r="D78" s="32">
        <v>33694000</v>
      </c>
      <c r="E78" s="32">
        <v>32698000</v>
      </c>
      <c r="F78" s="32">
        <v>29630000</v>
      </c>
      <c r="G78" s="19"/>
    </row>
    <row r="79" spans="1:7" x14ac:dyDescent="0.3">
      <c r="A79" s="6" t="s">
        <v>194</v>
      </c>
      <c r="B79" s="32">
        <v>7039608.8499999996</v>
      </c>
      <c r="C79" s="32"/>
      <c r="D79" s="32">
        <v>7040000</v>
      </c>
      <c r="E79" s="32">
        <v>7040000</v>
      </c>
      <c r="F79" s="32">
        <v>7040000</v>
      </c>
      <c r="G79" s="19"/>
    </row>
    <row r="80" spans="1:7" x14ac:dyDescent="0.3">
      <c r="A80" s="5" t="s">
        <v>195</v>
      </c>
      <c r="B80" s="33">
        <v>4301608.8499999996</v>
      </c>
      <c r="C80" s="33"/>
      <c r="D80" s="33">
        <v>4302000</v>
      </c>
      <c r="E80" s="33">
        <v>4308000</v>
      </c>
      <c r="F80" s="33">
        <v>4328000</v>
      </c>
      <c r="G80" s="19"/>
    </row>
    <row r="81" spans="1:7" x14ac:dyDescent="0.3">
      <c r="A81" s="5" t="s">
        <v>196</v>
      </c>
      <c r="B81" s="33">
        <v>2738000</v>
      </c>
      <c r="C81" s="33"/>
      <c r="D81" s="33">
        <v>2738000</v>
      </c>
      <c r="E81" s="33">
        <v>2732000</v>
      </c>
      <c r="F81" s="33">
        <v>2712000</v>
      </c>
      <c r="G81"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9925E-7959-4D73-875D-91D8169910E0}">
  <dimension ref="A1:F59"/>
  <sheetViews>
    <sheetView workbookViewId="0">
      <selection activeCell="I9" sqref="I9:I10"/>
    </sheetView>
  </sheetViews>
  <sheetFormatPr defaultRowHeight="15.6" x14ac:dyDescent="0.3"/>
  <cols>
    <col min="1" max="1" width="40.19921875" bestFit="1" customWidth="1"/>
    <col min="2" max="2" width="13.5" bestFit="1" customWidth="1"/>
    <col min="3" max="3" width="11.3984375" customWidth="1"/>
    <col min="4" max="5" width="13.5" bestFit="1" customWidth="1"/>
    <col min="6" max="6" width="14.09765625" bestFit="1" customWidth="1"/>
  </cols>
  <sheetData>
    <row r="1" spans="1:6" x14ac:dyDescent="0.3">
      <c r="A1" s="2" t="s">
        <v>214</v>
      </c>
      <c r="B1" s="2" t="s">
        <v>59</v>
      </c>
      <c r="C1" s="2"/>
      <c r="D1" s="2" t="s">
        <v>60</v>
      </c>
      <c r="E1" s="2" t="s">
        <v>61</v>
      </c>
      <c r="F1" s="2" t="s">
        <v>62</v>
      </c>
    </row>
    <row r="2" spans="1:6" x14ac:dyDescent="0.3">
      <c r="A2" t="s">
        <v>63</v>
      </c>
      <c r="B2" s="35">
        <v>7408000</v>
      </c>
      <c r="C2" s="35"/>
      <c r="D2" s="35">
        <v>6805000</v>
      </c>
      <c r="E2" s="35">
        <v>11599000</v>
      </c>
      <c r="F2" s="35">
        <v>11018000</v>
      </c>
    </row>
    <row r="3" spans="1:6" x14ac:dyDescent="0.3">
      <c r="A3" t="s">
        <v>64</v>
      </c>
      <c r="B3" s="35">
        <v>7408000</v>
      </c>
      <c r="C3" s="35"/>
      <c r="D3" s="35">
        <v>6805000</v>
      </c>
      <c r="E3" s="35">
        <v>11599000</v>
      </c>
      <c r="F3" s="35">
        <v>11018000</v>
      </c>
    </row>
    <row r="4" spans="1:6" x14ac:dyDescent="0.3">
      <c r="A4" t="s">
        <v>65</v>
      </c>
      <c r="B4" s="35">
        <v>13137000</v>
      </c>
      <c r="C4" s="35"/>
      <c r="D4" s="35">
        <v>10649000</v>
      </c>
      <c r="E4" s="35">
        <v>10703000</v>
      </c>
      <c r="F4" s="35">
        <v>9571000</v>
      </c>
    </row>
    <row r="5" spans="1:6" x14ac:dyDescent="0.3">
      <c r="A5" t="s">
        <v>66</v>
      </c>
      <c r="B5" s="35">
        <v>-847000</v>
      </c>
      <c r="C5" s="35"/>
      <c r="D5" s="35">
        <v>-912000</v>
      </c>
      <c r="E5" s="35">
        <v>-844000</v>
      </c>
      <c r="F5" s="35">
        <v>-635000</v>
      </c>
    </row>
    <row r="6" spans="1:6" x14ac:dyDescent="0.3">
      <c r="A6" t="s">
        <v>67</v>
      </c>
      <c r="B6" s="35">
        <v>191000</v>
      </c>
      <c r="C6" s="35"/>
      <c r="D6" s="35">
        <v>-110000</v>
      </c>
      <c r="E6" s="35">
        <v>175000</v>
      </c>
      <c r="F6" s="35">
        <v>203000</v>
      </c>
    </row>
    <row r="7" spans="1:6" x14ac:dyDescent="0.3">
      <c r="A7" t="s">
        <v>68</v>
      </c>
      <c r="B7" s="35">
        <v>-1038000</v>
      </c>
      <c r="C7" s="35"/>
      <c r="D7" s="35">
        <v>-802000</v>
      </c>
      <c r="E7" s="35">
        <v>-1019000</v>
      </c>
      <c r="F7" s="35">
        <v>-838000</v>
      </c>
    </row>
    <row r="8" spans="1:6" x14ac:dyDescent="0.3">
      <c r="A8" t="s">
        <v>11</v>
      </c>
      <c r="B8" s="35">
        <v>1050000</v>
      </c>
      <c r="C8" s="35"/>
      <c r="D8" s="35">
        <v>1075000</v>
      </c>
      <c r="E8" s="35">
        <v>1128000</v>
      </c>
      <c r="F8" s="35">
        <v>1260000</v>
      </c>
    </row>
    <row r="9" spans="1:6" x14ac:dyDescent="0.3">
      <c r="A9" t="s">
        <v>12</v>
      </c>
      <c r="B9" s="35">
        <v>1050000</v>
      </c>
      <c r="C9" s="35"/>
      <c r="D9" s="35">
        <v>1075000</v>
      </c>
      <c r="E9" s="35">
        <v>1128000</v>
      </c>
      <c r="F9" s="35">
        <v>1260000</v>
      </c>
    </row>
    <row r="10" spans="1:6" x14ac:dyDescent="0.3">
      <c r="A10" t="s">
        <v>69</v>
      </c>
      <c r="B10" s="35">
        <v>517000</v>
      </c>
      <c r="C10" s="35"/>
      <c r="D10" s="35">
        <v>-11000</v>
      </c>
      <c r="E10" s="35">
        <v>-2000</v>
      </c>
      <c r="F10" s="35">
        <v>-122000</v>
      </c>
    </row>
    <row r="11" spans="1:6" x14ac:dyDescent="0.3">
      <c r="A11" t="s">
        <v>70</v>
      </c>
      <c r="B11" s="35">
        <v>517000</v>
      </c>
      <c r="C11" s="35"/>
      <c r="D11" s="35">
        <v>-11000</v>
      </c>
      <c r="E11" s="35">
        <v>-2000</v>
      </c>
      <c r="F11" s="35">
        <v>-122000</v>
      </c>
    </row>
    <row r="12" spans="1:6" x14ac:dyDescent="0.3">
      <c r="A12" t="s">
        <v>71</v>
      </c>
      <c r="B12" s="35">
        <v>279000</v>
      </c>
      <c r="C12" s="35"/>
      <c r="D12" s="35">
        <v>286000</v>
      </c>
      <c r="E12" s="35">
        <v>254000</v>
      </c>
      <c r="F12" s="35">
        <v>356000</v>
      </c>
    </row>
    <row r="13" spans="1:6" x14ac:dyDescent="0.3">
      <c r="A13" t="s">
        <v>72</v>
      </c>
      <c r="B13" s="35">
        <v>480000</v>
      </c>
      <c r="C13" s="35"/>
      <c r="D13" s="35">
        <v>1952000</v>
      </c>
      <c r="E13" s="35">
        <v>1206000</v>
      </c>
      <c r="F13" s="35">
        <v>1193000</v>
      </c>
    </row>
    <row r="14" spans="1:6" x14ac:dyDescent="0.3">
      <c r="A14" t="s">
        <v>73</v>
      </c>
      <c r="B14" s="35">
        <v>-7208000</v>
      </c>
      <c r="C14" s="35"/>
      <c r="D14" s="35">
        <v>-6234000</v>
      </c>
      <c r="E14" s="35">
        <v>-846000</v>
      </c>
      <c r="F14" s="35">
        <v>-605000</v>
      </c>
    </row>
    <row r="15" spans="1:6" x14ac:dyDescent="0.3">
      <c r="A15" t="s">
        <v>74</v>
      </c>
      <c r="B15" s="35">
        <v>334000</v>
      </c>
      <c r="C15" s="35"/>
      <c r="D15" s="35">
        <v>-295000</v>
      </c>
      <c r="E15" s="35">
        <v>-2000</v>
      </c>
      <c r="F15" s="35">
        <v>-69000</v>
      </c>
    </row>
    <row r="16" spans="1:6" x14ac:dyDescent="0.3">
      <c r="A16" t="s">
        <v>75</v>
      </c>
      <c r="B16" s="35">
        <v>334000</v>
      </c>
      <c r="C16" s="35"/>
      <c r="D16" s="35">
        <v>-295000</v>
      </c>
      <c r="E16" s="35">
        <v>-2000</v>
      </c>
      <c r="F16" s="35">
        <v>-69000</v>
      </c>
    </row>
    <row r="17" spans="1:6" x14ac:dyDescent="0.3">
      <c r="A17" t="s">
        <v>76</v>
      </c>
      <c r="B17" s="35">
        <v>-154000</v>
      </c>
      <c r="C17" s="35"/>
      <c r="D17" s="35">
        <v>-520000</v>
      </c>
      <c r="E17" s="35">
        <v>-597000</v>
      </c>
      <c r="F17" s="35">
        <v>-960000</v>
      </c>
    </row>
    <row r="18" spans="1:6" x14ac:dyDescent="0.3">
      <c r="A18" t="s">
        <v>77</v>
      </c>
      <c r="B18" s="35">
        <v>-388000</v>
      </c>
      <c r="C18" s="35"/>
      <c r="D18" s="35">
        <v>-5667000</v>
      </c>
      <c r="E18" s="35">
        <v>-323000</v>
      </c>
      <c r="F18" s="35">
        <v>225000</v>
      </c>
    </row>
    <row r="19" spans="1:6" x14ac:dyDescent="0.3">
      <c r="A19" t="s">
        <v>78</v>
      </c>
      <c r="B19" s="35">
        <v>-7170000</v>
      </c>
      <c r="C19" s="35"/>
      <c r="D19" s="35">
        <v>311000</v>
      </c>
      <c r="E19" s="35">
        <v>263000</v>
      </c>
      <c r="F19" s="35">
        <v>399000</v>
      </c>
    </row>
    <row r="20" spans="1:6" x14ac:dyDescent="0.3">
      <c r="A20" t="s">
        <v>79</v>
      </c>
      <c r="B20" s="35">
        <v>-7170000</v>
      </c>
      <c r="C20" s="35"/>
      <c r="D20" s="35">
        <v>311000</v>
      </c>
      <c r="E20" s="35">
        <v>263000</v>
      </c>
      <c r="F20" s="35">
        <v>399000</v>
      </c>
    </row>
    <row r="21" spans="1:6" x14ac:dyDescent="0.3">
      <c r="A21" t="s">
        <v>80</v>
      </c>
      <c r="B21" s="35">
        <v>-558000</v>
      </c>
      <c r="C21" s="35"/>
      <c r="D21" s="35">
        <v>-823000</v>
      </c>
      <c r="E21" s="35">
        <v>-578000</v>
      </c>
      <c r="F21" s="35">
        <v>-360000</v>
      </c>
    </row>
    <row r="22" spans="1:6" x14ac:dyDescent="0.3">
      <c r="A22" t="s">
        <v>81</v>
      </c>
      <c r="B22" s="35">
        <v>-558000</v>
      </c>
      <c r="C22" s="35"/>
      <c r="D22" s="35">
        <v>-823000</v>
      </c>
      <c r="E22" s="35">
        <v>-578000</v>
      </c>
      <c r="F22" s="35">
        <v>-360000</v>
      </c>
    </row>
    <row r="23" spans="1:6" x14ac:dyDescent="0.3">
      <c r="A23" t="s">
        <v>82</v>
      </c>
      <c r="B23" s="35">
        <v>-6612000</v>
      </c>
      <c r="C23" s="35"/>
      <c r="D23" s="35">
        <v>1134000</v>
      </c>
      <c r="E23" s="35">
        <v>841000</v>
      </c>
      <c r="F23" s="35">
        <v>759000</v>
      </c>
    </row>
    <row r="24" spans="1:6" x14ac:dyDescent="0.3">
      <c r="A24" t="s">
        <v>83</v>
      </c>
      <c r="B24" s="35">
        <v>170000</v>
      </c>
      <c r="C24" s="35"/>
      <c r="D24" s="35">
        <v>-63000</v>
      </c>
      <c r="E24" s="35">
        <v>-187000</v>
      </c>
      <c r="F24" s="35">
        <v>-200000</v>
      </c>
    </row>
    <row r="25" spans="1:6" x14ac:dyDescent="0.3">
      <c r="A25" t="s">
        <v>84</v>
      </c>
      <c r="B25" s="35">
        <v>-67000</v>
      </c>
      <c r="C25" s="35"/>
      <c r="D25" s="35">
        <v>2524000</v>
      </c>
      <c r="E25" s="35">
        <v>-3349000</v>
      </c>
      <c r="F25" s="35">
        <v>-763000</v>
      </c>
    </row>
    <row r="26" spans="1:6" x14ac:dyDescent="0.3">
      <c r="A26" t="s">
        <v>85</v>
      </c>
      <c r="B26" s="35">
        <v>-67000</v>
      </c>
      <c r="C26" s="35"/>
      <c r="D26" s="35">
        <v>2524000</v>
      </c>
      <c r="E26" s="35">
        <v>-3349000</v>
      </c>
      <c r="F26" s="35">
        <v>-763000</v>
      </c>
    </row>
    <row r="27" spans="1:6" x14ac:dyDescent="0.3">
      <c r="A27" t="s">
        <v>86</v>
      </c>
      <c r="B27" s="35">
        <v>-2099000</v>
      </c>
      <c r="C27" s="35"/>
      <c r="D27" s="35">
        <v>-2024000</v>
      </c>
      <c r="E27" s="35">
        <v>-1778000</v>
      </c>
      <c r="F27" s="35">
        <v>-1409000</v>
      </c>
    </row>
    <row r="28" spans="1:6" x14ac:dyDescent="0.3">
      <c r="A28" t="s">
        <v>87</v>
      </c>
      <c r="B28" s="35">
        <v>-2112000</v>
      </c>
      <c r="C28" s="35"/>
      <c r="D28" s="35">
        <v>-2064000</v>
      </c>
      <c r="E28" s="35">
        <v>-1852000</v>
      </c>
      <c r="F28" s="35">
        <v>-1484000</v>
      </c>
    </row>
    <row r="29" spans="1:6" x14ac:dyDescent="0.3">
      <c r="A29" t="s">
        <v>88</v>
      </c>
      <c r="B29" s="35">
        <v>13000</v>
      </c>
      <c r="C29" s="35"/>
      <c r="D29" s="35">
        <v>40000</v>
      </c>
      <c r="E29" s="35">
        <v>74000</v>
      </c>
      <c r="F29" s="35">
        <v>75000</v>
      </c>
    </row>
    <row r="30" spans="1:6" x14ac:dyDescent="0.3">
      <c r="A30" t="s">
        <v>89</v>
      </c>
      <c r="B30" s="35">
        <v>3106000</v>
      </c>
      <c r="C30" s="35"/>
      <c r="D30" s="35">
        <v>3170000</v>
      </c>
      <c r="E30" s="35">
        <v>368000</v>
      </c>
      <c r="F30" s="35">
        <v>385000</v>
      </c>
    </row>
    <row r="31" spans="1:6" x14ac:dyDescent="0.3">
      <c r="A31" t="s">
        <v>90</v>
      </c>
      <c r="B31" s="35">
        <v>-461000</v>
      </c>
      <c r="C31" s="35"/>
      <c r="D31" s="35">
        <v>-315000</v>
      </c>
      <c r="E31" s="35">
        <v>-62000</v>
      </c>
      <c r="F31" s="35">
        <v>-73000</v>
      </c>
    </row>
    <row r="32" spans="1:6" x14ac:dyDescent="0.3">
      <c r="A32" t="s">
        <v>91</v>
      </c>
      <c r="B32" s="35">
        <v>3567000</v>
      </c>
      <c r="C32" s="35"/>
      <c r="D32" s="35">
        <v>3485000</v>
      </c>
      <c r="E32" s="35">
        <v>430000</v>
      </c>
      <c r="F32" s="35">
        <v>458000</v>
      </c>
    </row>
    <row r="33" spans="1:6" x14ac:dyDescent="0.3">
      <c r="A33" t="s">
        <v>92</v>
      </c>
      <c r="B33" s="35">
        <v>-1495000</v>
      </c>
      <c r="C33" s="35"/>
      <c r="D33" s="35">
        <v>949000</v>
      </c>
      <c r="E33" s="35">
        <v>-2344000</v>
      </c>
      <c r="F33" s="35">
        <v>1020000</v>
      </c>
    </row>
    <row r="34" spans="1:6" x14ac:dyDescent="0.3">
      <c r="A34" t="s">
        <v>93</v>
      </c>
      <c r="B34" s="35">
        <v>-6160000</v>
      </c>
      <c r="C34" s="35"/>
      <c r="D34" s="35">
        <v>-5640000</v>
      </c>
      <c r="E34" s="35">
        <v>-6698000</v>
      </c>
      <c r="F34" s="35">
        <v>-3751000</v>
      </c>
    </row>
    <row r="35" spans="1:6" x14ac:dyDescent="0.3">
      <c r="A35" t="s">
        <v>94</v>
      </c>
      <c r="B35" s="35">
        <v>4665000</v>
      </c>
      <c r="C35" s="35"/>
      <c r="D35" s="35">
        <v>6589000</v>
      </c>
      <c r="E35" s="35">
        <v>4354000</v>
      </c>
      <c r="F35" s="35">
        <v>4771000</v>
      </c>
    </row>
    <row r="36" spans="1:6" x14ac:dyDescent="0.3">
      <c r="A36" t="s">
        <v>95</v>
      </c>
      <c r="B36" s="35">
        <v>421000</v>
      </c>
      <c r="C36" s="35"/>
      <c r="D36" s="35">
        <v>429000</v>
      </c>
      <c r="E36" s="35">
        <v>405000</v>
      </c>
      <c r="F36" s="35">
        <v>-759000</v>
      </c>
    </row>
    <row r="37" spans="1:6" x14ac:dyDescent="0.3">
      <c r="A37" t="s">
        <v>96</v>
      </c>
      <c r="B37" s="35">
        <v>-8140000</v>
      </c>
      <c r="C37" s="35"/>
      <c r="D37" s="35">
        <v>-6910000</v>
      </c>
      <c r="E37" s="35">
        <v>-8310000</v>
      </c>
      <c r="F37" s="35">
        <v>-10250000</v>
      </c>
    </row>
    <row r="38" spans="1:6" x14ac:dyDescent="0.3">
      <c r="A38" t="s">
        <v>97</v>
      </c>
      <c r="B38" s="35">
        <v>-8140000</v>
      </c>
      <c r="C38" s="35"/>
      <c r="D38" s="35">
        <v>-6910000</v>
      </c>
      <c r="E38" s="35">
        <v>-8310000</v>
      </c>
      <c r="F38" s="35">
        <v>-10250000</v>
      </c>
    </row>
    <row r="39" spans="1:6" x14ac:dyDescent="0.3">
      <c r="A39" t="s">
        <v>98</v>
      </c>
      <c r="B39" s="35">
        <v>13000</v>
      </c>
      <c r="C39" s="35"/>
      <c r="D39" s="35">
        <v>2528000</v>
      </c>
      <c r="E39" s="35">
        <v>1857000</v>
      </c>
      <c r="F39" s="35">
        <v>-958000</v>
      </c>
    </row>
    <row r="40" spans="1:6" x14ac:dyDescent="0.3">
      <c r="A40" t="s">
        <v>99</v>
      </c>
      <c r="B40" s="35">
        <v>13000</v>
      </c>
      <c r="C40" s="35"/>
      <c r="D40" s="35">
        <v>2528000</v>
      </c>
      <c r="E40" s="35">
        <v>1857000</v>
      </c>
      <c r="F40" s="35">
        <v>-958000</v>
      </c>
    </row>
    <row r="41" spans="1:6" x14ac:dyDescent="0.3">
      <c r="A41" t="s">
        <v>100</v>
      </c>
      <c r="B41" s="35">
        <v>4980000</v>
      </c>
      <c r="C41" s="35"/>
      <c r="D41" s="35">
        <v>12061000</v>
      </c>
      <c r="E41" s="35">
        <v>6891000</v>
      </c>
      <c r="F41" s="35">
        <v>3972000</v>
      </c>
    </row>
    <row r="42" spans="1:6" x14ac:dyDescent="0.3">
      <c r="A42" t="s">
        <v>101</v>
      </c>
      <c r="B42" s="35">
        <v>-4967000</v>
      </c>
      <c r="C42" s="35"/>
      <c r="D42" s="35">
        <v>-9533000</v>
      </c>
      <c r="E42" s="35">
        <v>-5034000</v>
      </c>
      <c r="F42" s="35">
        <v>-4930000</v>
      </c>
    </row>
    <row r="43" spans="1:6" x14ac:dyDescent="0.3">
      <c r="A43" t="s">
        <v>102</v>
      </c>
      <c r="B43" s="35">
        <v>-433000</v>
      </c>
      <c r="C43" s="35"/>
      <c r="D43" s="35">
        <v>-1048000</v>
      </c>
      <c r="E43" s="35">
        <v>-1750000</v>
      </c>
      <c r="F43" s="35">
        <v>-581000</v>
      </c>
    </row>
    <row r="44" spans="1:6" x14ac:dyDescent="0.3">
      <c r="A44" t="s">
        <v>103</v>
      </c>
      <c r="B44" s="35">
        <v>313000</v>
      </c>
      <c r="C44" s="35"/>
      <c r="D44" s="35">
        <v>747000</v>
      </c>
      <c r="E44" s="35">
        <v>539000</v>
      </c>
      <c r="F44" s="35">
        <v>837000</v>
      </c>
    </row>
    <row r="45" spans="1:6" x14ac:dyDescent="0.3">
      <c r="A45" t="s">
        <v>104</v>
      </c>
      <c r="B45" s="35">
        <v>-746000</v>
      </c>
      <c r="C45" s="35"/>
      <c r="D45" s="35">
        <v>-1795000</v>
      </c>
      <c r="E45" s="35">
        <v>-2289000</v>
      </c>
      <c r="F45" s="35">
        <v>-1418000</v>
      </c>
    </row>
    <row r="46" spans="1:6" x14ac:dyDescent="0.3">
      <c r="A46" s="2" t="s">
        <v>105</v>
      </c>
      <c r="B46" s="36">
        <v>-8779000</v>
      </c>
      <c r="C46" s="36"/>
      <c r="D46" s="36">
        <v>-8359000</v>
      </c>
      <c r="E46" s="36">
        <v>-7952000</v>
      </c>
      <c r="F46" s="36">
        <v>-7616000</v>
      </c>
    </row>
    <row r="47" spans="1:6" x14ac:dyDescent="0.3">
      <c r="A47" s="2" t="s">
        <v>106</v>
      </c>
      <c r="B47" s="36">
        <v>-8779000</v>
      </c>
      <c r="C47" s="36"/>
      <c r="D47" s="36">
        <v>-8359000</v>
      </c>
      <c r="E47" s="36">
        <v>-7952000</v>
      </c>
      <c r="F47" s="36">
        <v>-7616000</v>
      </c>
    </row>
    <row r="48" spans="1:6" x14ac:dyDescent="0.3">
      <c r="A48" t="s">
        <v>107</v>
      </c>
      <c r="B48" s="35">
        <v>1059000</v>
      </c>
      <c r="C48" s="35"/>
      <c r="D48" s="35">
        <v>-31000</v>
      </c>
      <c r="E48" s="35">
        <v>-465000</v>
      </c>
      <c r="F48" s="35">
        <v>-1095000</v>
      </c>
    </row>
    <row r="49" spans="1:6" x14ac:dyDescent="0.3">
      <c r="A49" t="s">
        <v>108</v>
      </c>
      <c r="B49" s="35">
        <v>11010000</v>
      </c>
      <c r="C49" s="35"/>
      <c r="D49" s="35">
        <v>11488000</v>
      </c>
      <c r="E49" s="35">
        <v>9692000</v>
      </c>
      <c r="F49" s="35">
        <v>9825000</v>
      </c>
    </row>
    <row r="50" spans="1:6" x14ac:dyDescent="0.3">
      <c r="A50" t="s">
        <v>109</v>
      </c>
      <c r="B50" s="35">
        <v>-799000</v>
      </c>
      <c r="C50" s="35"/>
      <c r="D50" s="35">
        <v>2419000</v>
      </c>
      <c r="E50" s="35">
        <v>-60000</v>
      </c>
      <c r="F50" s="35">
        <v>5000</v>
      </c>
    </row>
    <row r="51" spans="1:6" x14ac:dyDescent="0.3">
      <c r="A51" t="s">
        <v>110</v>
      </c>
      <c r="B51" s="35">
        <v>321000</v>
      </c>
      <c r="C51" s="35"/>
      <c r="D51" s="35">
        <v>-623000</v>
      </c>
      <c r="E51" s="35">
        <v>-73000</v>
      </c>
      <c r="F51" s="35">
        <v>-205000</v>
      </c>
    </row>
    <row r="52" spans="1:6" x14ac:dyDescent="0.3">
      <c r="A52" t="s">
        <v>111</v>
      </c>
      <c r="B52" s="35">
        <v>11488000</v>
      </c>
      <c r="C52" s="35"/>
      <c r="D52" s="35">
        <v>9692000</v>
      </c>
      <c r="E52" s="35">
        <v>9825000</v>
      </c>
      <c r="F52" s="35">
        <v>10025000</v>
      </c>
    </row>
    <row r="53" spans="1:6" x14ac:dyDescent="0.3">
      <c r="A53" t="s">
        <v>112</v>
      </c>
      <c r="B53" s="35" t="s">
        <v>9</v>
      </c>
      <c r="C53" s="35"/>
      <c r="D53" s="35" t="s">
        <v>9</v>
      </c>
      <c r="E53" s="35" t="s">
        <v>9</v>
      </c>
      <c r="F53" s="35" t="s">
        <v>9</v>
      </c>
    </row>
    <row r="54" spans="1:6" x14ac:dyDescent="0.3">
      <c r="A54" t="s">
        <v>113</v>
      </c>
      <c r="B54" s="35">
        <v>-2112000</v>
      </c>
      <c r="C54" s="35"/>
      <c r="D54" s="35">
        <v>-2064000</v>
      </c>
      <c r="E54" s="35">
        <v>-1852000</v>
      </c>
      <c r="F54" s="35">
        <v>-1484000</v>
      </c>
    </row>
    <row r="55" spans="1:6" x14ac:dyDescent="0.3">
      <c r="A55" t="s">
        <v>114</v>
      </c>
      <c r="B55" s="35">
        <v>313000</v>
      </c>
      <c r="C55" s="35"/>
      <c r="D55" s="35">
        <v>747000</v>
      </c>
      <c r="E55" s="35">
        <v>539000</v>
      </c>
      <c r="F55" s="35">
        <v>837000</v>
      </c>
    </row>
    <row r="56" spans="1:6" x14ac:dyDescent="0.3">
      <c r="A56" t="s">
        <v>115</v>
      </c>
      <c r="B56" s="35">
        <v>4980000</v>
      </c>
      <c r="C56" s="35"/>
      <c r="D56" s="35">
        <v>12061000</v>
      </c>
      <c r="E56" s="35">
        <v>6891000</v>
      </c>
      <c r="F56" s="35">
        <v>3972000</v>
      </c>
    </row>
    <row r="57" spans="1:6" x14ac:dyDescent="0.3">
      <c r="A57" t="s">
        <v>116</v>
      </c>
      <c r="B57" s="35">
        <v>-4967000</v>
      </c>
      <c r="C57" s="35"/>
      <c r="D57" s="35">
        <v>-9533000</v>
      </c>
      <c r="E57" s="35">
        <v>-5034000</v>
      </c>
      <c r="F57" s="35">
        <v>-4930000</v>
      </c>
    </row>
    <row r="58" spans="1:6" x14ac:dyDescent="0.3">
      <c r="A58" t="s">
        <v>117</v>
      </c>
      <c r="B58" s="35">
        <v>-746000</v>
      </c>
      <c r="C58" s="35"/>
      <c r="D58" s="35">
        <v>-1795000</v>
      </c>
      <c r="E58" s="35">
        <v>-2289000</v>
      </c>
      <c r="F58" s="35">
        <v>-1418000</v>
      </c>
    </row>
    <row r="59" spans="1:6" x14ac:dyDescent="0.3">
      <c r="A59" t="s">
        <v>118</v>
      </c>
      <c r="B59" s="35">
        <v>5296000</v>
      </c>
      <c r="C59" s="35"/>
      <c r="D59" s="35">
        <v>4741000</v>
      </c>
      <c r="E59" s="35">
        <v>9747000</v>
      </c>
      <c r="F59" s="35">
        <v>9534000</v>
      </c>
    </row>
  </sheetData>
  <pageMargins left="0.7" right="0.7" top="0.75" bottom="0.75" header="0.3" footer="0.3"/>
  <ignoredErrors>
    <ignoredError sqref="D53:F53 B5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B280-517C-4116-9823-1F4A330BCD9D}">
  <dimension ref="A12:L79"/>
  <sheetViews>
    <sheetView topLeftCell="A22" workbookViewId="0">
      <selection activeCell="B22" sqref="B22"/>
    </sheetView>
  </sheetViews>
  <sheetFormatPr defaultRowHeight="15.6" x14ac:dyDescent="0.3"/>
  <cols>
    <col min="1" max="1" width="14" bestFit="1" customWidth="1"/>
    <col min="2" max="2" width="34" bestFit="1" customWidth="1"/>
    <col min="3" max="4" width="17.59765625" bestFit="1" customWidth="1"/>
    <col min="5" max="5" width="46.8984375" bestFit="1" customWidth="1"/>
    <col min="6" max="6" width="17.59765625" bestFit="1" customWidth="1"/>
    <col min="7" max="7" width="19.59765625" bestFit="1" customWidth="1"/>
    <col min="8" max="8" width="19.8984375" bestFit="1" customWidth="1"/>
    <col min="9" max="9" width="15.69921875" bestFit="1" customWidth="1"/>
    <col min="10" max="10" width="40.59765625" bestFit="1" customWidth="1"/>
    <col min="11" max="12" width="11.3984375" bestFit="1" customWidth="1"/>
  </cols>
  <sheetData>
    <row r="12" spans="1:12" x14ac:dyDescent="0.3">
      <c r="A12" s="2" t="s">
        <v>197</v>
      </c>
    </row>
    <row r="13" spans="1:12" x14ac:dyDescent="0.3">
      <c r="B13" s="2" t="s">
        <v>199</v>
      </c>
      <c r="C13" s="2"/>
      <c r="D13" s="2"/>
      <c r="H13" s="2" t="s">
        <v>247</v>
      </c>
      <c r="I13" s="2" t="s">
        <v>208</v>
      </c>
      <c r="J13" s="2"/>
    </row>
    <row r="15" spans="1:12" x14ac:dyDescent="0.3">
      <c r="C15" s="2">
        <v>2025</v>
      </c>
      <c r="D15" s="2">
        <v>2024</v>
      </c>
      <c r="E15" s="2"/>
      <c r="F15" s="2"/>
      <c r="I15" s="2">
        <v>2025</v>
      </c>
      <c r="J15" s="2">
        <v>2024</v>
      </c>
      <c r="K15" s="2"/>
      <c r="L15" s="2"/>
    </row>
    <row r="16" spans="1:12" x14ac:dyDescent="0.3">
      <c r="B16" t="s">
        <v>120</v>
      </c>
      <c r="C16" s="22">
        <f>Balance_sheet!B3</f>
        <v>31044000</v>
      </c>
      <c r="D16" s="22">
        <f>Balance_sheet!D3</f>
        <v>25997000</v>
      </c>
      <c r="E16" s="9"/>
      <c r="F16" s="9"/>
      <c r="H16" t="s">
        <v>207</v>
      </c>
      <c r="I16" s="21">
        <f>Income_Statement!B3</f>
        <v>47941000</v>
      </c>
      <c r="J16" s="21">
        <f>Income_Statement!D3</f>
        <v>47061000</v>
      </c>
      <c r="K16" s="3"/>
      <c r="L16" s="3"/>
    </row>
    <row r="17" spans="2:12" x14ac:dyDescent="0.3">
      <c r="B17" t="s">
        <v>152</v>
      </c>
      <c r="C17" s="22">
        <f>Balance_sheet!B37</f>
        <v>21281000</v>
      </c>
      <c r="D17" s="22">
        <f>Balance_sheet!D37</f>
        <v>25249000</v>
      </c>
      <c r="E17" s="9"/>
      <c r="F17" s="9"/>
      <c r="H17" t="s">
        <v>3</v>
      </c>
      <c r="I17" s="21">
        <f>Income_Statement!B5</f>
        <v>29544000</v>
      </c>
      <c r="J17" s="21">
        <f>Income_Statement!D5</f>
        <v>28737000</v>
      </c>
      <c r="K17" s="3"/>
      <c r="L17" s="3"/>
    </row>
    <row r="18" spans="2:12" x14ac:dyDescent="0.3">
      <c r="B18" s="2" t="s">
        <v>198</v>
      </c>
      <c r="C18" s="17">
        <f>C16/C17</f>
        <v>1.4587660354306657</v>
      </c>
      <c r="D18" s="17">
        <f t="shared" ref="D18" si="0">D16/D17</f>
        <v>1.0296249356410154</v>
      </c>
      <c r="E18" s="17"/>
      <c r="F18" s="17"/>
      <c r="H18" s="2" t="s">
        <v>205</v>
      </c>
      <c r="I18" s="20">
        <f>I17/I16</f>
        <v>0.61625748315637974</v>
      </c>
      <c r="J18" s="20">
        <f t="shared" ref="J18" si="1">J17/J16</f>
        <v>0.61063300822336963</v>
      </c>
      <c r="K18" s="17"/>
      <c r="L18" s="17"/>
    </row>
    <row r="19" spans="2:12" x14ac:dyDescent="0.3">
      <c r="C19" s="3"/>
      <c r="D19" s="3"/>
      <c r="E19" s="3"/>
      <c r="F19" s="3"/>
      <c r="I19" s="18"/>
      <c r="J19" s="18"/>
      <c r="K19" s="3"/>
      <c r="L19" s="3"/>
    </row>
    <row r="20" spans="2:12" x14ac:dyDescent="0.3">
      <c r="C20" s="3"/>
      <c r="D20" s="3"/>
      <c r="E20" s="3"/>
      <c r="F20" s="3"/>
      <c r="I20" s="18"/>
      <c r="J20" s="18"/>
      <c r="K20" s="3"/>
      <c r="L20" s="3"/>
    </row>
    <row r="21" spans="2:12" x14ac:dyDescent="0.3">
      <c r="B21" t="s">
        <v>120</v>
      </c>
      <c r="C21" s="21">
        <f>C16-Balance_sheet!$B$12</f>
        <v>26619000</v>
      </c>
      <c r="D21" s="21">
        <f>D16-Balance_sheet!D12</f>
        <v>21269000</v>
      </c>
      <c r="E21" s="3"/>
      <c r="F21" s="3"/>
      <c r="H21" t="s">
        <v>207</v>
      </c>
      <c r="I21" s="21">
        <v>47941000</v>
      </c>
      <c r="J21" s="21">
        <v>47061000</v>
      </c>
      <c r="K21" s="3"/>
      <c r="L21" s="3"/>
    </row>
    <row r="22" spans="2:12" x14ac:dyDescent="0.3">
      <c r="B22" t="s">
        <v>152</v>
      </c>
      <c r="C22" s="21">
        <v>21281000</v>
      </c>
      <c r="D22" s="21">
        <v>25249000</v>
      </c>
      <c r="E22" s="3"/>
      <c r="F22" s="3"/>
      <c r="H22" t="s">
        <v>16</v>
      </c>
      <c r="I22" s="21">
        <f>Income_Statement!B17</f>
        <v>14911000</v>
      </c>
      <c r="J22" s="21">
        <f>Income_Statement!D17</f>
        <v>14022000</v>
      </c>
      <c r="K22" s="3"/>
      <c r="L22" s="3"/>
    </row>
    <row r="23" spans="2:12" x14ac:dyDescent="0.3">
      <c r="B23" s="2" t="s">
        <v>201</v>
      </c>
      <c r="C23" s="17">
        <f>C21/C22</f>
        <v>1.2508340773459894</v>
      </c>
      <c r="D23" s="17">
        <f t="shared" ref="D23" si="2">D21/D22</f>
        <v>0.84236999485128128</v>
      </c>
      <c r="E23" s="17"/>
      <c r="F23" s="17"/>
      <c r="H23" s="2" t="s">
        <v>206</v>
      </c>
      <c r="I23" s="20">
        <f>I22/I21</f>
        <v>0.31102813875388496</v>
      </c>
      <c r="J23" s="20">
        <f t="shared" ref="J23" si="3">J22/J21</f>
        <v>0.29795371964046663</v>
      </c>
      <c r="K23" s="17"/>
      <c r="L23" s="17"/>
    </row>
    <row r="24" spans="2:12" x14ac:dyDescent="0.3">
      <c r="C24" s="3"/>
      <c r="D24" s="3"/>
      <c r="E24" s="3"/>
      <c r="F24" s="3"/>
      <c r="I24" s="18"/>
      <c r="J24" s="18"/>
      <c r="K24" s="3"/>
      <c r="L24" s="3"/>
    </row>
    <row r="25" spans="2:12" x14ac:dyDescent="0.3">
      <c r="C25" s="3"/>
      <c r="D25" s="3"/>
      <c r="E25" s="3"/>
      <c r="F25" s="3"/>
      <c r="I25" s="18"/>
      <c r="J25" s="18"/>
      <c r="K25" s="3"/>
      <c r="L25" s="3"/>
    </row>
    <row r="26" spans="2:12" x14ac:dyDescent="0.3">
      <c r="B26" t="s">
        <v>202</v>
      </c>
      <c r="C26" s="19">
        <f>Balance_sheet!B5</f>
        <v>10270000</v>
      </c>
      <c r="D26" s="19">
        <f>Balance_sheet!D5</f>
        <v>10828000</v>
      </c>
      <c r="E26" s="3"/>
      <c r="F26" s="3"/>
      <c r="H26" t="s">
        <v>207</v>
      </c>
      <c r="I26" s="21">
        <v>47941000</v>
      </c>
      <c r="J26" s="21">
        <v>47061000</v>
      </c>
      <c r="K26" s="3"/>
      <c r="L26" s="3"/>
    </row>
    <row r="27" spans="2:12" x14ac:dyDescent="0.3">
      <c r="B27" t="s">
        <v>203</v>
      </c>
      <c r="C27" s="19">
        <f>Balance_sheet!B6</f>
        <v>5536000</v>
      </c>
      <c r="D27" s="19">
        <f>Balance_sheet!D6</f>
        <v>3743000</v>
      </c>
      <c r="E27" s="3"/>
      <c r="F27" s="3"/>
      <c r="H27" t="s">
        <v>33</v>
      </c>
      <c r="I27" s="21">
        <f>Income_Statement!B35</f>
        <v>13107000</v>
      </c>
      <c r="J27" s="21">
        <f>Income_Statement!D35</f>
        <v>10631000</v>
      </c>
      <c r="K27" s="3"/>
      <c r="L27" s="3"/>
    </row>
    <row r="28" spans="2:12" x14ac:dyDescent="0.3">
      <c r="B28" t="s">
        <v>152</v>
      </c>
      <c r="C28" s="19">
        <v>21281000</v>
      </c>
      <c r="D28" s="19">
        <v>25249000</v>
      </c>
      <c r="E28" s="3"/>
      <c r="F28" s="3"/>
      <c r="H28" s="2" t="s">
        <v>209</v>
      </c>
      <c r="I28" s="20">
        <f>I27/I26</f>
        <v>0.27339855238730942</v>
      </c>
      <c r="J28" s="20">
        <f t="shared" ref="J28" si="4">J27/J26</f>
        <v>0.22589830220352308</v>
      </c>
      <c r="K28" s="17"/>
      <c r="L28" s="17"/>
    </row>
    <row r="29" spans="2:12" x14ac:dyDescent="0.3">
      <c r="B29" s="2" t="s">
        <v>204</v>
      </c>
      <c r="C29" s="17">
        <f>SUM(C26:C27)/C28</f>
        <v>0.74272825525116304</v>
      </c>
      <c r="D29" s="17">
        <f t="shared" ref="D29" si="5">SUM(D26:D27)/D28</f>
        <v>0.57709216206582437</v>
      </c>
      <c r="E29" s="17"/>
      <c r="F29" s="17"/>
      <c r="I29" s="18"/>
      <c r="J29" s="18"/>
      <c r="K29" s="3"/>
      <c r="L29" s="3"/>
    </row>
    <row r="30" spans="2:12" x14ac:dyDescent="0.3">
      <c r="B30" s="2"/>
      <c r="C30" s="2"/>
      <c r="D30" s="2"/>
      <c r="E30" s="2"/>
      <c r="F30" s="2"/>
      <c r="I30" s="18"/>
      <c r="J30" s="18"/>
      <c r="K30" s="3"/>
      <c r="L30" s="3"/>
    </row>
    <row r="31" spans="2:12" x14ac:dyDescent="0.3">
      <c r="B31" s="2" t="s">
        <v>233</v>
      </c>
      <c r="C31" s="2" t="s">
        <v>234</v>
      </c>
      <c r="D31" s="2" t="s">
        <v>235</v>
      </c>
      <c r="E31" s="2" t="s">
        <v>236</v>
      </c>
      <c r="F31" s="2"/>
      <c r="H31" t="s">
        <v>33</v>
      </c>
      <c r="I31" s="21">
        <v>13107000</v>
      </c>
      <c r="J31" s="21">
        <v>10631000</v>
      </c>
      <c r="K31" s="3"/>
      <c r="L31" s="3"/>
    </row>
    <row r="32" spans="2:12" x14ac:dyDescent="0.3">
      <c r="B32" s="2" t="s">
        <v>198</v>
      </c>
      <c r="C32" s="2">
        <v>1.46</v>
      </c>
      <c r="D32" s="2" t="s">
        <v>237</v>
      </c>
      <c r="E32" s="2" t="s">
        <v>239</v>
      </c>
      <c r="F32" s="2"/>
      <c r="H32" t="s">
        <v>119</v>
      </c>
      <c r="I32" s="21">
        <f>Balance_sheet!B2</f>
        <v>104816000</v>
      </c>
      <c r="J32" s="21">
        <f>Balance_sheet!D2</f>
        <v>100549000</v>
      </c>
      <c r="K32" s="3"/>
      <c r="L32" s="3"/>
    </row>
    <row r="33" spans="2:12" x14ac:dyDescent="0.3">
      <c r="B33" s="2" t="s">
        <v>201</v>
      </c>
      <c r="C33" s="2">
        <v>1.23</v>
      </c>
      <c r="D33" s="2" t="s">
        <v>237</v>
      </c>
      <c r="E33" s="2" t="s">
        <v>240</v>
      </c>
      <c r="F33" s="2"/>
      <c r="H33" s="2" t="s">
        <v>216</v>
      </c>
      <c r="I33" s="20">
        <f>I31/I32</f>
        <v>0.12504770264081819</v>
      </c>
      <c r="J33" s="20">
        <f t="shared" ref="J33" si="6">J31/J32</f>
        <v>0.10572954479905319</v>
      </c>
      <c r="K33" s="17"/>
      <c r="L33" s="17"/>
    </row>
    <row r="34" spans="2:12" x14ac:dyDescent="0.3">
      <c r="B34" s="2" t="s">
        <v>204</v>
      </c>
      <c r="C34" s="2">
        <v>0.74</v>
      </c>
      <c r="D34" s="2" t="s">
        <v>238</v>
      </c>
      <c r="E34" s="2" t="s">
        <v>241</v>
      </c>
      <c r="F34" s="2"/>
      <c r="I34" s="18"/>
      <c r="J34" s="18"/>
      <c r="K34" s="3"/>
      <c r="L34" s="3"/>
    </row>
    <row r="35" spans="2:12" x14ac:dyDescent="0.3">
      <c r="B35" s="2"/>
      <c r="C35" s="2"/>
      <c r="D35" s="2"/>
      <c r="E35" s="2"/>
      <c r="F35" s="2"/>
      <c r="I35" s="18"/>
      <c r="J35" s="18"/>
      <c r="K35" s="3"/>
      <c r="L35" s="3"/>
    </row>
    <row r="36" spans="2:12" x14ac:dyDescent="0.3">
      <c r="B36" s="2"/>
      <c r="C36" s="2"/>
      <c r="D36" s="2"/>
      <c r="E36" s="2"/>
      <c r="F36" s="2"/>
      <c r="H36" t="s">
        <v>33</v>
      </c>
      <c r="I36" s="21">
        <v>13107000</v>
      </c>
      <c r="J36" s="21">
        <v>10631000</v>
      </c>
      <c r="K36" s="3"/>
      <c r="L36" s="3"/>
    </row>
    <row r="37" spans="2:12" x14ac:dyDescent="0.3">
      <c r="B37" s="2"/>
      <c r="C37" s="2"/>
      <c r="D37" s="2"/>
      <c r="E37" s="2"/>
      <c r="F37" s="2"/>
      <c r="H37" t="s">
        <v>217</v>
      </c>
      <c r="I37" s="21">
        <f>Balance_sheet!B59</f>
        <v>32169000</v>
      </c>
      <c r="J37" s="21">
        <f>Balance_sheet!D59</f>
        <v>24856000</v>
      </c>
      <c r="K37" s="3"/>
      <c r="L37" s="3"/>
    </row>
    <row r="38" spans="2:12" x14ac:dyDescent="0.3">
      <c r="B38" s="2"/>
      <c r="C38" s="2"/>
      <c r="D38" s="2"/>
      <c r="E38" s="2"/>
      <c r="F38" s="2"/>
      <c r="H38" s="2" t="s">
        <v>218</v>
      </c>
      <c r="I38" s="20">
        <f>I36/I37</f>
        <v>0.40744194721626409</v>
      </c>
      <c r="J38" s="20">
        <f t="shared" ref="J38" si="7">J36/J37</f>
        <v>0.42770357257804958</v>
      </c>
      <c r="K38" s="17"/>
      <c r="L38" s="17"/>
    </row>
    <row r="40" spans="2:12" x14ac:dyDescent="0.3">
      <c r="G40" s="2" t="s">
        <v>233</v>
      </c>
      <c r="H40" s="2" t="s">
        <v>234</v>
      </c>
      <c r="I40" s="2" t="s">
        <v>235</v>
      </c>
      <c r="J40" s="2" t="s">
        <v>236</v>
      </c>
    </row>
    <row r="41" spans="2:12" x14ac:dyDescent="0.3">
      <c r="B41" s="2"/>
      <c r="C41" s="2"/>
      <c r="D41" s="2"/>
      <c r="E41" s="2"/>
      <c r="G41" s="2" t="s">
        <v>205</v>
      </c>
      <c r="H41" s="2">
        <v>0.62</v>
      </c>
      <c r="I41" s="2" t="s">
        <v>251</v>
      </c>
      <c r="J41" s="2" t="s">
        <v>242</v>
      </c>
    </row>
    <row r="42" spans="2:12" x14ac:dyDescent="0.3">
      <c r="B42" s="2"/>
      <c r="C42" s="2"/>
      <c r="D42" s="2"/>
      <c r="E42" s="2"/>
      <c r="G42" s="2" t="s">
        <v>206</v>
      </c>
      <c r="H42" s="2">
        <v>0.31</v>
      </c>
      <c r="I42" s="2" t="s">
        <v>251</v>
      </c>
      <c r="J42" s="2" t="s">
        <v>243</v>
      </c>
    </row>
    <row r="43" spans="2:12" x14ac:dyDescent="0.3">
      <c r="B43" s="2"/>
      <c r="C43" s="2"/>
      <c r="D43" s="2"/>
      <c r="E43" s="2"/>
      <c r="G43" s="2" t="s">
        <v>209</v>
      </c>
      <c r="H43" s="2">
        <v>0.27</v>
      </c>
      <c r="I43" s="2" t="s">
        <v>251</v>
      </c>
      <c r="J43" s="2" t="s">
        <v>244</v>
      </c>
    </row>
    <row r="44" spans="2:12" x14ac:dyDescent="0.3">
      <c r="B44" s="2"/>
      <c r="C44" s="2"/>
      <c r="D44" s="2"/>
      <c r="E44" s="2"/>
      <c r="G44" s="2" t="s">
        <v>216</v>
      </c>
      <c r="H44" s="2">
        <v>0.13</v>
      </c>
      <c r="I44" s="2" t="s">
        <v>237</v>
      </c>
      <c r="J44" s="2" t="s">
        <v>245</v>
      </c>
    </row>
    <row r="45" spans="2:12" x14ac:dyDescent="0.3">
      <c r="B45" s="2"/>
      <c r="C45" s="2"/>
      <c r="D45" s="2"/>
      <c r="E45" s="2"/>
      <c r="G45" s="2" t="s">
        <v>218</v>
      </c>
      <c r="H45" s="2">
        <v>0.41</v>
      </c>
      <c r="I45" s="2" t="s">
        <v>251</v>
      </c>
      <c r="J45" s="2" t="s">
        <v>246</v>
      </c>
    </row>
    <row r="47" spans="2:12" x14ac:dyDescent="0.3">
      <c r="B47" s="2" t="s">
        <v>222</v>
      </c>
    </row>
    <row r="48" spans="2:12" x14ac:dyDescent="0.3">
      <c r="B48" s="2"/>
      <c r="D48" s="2"/>
    </row>
    <row r="49" spans="2:4" x14ac:dyDescent="0.3">
      <c r="B49" t="s">
        <v>33</v>
      </c>
      <c r="C49" s="19">
        <v>13107000</v>
      </c>
    </row>
    <row r="50" spans="2:4" x14ac:dyDescent="0.3">
      <c r="B50" t="s">
        <v>224</v>
      </c>
      <c r="C50" s="19">
        <f>Balance_sheet!B80</f>
        <v>4301608.8499999996</v>
      </c>
    </row>
    <row r="51" spans="2:4" x14ac:dyDescent="0.3">
      <c r="B51" s="2" t="s">
        <v>223</v>
      </c>
      <c r="C51" s="17">
        <f>C49/C50</f>
        <v>3.0469994964790907</v>
      </c>
    </row>
    <row r="52" spans="2:4" x14ac:dyDescent="0.3">
      <c r="C52" s="3"/>
    </row>
    <row r="53" spans="2:4" x14ac:dyDescent="0.3">
      <c r="C53" s="3"/>
    </row>
    <row r="54" spans="2:4" x14ac:dyDescent="0.3">
      <c r="B54" t="s">
        <v>226</v>
      </c>
      <c r="C54" s="19">
        <v>77.34</v>
      </c>
    </row>
    <row r="55" spans="2:4" x14ac:dyDescent="0.3">
      <c r="B55" t="s">
        <v>223</v>
      </c>
      <c r="C55" s="19">
        <f>C51</f>
        <v>3.0469994964790907</v>
      </c>
    </row>
    <row r="56" spans="2:4" x14ac:dyDescent="0.3">
      <c r="B56" s="2" t="s">
        <v>225</v>
      </c>
      <c r="C56" s="17">
        <f>C54/C55</f>
        <v>25.382347482948042</v>
      </c>
    </row>
    <row r="57" spans="2:4" x14ac:dyDescent="0.3">
      <c r="C57" s="3"/>
    </row>
    <row r="58" spans="2:4" x14ac:dyDescent="0.3">
      <c r="C58" s="3"/>
    </row>
    <row r="59" spans="2:4" x14ac:dyDescent="0.3">
      <c r="B59" t="s">
        <v>228</v>
      </c>
      <c r="C59" s="19">
        <v>8779000</v>
      </c>
    </row>
    <row r="60" spans="2:4" x14ac:dyDescent="0.3">
      <c r="B60" t="s">
        <v>33</v>
      </c>
      <c r="C60" s="19">
        <v>13107000</v>
      </c>
    </row>
    <row r="61" spans="2:4" x14ac:dyDescent="0.3">
      <c r="B61" s="2" t="s">
        <v>227</v>
      </c>
      <c r="C61" s="17">
        <f>C59/C60</f>
        <v>0.66979476615548939</v>
      </c>
    </row>
    <row r="62" spans="2:4" x14ac:dyDescent="0.3">
      <c r="C62" s="3"/>
    </row>
    <row r="63" spans="2:4" x14ac:dyDescent="0.3">
      <c r="C63" s="3"/>
    </row>
    <row r="64" spans="2:4" x14ac:dyDescent="0.3">
      <c r="B64" t="s">
        <v>192</v>
      </c>
      <c r="C64" s="19">
        <f>Balance_sheet!B77</f>
        <v>45492000</v>
      </c>
      <c r="D64" s="9"/>
    </row>
    <row r="65" spans="2:10" x14ac:dyDescent="0.3">
      <c r="B65" t="s">
        <v>230</v>
      </c>
      <c r="C65" s="19">
        <f>Balance_sheet!B59</f>
        <v>32169000</v>
      </c>
    </row>
    <row r="66" spans="2:10" x14ac:dyDescent="0.3">
      <c r="B66" s="2" t="s">
        <v>229</v>
      </c>
      <c r="C66" s="17">
        <f>C64/C65</f>
        <v>1.4141564860580063</v>
      </c>
      <c r="D66" s="9"/>
    </row>
    <row r="67" spans="2:10" x14ac:dyDescent="0.3">
      <c r="C67" s="3"/>
    </row>
    <row r="68" spans="2:10" x14ac:dyDescent="0.3">
      <c r="C68" s="3"/>
      <c r="G68" s="2"/>
      <c r="H68" s="2"/>
      <c r="I68" s="2"/>
      <c r="J68" s="2"/>
    </row>
    <row r="69" spans="2:10" x14ac:dyDescent="0.3">
      <c r="B69" t="s">
        <v>218</v>
      </c>
      <c r="C69" s="3">
        <v>0.40744194721626409</v>
      </c>
      <c r="G69" s="2"/>
      <c r="H69" s="2"/>
      <c r="I69" s="2"/>
      <c r="J69" s="2"/>
    </row>
    <row r="70" spans="2:10" x14ac:dyDescent="0.3">
      <c r="B70" t="s">
        <v>227</v>
      </c>
      <c r="C70" s="3">
        <v>0.66979476615548939</v>
      </c>
      <c r="G70" s="2"/>
      <c r="H70" s="2"/>
      <c r="I70" s="2"/>
      <c r="J70" s="2"/>
    </row>
    <row r="71" spans="2:10" x14ac:dyDescent="0.3">
      <c r="B71" s="2" t="s">
        <v>231</v>
      </c>
      <c r="C71" s="17">
        <f>C69*(1-C70)</f>
        <v>0.13453946345860923</v>
      </c>
      <c r="G71" s="2"/>
      <c r="H71" s="2"/>
      <c r="I71" s="2"/>
      <c r="J71" s="2"/>
    </row>
    <row r="72" spans="2:10" x14ac:dyDescent="0.3">
      <c r="G72" s="2"/>
      <c r="H72" s="2"/>
      <c r="I72" s="2"/>
      <c r="J72" s="2"/>
    </row>
    <row r="74" spans="2:10" x14ac:dyDescent="0.3">
      <c r="B74" s="2" t="s">
        <v>233</v>
      </c>
      <c r="C74" s="2" t="s">
        <v>234</v>
      </c>
      <c r="D74" s="2" t="s">
        <v>235</v>
      </c>
      <c r="E74" s="2" t="s">
        <v>236</v>
      </c>
    </row>
    <row r="75" spans="2:10" x14ac:dyDescent="0.3">
      <c r="B75" s="2" t="s">
        <v>223</v>
      </c>
      <c r="C75" s="17">
        <v>3.0469994964790907</v>
      </c>
      <c r="D75" s="2" t="s">
        <v>237</v>
      </c>
      <c r="E75" s="2" t="s">
        <v>252</v>
      </c>
    </row>
    <row r="76" spans="2:10" x14ac:dyDescent="0.3">
      <c r="B76" s="2" t="s">
        <v>225</v>
      </c>
      <c r="C76" s="2">
        <v>25.38</v>
      </c>
      <c r="D76" s="2" t="s">
        <v>248</v>
      </c>
      <c r="E76" s="2" t="s">
        <v>253</v>
      </c>
    </row>
    <row r="77" spans="2:10" x14ac:dyDescent="0.3">
      <c r="B77" s="2" t="s">
        <v>227</v>
      </c>
      <c r="C77" s="2">
        <v>0.67</v>
      </c>
      <c r="D77" s="2" t="s">
        <v>249</v>
      </c>
      <c r="E77" s="2" t="s">
        <v>254</v>
      </c>
    </row>
    <row r="78" spans="2:10" x14ac:dyDescent="0.3">
      <c r="B78" s="2" t="s">
        <v>229</v>
      </c>
      <c r="C78" s="2">
        <v>1.41</v>
      </c>
      <c r="D78" s="2" t="s">
        <v>250</v>
      </c>
      <c r="E78" s="2" t="s">
        <v>255</v>
      </c>
    </row>
    <row r="79" spans="2:10" x14ac:dyDescent="0.3">
      <c r="B79" s="2" t="s">
        <v>231</v>
      </c>
      <c r="C79" s="2">
        <v>0.13</v>
      </c>
      <c r="D79" s="2" t="s">
        <v>251</v>
      </c>
      <c r="E79" s="2" t="s">
        <v>256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E2A7-E541-459B-8404-4C1A0DDE292F}">
  <dimension ref="B2:I54"/>
  <sheetViews>
    <sheetView workbookViewId="0">
      <selection activeCell="O29" sqref="O29"/>
    </sheetView>
  </sheetViews>
  <sheetFormatPr defaultRowHeight="15.6" x14ac:dyDescent="0.3"/>
  <cols>
    <col min="2" max="2" width="21" bestFit="1" customWidth="1"/>
    <col min="3" max="3" width="11.8984375" bestFit="1" customWidth="1"/>
    <col min="4" max="4" width="13.69921875" bestFit="1" customWidth="1"/>
    <col min="5" max="5" width="33.69921875" bestFit="1" customWidth="1"/>
    <col min="8" max="8" width="34" bestFit="1" customWidth="1"/>
    <col min="9" max="9" width="11.8984375" bestFit="1" customWidth="1"/>
  </cols>
  <sheetData>
    <row r="2" spans="2:9" x14ac:dyDescent="0.3">
      <c r="B2" s="2" t="s">
        <v>222</v>
      </c>
    </row>
    <row r="4" spans="2:9" x14ac:dyDescent="0.3">
      <c r="H4" s="2" t="s">
        <v>222</v>
      </c>
    </row>
    <row r="6" spans="2:9" x14ac:dyDescent="0.3">
      <c r="H6" t="s">
        <v>33</v>
      </c>
      <c r="I6" s="19">
        <v>13107000</v>
      </c>
    </row>
    <row r="7" spans="2:9" x14ac:dyDescent="0.3">
      <c r="H7" t="s">
        <v>224</v>
      </c>
      <c r="I7" s="19">
        <v>4301608.8499999996</v>
      </c>
    </row>
    <row r="8" spans="2:9" x14ac:dyDescent="0.3">
      <c r="H8" s="2" t="s">
        <v>223</v>
      </c>
      <c r="I8" s="17">
        <v>3.0469994964790907</v>
      </c>
    </row>
    <row r="11" spans="2:9" x14ac:dyDescent="0.3">
      <c r="H11" t="s">
        <v>226</v>
      </c>
      <c r="I11" s="18">
        <v>77.34</v>
      </c>
    </row>
    <row r="12" spans="2:9" x14ac:dyDescent="0.3">
      <c r="H12" t="s">
        <v>223</v>
      </c>
      <c r="I12" s="18">
        <v>3.0469994964790907</v>
      </c>
    </row>
    <row r="13" spans="2:9" x14ac:dyDescent="0.3">
      <c r="H13" s="2" t="s">
        <v>225</v>
      </c>
      <c r="I13" s="17">
        <v>25.382347482948042</v>
      </c>
    </row>
    <row r="15" spans="2:9" x14ac:dyDescent="0.3">
      <c r="B15" s="2" t="s">
        <v>233</v>
      </c>
      <c r="C15" s="2" t="s">
        <v>234</v>
      </c>
      <c r="D15" s="2" t="s">
        <v>235</v>
      </c>
      <c r="E15" s="2" t="s">
        <v>236</v>
      </c>
    </row>
    <row r="16" spans="2:9" x14ac:dyDescent="0.3">
      <c r="B16" s="2" t="s">
        <v>223</v>
      </c>
      <c r="C16" s="17">
        <v>3.0469994964790907</v>
      </c>
      <c r="D16" s="2" t="s">
        <v>237</v>
      </c>
      <c r="E16" s="2" t="s">
        <v>252</v>
      </c>
      <c r="H16" t="s">
        <v>228</v>
      </c>
      <c r="I16" s="19">
        <v>8779000</v>
      </c>
    </row>
    <row r="17" spans="2:9" x14ac:dyDescent="0.3">
      <c r="B17" s="2" t="s">
        <v>225</v>
      </c>
      <c r="C17" s="2">
        <v>25.38</v>
      </c>
      <c r="D17" s="2" t="s">
        <v>248</v>
      </c>
      <c r="E17" s="2" t="s">
        <v>253</v>
      </c>
      <c r="H17" t="s">
        <v>33</v>
      </c>
      <c r="I17" s="19">
        <v>13107000</v>
      </c>
    </row>
    <row r="18" spans="2:9" x14ac:dyDescent="0.3">
      <c r="B18" s="2" t="s">
        <v>227</v>
      </c>
      <c r="C18" s="2">
        <v>0.67</v>
      </c>
      <c r="D18" s="2" t="s">
        <v>249</v>
      </c>
      <c r="E18" s="2" t="s">
        <v>254</v>
      </c>
      <c r="H18" s="2" t="s">
        <v>227</v>
      </c>
      <c r="I18" s="17">
        <v>0.66979476615548939</v>
      </c>
    </row>
    <row r="19" spans="2:9" x14ac:dyDescent="0.3">
      <c r="B19" s="2" t="s">
        <v>229</v>
      </c>
      <c r="C19" s="2">
        <v>1.41</v>
      </c>
      <c r="D19" s="2" t="s">
        <v>250</v>
      </c>
      <c r="E19" s="2" t="s">
        <v>255</v>
      </c>
    </row>
    <row r="20" spans="2:9" x14ac:dyDescent="0.3">
      <c r="B20" s="2" t="s">
        <v>231</v>
      </c>
      <c r="C20" s="2">
        <v>0.13</v>
      </c>
      <c r="D20" s="2" t="s">
        <v>251</v>
      </c>
      <c r="E20" s="2" t="s">
        <v>256</v>
      </c>
    </row>
    <row r="21" spans="2:9" x14ac:dyDescent="0.3">
      <c r="H21" t="s">
        <v>192</v>
      </c>
      <c r="I21" s="19">
        <v>45492000</v>
      </c>
    </row>
    <row r="22" spans="2:9" x14ac:dyDescent="0.3">
      <c r="H22" t="s">
        <v>230</v>
      </c>
      <c r="I22" s="19">
        <v>32169000</v>
      </c>
    </row>
    <row r="23" spans="2:9" x14ac:dyDescent="0.3">
      <c r="H23" s="2" t="s">
        <v>229</v>
      </c>
      <c r="I23" s="17">
        <v>1.4141564860580063</v>
      </c>
    </row>
    <row r="26" spans="2:9" x14ac:dyDescent="0.3">
      <c r="H26" t="s">
        <v>218</v>
      </c>
      <c r="I26">
        <v>0.40744194721626409</v>
      </c>
    </row>
    <row r="27" spans="2:9" x14ac:dyDescent="0.3">
      <c r="H27" t="s">
        <v>227</v>
      </c>
      <c r="I27">
        <v>0.66979476615548939</v>
      </c>
    </row>
    <row r="28" spans="2:9" x14ac:dyDescent="0.3">
      <c r="H28" s="2" t="s">
        <v>231</v>
      </c>
      <c r="I28" s="17">
        <v>0.13453946345860923</v>
      </c>
    </row>
    <row r="49" spans="2:5" x14ac:dyDescent="0.3">
      <c r="B49" s="2"/>
      <c r="C49" s="2"/>
      <c r="D49" s="2"/>
      <c r="E49" s="2"/>
    </row>
    <row r="50" spans="2:5" x14ac:dyDescent="0.3">
      <c r="B50" s="2"/>
      <c r="C50" s="2"/>
      <c r="D50" s="2"/>
      <c r="E50" s="2"/>
    </row>
    <row r="51" spans="2:5" x14ac:dyDescent="0.3">
      <c r="B51" s="2"/>
      <c r="C51" s="2"/>
      <c r="D51" s="2"/>
      <c r="E51" s="2"/>
    </row>
    <row r="52" spans="2:5" x14ac:dyDescent="0.3">
      <c r="B52" s="2"/>
      <c r="C52" s="2"/>
      <c r="D52" s="2"/>
      <c r="E52" s="2"/>
    </row>
    <row r="53" spans="2:5" x14ac:dyDescent="0.3">
      <c r="B53" s="2"/>
      <c r="C53" s="2"/>
      <c r="D53" s="2"/>
      <c r="E53" s="2"/>
    </row>
    <row r="54" spans="2:5" x14ac:dyDescent="0.3">
      <c r="B54" s="2"/>
      <c r="C54" s="2"/>
      <c r="D54" s="2"/>
      <c r="E54" s="2"/>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E9FB0-FFD4-4B34-AF03-E196A8144C08}">
  <dimension ref="B2:K24"/>
  <sheetViews>
    <sheetView workbookViewId="0">
      <selection activeCell="H24" sqref="H24"/>
    </sheetView>
  </sheetViews>
  <sheetFormatPr defaultRowHeight="15.6" x14ac:dyDescent="0.3"/>
  <cols>
    <col min="2" max="2" width="19.5" bestFit="1" customWidth="1"/>
    <col min="3" max="3" width="6" bestFit="1" customWidth="1"/>
    <col min="4" max="4" width="7.59765625" bestFit="1" customWidth="1"/>
    <col min="5" max="5" width="46.8984375" bestFit="1" customWidth="1"/>
    <col min="8" max="8" width="23" bestFit="1" customWidth="1"/>
    <col min="9" max="10" width="10.8984375" bestFit="1" customWidth="1"/>
    <col min="11" max="11" width="47.09765625" bestFit="1" customWidth="1"/>
  </cols>
  <sheetData>
    <row r="2" spans="2:10" ht="18" x14ac:dyDescent="0.35">
      <c r="B2" s="57" t="s">
        <v>257</v>
      </c>
    </row>
    <row r="3" spans="2:10" ht="18" x14ac:dyDescent="0.35">
      <c r="H3" s="57" t="s">
        <v>199</v>
      </c>
    </row>
    <row r="5" spans="2:10" x14ac:dyDescent="0.3">
      <c r="I5" s="2">
        <v>2025</v>
      </c>
      <c r="J5" s="2">
        <v>2024</v>
      </c>
    </row>
    <row r="6" spans="2:10" x14ac:dyDescent="0.3">
      <c r="H6" t="s">
        <v>120</v>
      </c>
      <c r="I6" s="19">
        <v>31044000</v>
      </c>
      <c r="J6" s="19">
        <v>25997000</v>
      </c>
    </row>
    <row r="7" spans="2:10" x14ac:dyDescent="0.3">
      <c r="H7" t="s">
        <v>152</v>
      </c>
      <c r="I7" s="19">
        <v>21281000</v>
      </c>
      <c r="J7" s="19">
        <v>25249000</v>
      </c>
    </row>
    <row r="8" spans="2:10" x14ac:dyDescent="0.3">
      <c r="H8" s="2" t="s">
        <v>198</v>
      </c>
      <c r="I8" s="17">
        <v>1.4587660354306657</v>
      </c>
      <c r="J8" s="17">
        <v>1.0296249356410154</v>
      </c>
    </row>
    <row r="11" spans="2:10" x14ac:dyDescent="0.3">
      <c r="H11" t="s">
        <v>120</v>
      </c>
      <c r="I11" s="19">
        <v>26619000</v>
      </c>
      <c r="J11" s="19">
        <v>21269000</v>
      </c>
    </row>
    <row r="12" spans="2:10" x14ac:dyDescent="0.3">
      <c r="H12" t="s">
        <v>152</v>
      </c>
      <c r="I12" s="19">
        <v>21281000</v>
      </c>
      <c r="J12" s="19">
        <v>25249000</v>
      </c>
    </row>
    <row r="13" spans="2:10" x14ac:dyDescent="0.3">
      <c r="H13" s="2" t="s">
        <v>201</v>
      </c>
      <c r="I13" s="17">
        <v>1.2508340773459894</v>
      </c>
      <c r="J13" s="17">
        <v>0.84236999485128128</v>
      </c>
    </row>
    <row r="14" spans="2:10" x14ac:dyDescent="0.3">
      <c r="B14" s="2" t="s">
        <v>233</v>
      </c>
      <c r="C14" s="2" t="s">
        <v>234</v>
      </c>
      <c r="D14" s="2" t="s">
        <v>235</v>
      </c>
      <c r="E14" s="2" t="s">
        <v>236</v>
      </c>
    </row>
    <row r="15" spans="2:10" x14ac:dyDescent="0.3">
      <c r="B15" s="2" t="s">
        <v>198</v>
      </c>
      <c r="C15" s="2">
        <v>1.46</v>
      </c>
      <c r="D15" s="2" t="s">
        <v>237</v>
      </c>
      <c r="E15" s="2" t="s">
        <v>239</v>
      </c>
    </row>
    <row r="16" spans="2:10" x14ac:dyDescent="0.3">
      <c r="B16" s="2" t="s">
        <v>201</v>
      </c>
      <c r="C16" s="2">
        <v>1.23</v>
      </c>
      <c r="D16" s="2" t="s">
        <v>237</v>
      </c>
      <c r="E16" s="2" t="s">
        <v>240</v>
      </c>
      <c r="H16" t="s">
        <v>202</v>
      </c>
      <c r="I16" s="19">
        <v>10270000</v>
      </c>
      <c r="J16" s="19">
        <v>10828000</v>
      </c>
    </row>
    <row r="17" spans="2:11" x14ac:dyDescent="0.3">
      <c r="B17" s="2" t="s">
        <v>204</v>
      </c>
      <c r="C17" s="2">
        <v>0.74</v>
      </c>
      <c r="D17" s="2" t="s">
        <v>238</v>
      </c>
      <c r="E17" s="2" t="s">
        <v>241</v>
      </c>
      <c r="H17" t="s">
        <v>203</v>
      </c>
      <c r="I17" s="19">
        <v>5536000</v>
      </c>
      <c r="J17" s="19">
        <v>3743000</v>
      </c>
    </row>
    <row r="18" spans="2:11" x14ac:dyDescent="0.3">
      <c r="H18" t="s">
        <v>152</v>
      </c>
      <c r="I18" s="19">
        <v>21281000</v>
      </c>
      <c r="J18" s="19">
        <v>25249000</v>
      </c>
    </row>
    <row r="19" spans="2:11" x14ac:dyDescent="0.3">
      <c r="H19" s="2" t="s">
        <v>204</v>
      </c>
      <c r="I19" s="17">
        <v>0.74272825525116304</v>
      </c>
      <c r="J19" s="17">
        <v>0.57709216206582437</v>
      </c>
    </row>
    <row r="21" spans="2:11" x14ac:dyDescent="0.3">
      <c r="H21" s="2"/>
      <c r="I21" s="2"/>
      <c r="J21" s="2"/>
      <c r="K21" s="2"/>
    </row>
    <row r="22" spans="2:11" x14ac:dyDescent="0.3">
      <c r="H22" s="2"/>
      <c r="I22" s="2"/>
      <c r="J22" s="2"/>
      <c r="K22" s="2"/>
    </row>
    <row r="23" spans="2:11" x14ac:dyDescent="0.3">
      <c r="H23" s="2"/>
      <c r="I23" s="2"/>
      <c r="J23" s="2"/>
      <c r="K23" s="2"/>
    </row>
    <row r="24" spans="2:11" x14ac:dyDescent="0.3">
      <c r="H24" s="2"/>
      <c r="I24" s="2"/>
      <c r="J24" s="2"/>
      <c r="K24" s="2"/>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2DF13-30B5-441A-9255-0A558197E602}">
  <dimension ref="B2:J74"/>
  <sheetViews>
    <sheetView workbookViewId="0">
      <selection activeCell="M12" sqref="M12"/>
    </sheetView>
  </sheetViews>
  <sheetFormatPr defaultRowHeight="15.6" x14ac:dyDescent="0.3"/>
  <cols>
    <col min="2" max="2" width="21.19921875" bestFit="1" customWidth="1"/>
    <col min="3" max="3" width="11.8984375" bestFit="1" customWidth="1"/>
    <col min="4" max="4" width="13.69921875" bestFit="1" customWidth="1"/>
    <col min="5" max="5" width="40.5" bestFit="1" customWidth="1"/>
    <col min="7" max="7" width="19.8984375" bestFit="1" customWidth="1"/>
    <col min="8" max="9" width="11.8984375" bestFit="1" customWidth="1"/>
    <col min="10" max="10" width="40.19921875" bestFit="1" customWidth="1"/>
  </cols>
  <sheetData>
    <row r="2" spans="2:9" ht="18" x14ac:dyDescent="0.35">
      <c r="B2" s="57" t="s">
        <v>247</v>
      </c>
    </row>
    <row r="3" spans="2:9" x14ac:dyDescent="0.3">
      <c r="G3" s="2" t="s">
        <v>247</v>
      </c>
      <c r="H3" t="s">
        <v>208</v>
      </c>
    </row>
    <row r="5" spans="2:9" x14ac:dyDescent="0.3">
      <c r="H5" s="2">
        <v>2025</v>
      </c>
      <c r="I5" s="2">
        <v>2024</v>
      </c>
    </row>
    <row r="6" spans="2:9" x14ac:dyDescent="0.3">
      <c r="G6" t="s">
        <v>207</v>
      </c>
      <c r="H6" s="19">
        <v>47941000</v>
      </c>
      <c r="I6" s="19">
        <v>47061000</v>
      </c>
    </row>
    <row r="7" spans="2:9" x14ac:dyDescent="0.3">
      <c r="G7" t="s">
        <v>3</v>
      </c>
      <c r="H7" s="19">
        <v>29544000</v>
      </c>
      <c r="I7" s="19">
        <v>28737000</v>
      </c>
    </row>
    <row r="8" spans="2:9" x14ac:dyDescent="0.3">
      <c r="G8" s="2" t="s">
        <v>205</v>
      </c>
      <c r="H8" s="17">
        <v>0.61625748315637974</v>
      </c>
      <c r="I8" s="17">
        <v>0.61063300822336963</v>
      </c>
    </row>
    <row r="11" spans="2:9" x14ac:dyDescent="0.3">
      <c r="G11" t="s">
        <v>207</v>
      </c>
      <c r="H11" s="19">
        <v>47941000</v>
      </c>
      <c r="I11" s="19">
        <v>47061000</v>
      </c>
    </row>
    <row r="12" spans="2:9" x14ac:dyDescent="0.3">
      <c r="G12" t="s">
        <v>16</v>
      </c>
      <c r="H12" s="19">
        <v>14911000</v>
      </c>
      <c r="I12" s="19">
        <v>14022000</v>
      </c>
    </row>
    <row r="13" spans="2:9" x14ac:dyDescent="0.3">
      <c r="B13" s="2" t="s">
        <v>233</v>
      </c>
      <c r="C13" s="2" t="s">
        <v>234</v>
      </c>
      <c r="D13" s="2" t="s">
        <v>235</v>
      </c>
      <c r="E13" s="2" t="s">
        <v>236</v>
      </c>
      <c r="G13" s="2" t="s">
        <v>206</v>
      </c>
      <c r="H13" s="17">
        <v>0.31102813875388496</v>
      </c>
      <c r="I13" s="17">
        <v>0.29795371964046663</v>
      </c>
    </row>
    <row r="14" spans="2:9" x14ac:dyDescent="0.3">
      <c r="B14" s="2" t="s">
        <v>205</v>
      </c>
      <c r="C14" s="2">
        <v>0.62</v>
      </c>
      <c r="D14" s="2" t="s">
        <v>251</v>
      </c>
      <c r="E14" s="2" t="s">
        <v>242</v>
      </c>
    </row>
    <row r="15" spans="2:9" x14ac:dyDescent="0.3">
      <c r="B15" s="2" t="s">
        <v>206</v>
      </c>
      <c r="C15" s="2">
        <v>0.31</v>
      </c>
      <c r="D15" s="2" t="s">
        <v>251</v>
      </c>
      <c r="E15" s="2" t="s">
        <v>243</v>
      </c>
    </row>
    <row r="16" spans="2:9" x14ac:dyDescent="0.3">
      <c r="B16" s="2" t="s">
        <v>209</v>
      </c>
      <c r="C16" s="2">
        <v>0.27</v>
      </c>
      <c r="D16" s="2" t="s">
        <v>251</v>
      </c>
      <c r="E16" s="2" t="s">
        <v>244</v>
      </c>
      <c r="G16" t="s">
        <v>207</v>
      </c>
      <c r="H16" s="19">
        <v>47941000</v>
      </c>
      <c r="I16" s="19">
        <v>47061000</v>
      </c>
    </row>
    <row r="17" spans="2:10" x14ac:dyDescent="0.3">
      <c r="B17" s="2" t="s">
        <v>216</v>
      </c>
      <c r="C17" s="2">
        <v>0.13</v>
      </c>
      <c r="D17" s="2" t="s">
        <v>237</v>
      </c>
      <c r="E17" s="2" t="s">
        <v>245</v>
      </c>
      <c r="G17" t="s">
        <v>33</v>
      </c>
      <c r="H17" s="19">
        <v>13107000</v>
      </c>
      <c r="I17" s="19">
        <v>10631000</v>
      </c>
    </row>
    <row r="18" spans="2:10" x14ac:dyDescent="0.3">
      <c r="B18" s="2" t="s">
        <v>218</v>
      </c>
      <c r="C18" s="2">
        <v>0.41</v>
      </c>
      <c r="D18" s="2" t="s">
        <v>251</v>
      </c>
      <c r="E18" s="2" t="s">
        <v>246</v>
      </c>
      <c r="G18" s="2" t="s">
        <v>209</v>
      </c>
      <c r="H18" s="17">
        <v>0.27339855238730942</v>
      </c>
      <c r="I18" s="17">
        <v>0.22589830220352308</v>
      </c>
    </row>
    <row r="21" spans="2:10" x14ac:dyDescent="0.3">
      <c r="G21" t="s">
        <v>33</v>
      </c>
      <c r="H21" s="19">
        <v>13107000</v>
      </c>
      <c r="I21" s="19">
        <v>10631000</v>
      </c>
    </row>
    <row r="22" spans="2:10" x14ac:dyDescent="0.3">
      <c r="G22" t="s">
        <v>119</v>
      </c>
      <c r="H22" s="19">
        <v>104816000</v>
      </c>
      <c r="I22" s="19">
        <v>100549000</v>
      </c>
    </row>
    <row r="23" spans="2:10" x14ac:dyDescent="0.3">
      <c r="G23" s="2" t="s">
        <v>216</v>
      </c>
      <c r="H23" s="16">
        <v>0.12504770264081819</v>
      </c>
      <c r="I23" s="16">
        <v>0.10572954479905319</v>
      </c>
    </row>
    <row r="26" spans="2:10" x14ac:dyDescent="0.3">
      <c r="G26" t="s">
        <v>33</v>
      </c>
      <c r="H26" s="19">
        <v>13107000</v>
      </c>
      <c r="I26" s="19">
        <v>10631000</v>
      </c>
    </row>
    <row r="27" spans="2:10" x14ac:dyDescent="0.3">
      <c r="G27" t="s">
        <v>217</v>
      </c>
      <c r="H27" s="19">
        <v>32169000</v>
      </c>
      <c r="I27" s="19">
        <v>24856000</v>
      </c>
    </row>
    <row r="28" spans="2:10" x14ac:dyDescent="0.3">
      <c r="G28" s="2" t="s">
        <v>218</v>
      </c>
      <c r="H28" s="17">
        <v>0.40744194721626409</v>
      </c>
      <c r="I28" s="17">
        <v>0.42770357257804958</v>
      </c>
    </row>
    <row r="31" spans="2:10" x14ac:dyDescent="0.3">
      <c r="G31" s="2"/>
      <c r="H31" s="2"/>
      <c r="I31" s="2"/>
      <c r="J31" s="2"/>
    </row>
    <row r="32" spans="2:10" x14ac:dyDescent="0.3">
      <c r="G32" s="2"/>
      <c r="H32" s="2"/>
      <c r="I32" s="2"/>
      <c r="J32" s="2"/>
    </row>
    <row r="33" spans="7:10" x14ac:dyDescent="0.3">
      <c r="G33" s="2"/>
      <c r="H33" s="2"/>
      <c r="I33" s="2"/>
      <c r="J33" s="2"/>
    </row>
    <row r="34" spans="7:10" x14ac:dyDescent="0.3">
      <c r="G34" s="2"/>
      <c r="H34" s="2"/>
      <c r="I34" s="2"/>
      <c r="J34" s="2"/>
    </row>
    <row r="35" spans="7:10" x14ac:dyDescent="0.3">
      <c r="G35" s="2"/>
      <c r="H35" s="2"/>
      <c r="I35" s="2"/>
      <c r="J35" s="2"/>
    </row>
    <row r="36" spans="7:10" x14ac:dyDescent="0.3">
      <c r="G36" s="2"/>
      <c r="H36" s="2"/>
      <c r="I36" s="2"/>
      <c r="J36" s="2"/>
    </row>
    <row r="59" spans="7:8" x14ac:dyDescent="0.3">
      <c r="G59" s="2"/>
      <c r="H59" s="2"/>
    </row>
    <row r="60" spans="7:8" x14ac:dyDescent="0.3">
      <c r="G60" s="2"/>
      <c r="H60" s="2"/>
    </row>
    <row r="69" spans="2:5" x14ac:dyDescent="0.3">
      <c r="B69" s="2"/>
      <c r="C69" s="2"/>
      <c r="D69" s="2"/>
      <c r="E69" s="2"/>
    </row>
    <row r="70" spans="2:5" x14ac:dyDescent="0.3">
      <c r="B70" s="2"/>
      <c r="C70" s="2"/>
      <c r="D70" s="2"/>
      <c r="E70" s="2"/>
    </row>
    <row r="71" spans="2:5" x14ac:dyDescent="0.3">
      <c r="B71" s="2"/>
      <c r="C71" s="2"/>
      <c r="D71" s="2"/>
      <c r="E71" s="2"/>
    </row>
    <row r="72" spans="2:5" x14ac:dyDescent="0.3">
      <c r="B72" s="2"/>
      <c r="C72" s="2"/>
      <c r="D72" s="2"/>
      <c r="E72" s="2"/>
    </row>
    <row r="73" spans="2:5" x14ac:dyDescent="0.3">
      <c r="B73" s="2"/>
      <c r="C73" s="2"/>
      <c r="D73" s="2"/>
      <c r="E73" s="2"/>
    </row>
    <row r="74" spans="2:5" x14ac:dyDescent="0.3">
      <c r="B74" s="2"/>
      <c r="C74" s="2"/>
      <c r="D74" s="2"/>
      <c r="E74" s="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13CE-9159-4DA2-9DFC-39C19F49DD72}">
  <dimension ref="A1:L36"/>
  <sheetViews>
    <sheetView tabSelected="1" workbookViewId="0">
      <selection activeCell="T17" sqref="T17"/>
    </sheetView>
  </sheetViews>
  <sheetFormatPr defaultRowHeight="15.6" x14ac:dyDescent="0.3"/>
  <cols>
    <col min="1" max="1" width="19.59765625" bestFit="1" customWidth="1"/>
    <col min="2" max="2" width="5.5" bestFit="1" customWidth="1"/>
    <col min="11" max="11" width="19.59765625" bestFit="1" customWidth="1"/>
    <col min="12" max="12" width="5.5" bestFit="1" customWidth="1"/>
  </cols>
  <sheetData>
    <row r="1" spans="1:12" x14ac:dyDescent="0.3">
      <c r="A1" s="2" t="s">
        <v>260</v>
      </c>
      <c r="K1" s="2" t="s">
        <v>257</v>
      </c>
    </row>
    <row r="2" spans="1:12" x14ac:dyDescent="0.3">
      <c r="A2" t="s">
        <v>258</v>
      </c>
      <c r="B2" t="s">
        <v>259</v>
      </c>
      <c r="K2" t="s">
        <v>258</v>
      </c>
      <c r="L2" t="s">
        <v>259</v>
      </c>
    </row>
    <row r="3" spans="1:12" x14ac:dyDescent="0.3">
      <c r="A3" t="s">
        <v>205</v>
      </c>
      <c r="B3">
        <v>0.62</v>
      </c>
      <c r="K3" t="s">
        <v>198</v>
      </c>
      <c r="L3" s="3">
        <v>1.4587660354306657</v>
      </c>
    </row>
    <row r="4" spans="1:12" x14ac:dyDescent="0.3">
      <c r="A4" t="s">
        <v>206</v>
      </c>
      <c r="B4">
        <v>0.31</v>
      </c>
      <c r="K4" t="s">
        <v>201</v>
      </c>
      <c r="L4" s="3">
        <v>1.2508340773459894</v>
      </c>
    </row>
    <row r="5" spans="1:12" x14ac:dyDescent="0.3">
      <c r="A5" t="s">
        <v>209</v>
      </c>
      <c r="B5">
        <v>0.27</v>
      </c>
      <c r="K5" t="s">
        <v>204</v>
      </c>
      <c r="L5" s="3">
        <v>0.74272825525116304</v>
      </c>
    </row>
    <row r="7" spans="1:12" x14ac:dyDescent="0.3">
      <c r="K7" s="2"/>
    </row>
    <row r="9" spans="1:12" x14ac:dyDescent="0.3">
      <c r="L9" s="3"/>
    </row>
    <row r="10" spans="1:12" x14ac:dyDescent="0.3">
      <c r="L10" s="3"/>
    </row>
    <row r="11" spans="1:12" x14ac:dyDescent="0.3">
      <c r="L11" s="3"/>
    </row>
    <row r="19" spans="1:12" x14ac:dyDescent="0.3">
      <c r="K19" s="2" t="s">
        <v>222</v>
      </c>
    </row>
    <row r="20" spans="1:12" x14ac:dyDescent="0.3">
      <c r="A20" s="2" t="s">
        <v>261</v>
      </c>
      <c r="K20" t="s">
        <v>258</v>
      </c>
      <c r="L20" t="s">
        <v>259</v>
      </c>
    </row>
    <row r="21" spans="1:12" x14ac:dyDescent="0.3">
      <c r="A21" t="s">
        <v>258</v>
      </c>
      <c r="B21" t="s">
        <v>259</v>
      </c>
      <c r="K21" t="s">
        <v>223</v>
      </c>
      <c r="L21" s="3">
        <v>3.0469994964790907</v>
      </c>
    </row>
    <row r="22" spans="1:12" x14ac:dyDescent="0.3">
      <c r="A22" t="s">
        <v>216</v>
      </c>
      <c r="B22">
        <v>0.13</v>
      </c>
      <c r="K22" t="s">
        <v>225</v>
      </c>
      <c r="L22" s="3">
        <v>25.382347482948042</v>
      </c>
    </row>
    <row r="23" spans="1:12" x14ac:dyDescent="0.3">
      <c r="A23" t="s">
        <v>218</v>
      </c>
      <c r="B23">
        <v>0.41</v>
      </c>
      <c r="K23" t="s">
        <v>227</v>
      </c>
      <c r="L23" s="3">
        <v>0.66979476615548939</v>
      </c>
    </row>
    <row r="24" spans="1:12" x14ac:dyDescent="0.3">
      <c r="L24" s="3"/>
    </row>
    <row r="25" spans="1:12" x14ac:dyDescent="0.3">
      <c r="L25" s="3"/>
    </row>
    <row r="34" spans="11:12" x14ac:dyDescent="0.3">
      <c r="K34" t="s">
        <v>258</v>
      </c>
      <c r="L34" t="s">
        <v>259</v>
      </c>
    </row>
    <row r="35" spans="11:12" x14ac:dyDescent="0.3">
      <c r="K35" t="s">
        <v>229</v>
      </c>
      <c r="L35">
        <v>1.4141564860580063</v>
      </c>
    </row>
    <row r="36" spans="11:12" x14ac:dyDescent="0.3">
      <c r="K36" t="s">
        <v>231</v>
      </c>
      <c r="L36">
        <v>0.13453946345860923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Income_Statement</vt:lpstr>
      <vt:lpstr>Balance_sheet</vt:lpstr>
      <vt:lpstr>CashFlow_statement</vt:lpstr>
      <vt:lpstr>Ratio&amp;Valuation Analysis</vt:lpstr>
      <vt:lpstr>Additional_Ratios</vt:lpstr>
      <vt:lpstr>Liquidity_Ratios</vt:lpstr>
      <vt:lpstr>Profitability_ratio</vt:lpstr>
      <vt:lpstr>Charts_Ratios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Papa Arhin</dc:creator>
  <cp:lastModifiedBy>Papa Arhin</cp:lastModifiedBy>
  <dcterms:created xsi:type="dcterms:W3CDTF">2026-03-14T00:16:15Z</dcterms:created>
  <dcterms:modified xsi:type="dcterms:W3CDTF">2026-03-28T05:17:41Z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2026-03-14T00:11:30.503Z</dcterms:created>
  <dcterms:modified xsi:type="dcterms:W3CDTF">2026-03-14T00:11:30.503Z</dcterms:modified>
  <cp:revision>0</cp:revision>
</cp:coreProperties>
</file>